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— How It Works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1. How to Use" sheetId="3" state="visible" r:id="rId3"/>
    <sheet xmlns:r="http://schemas.openxmlformats.org/officeDocument/2006/relationships" name="2. Level Guide" sheetId="4" state="visible" r:id="rId4"/>
    <sheet xmlns:r="http://schemas.openxmlformats.org/officeDocument/2006/relationships" name="3. Anchor Roles" sheetId="5" state="visible" r:id="rId5"/>
    <sheet xmlns:r="http://schemas.openxmlformats.org/officeDocument/2006/relationships" name="4. Rater A" sheetId="6" state="visible" r:id="rId6"/>
    <sheet xmlns:r="http://schemas.openxmlformats.org/officeDocument/2006/relationships" name="5. Rater B" sheetId="7" state="visible" r:id="rId7"/>
    <sheet xmlns:r="http://schemas.openxmlformats.org/officeDocument/2006/relationships" name="6. Comparison &amp; Resul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04040"/>
      <sz val="10"/>
    </font>
    <font>
      <name val="Calibri"/>
      <color rgb="007F7F7F"/>
      <sz val="8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10"/>
    </font>
    <font>
      <name val="Calibri"/>
      <b val="1"/>
      <color rgb="001F3864"/>
      <sz val="12"/>
    </font>
    <font>
      <name val="Calibri"/>
      <b val="1"/>
      <color rgb="000563C1"/>
      <sz val="11"/>
      <u val="single"/>
    </font>
    <font>
      <name val="Calibri"/>
      <b val="1"/>
      <color rgb="000563C1"/>
      <sz val="10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0E8E5"/>
      </patternFill>
    </fill>
    <fill>
      <patternFill patternType="solid">
        <fgColor rgb="00E4DFEC"/>
      </patternFill>
    </fill>
    <fill>
      <patternFill patternType="solid">
        <fgColor rgb="00E8DCC8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top" wrapText="1" indent="1"/>
    </xf>
    <xf numFmtId="0" fontId="3" fillId="3" borderId="0" applyAlignment="1" pivotButton="0" quotePrefix="0" xfId="0">
      <alignment indent="1"/>
    </xf>
    <xf numFmtId="0" fontId="0" fillId="3" borderId="0" pivotButton="0" quotePrefix="0" xfId="0"/>
    <xf numFmtId="0" fontId="4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7" fillId="1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9" fontId="9" fillId="0" borderId="0" pivotButton="0" quotePrefix="0" xfId="0"/>
    <xf numFmtId="1" fontId="9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vertical="top"/>
    </xf>
    <xf numFmtId="0" fontId="0" fillId="0" borderId="4" pivotButton="0" quotePrefix="0" xfId="0"/>
  </cellXfs>
  <cellStyles count="1">
    <cellStyle name="Normal" xfId="0" builtinId="0" hidden="0"/>
  </cellStyles>
  <dxfs count="3">
    <dxf>
      <font>
        <b val="1"/>
        <color rgb="00C00000"/>
      </font>
      <fill>
        <patternFill patternType="solid">
          <fgColor rgb="00F8CBAD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tart &#8212; How It Works'!A1" TargetMode="External" Id="rId1"/><Relationship Type="http://schemas.openxmlformats.org/officeDocument/2006/relationships/hyperlink" Target="#'1. How to Use'!A1" TargetMode="External" Id="rId2"/><Relationship Type="http://schemas.openxmlformats.org/officeDocument/2006/relationships/hyperlink" Target="#'2. Level Guide'!A1" TargetMode="External" Id="rId3"/><Relationship Type="http://schemas.openxmlformats.org/officeDocument/2006/relationships/hyperlink" Target="#'3. Anchor Roles'!A1" TargetMode="External" Id="rId4"/><Relationship Type="http://schemas.openxmlformats.org/officeDocument/2006/relationships/hyperlink" Target="#'4. Rater A'!A1" TargetMode="External" Id="rId5"/><Relationship Type="http://schemas.openxmlformats.org/officeDocument/2006/relationships/hyperlink" Target="#'5. Rater B'!A1" TargetMode="External" Id="rId6"/><Relationship Type="http://schemas.openxmlformats.org/officeDocument/2006/relationships/hyperlink" Target="#'6. Comparison &amp; Result'!A1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E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44" customWidth="1" min="4" max="4"/>
    <col width="13" customWidth="1" min="5" max="5"/>
  </cols>
  <sheetData>
    <row r="1" ht="34" customHeight="1">
      <c r="A1" s="1" t="inlineStr">
        <is>
          <t>How this exercise works — from a base framework to the final job architecture</t>
        </is>
      </c>
      <c r="B1" s="2" t="n"/>
      <c r="C1" s="2" t="n"/>
      <c r="D1" s="2" t="n"/>
      <c r="E1" s="38" t="inlineStr">
        <is>
          <t>◂ Contents</t>
        </is>
      </c>
    </row>
    <row r="2" ht="46" customHeight="1">
      <c r="A2" s="3" t="inlineStr">
        <is>
          <r>
            <rPr>
              <rFont val="Calibri"/>
              <b val="1"/>
              <i val="1"/>
              <color rgb="00404040"/>
              <sz val="10"/>
            </rPr>
            <t>Read this first:</t>
          </r>
          <r>
            <rPr>
              <rFont val="Calibri"/>
              <i val="1"/>
              <color rgb="00404040"/>
              <sz val="10"/>
            </rPr>
            <t xml:space="preserve"> what we did step by step, what is happening now, how the model works, what it produced, the impact — then our framework, the Job Architecture process and the Job Design process. The same page opens every file. For the calibration panel: anchor roles rated blind by two raters and compared with the model, to confirm the weights. No names.</t>
          </r>
        </is>
      </c>
    </row>
    <row r="3">
      <c r="A3" s="4" t="inlineStr">
        <is>
          <t>IRIS · Job Architecture &amp; Job Design · Final v1.12 · October 2026 · Internal — Confidential</t>
        </is>
      </c>
      <c r="B3" s="5" t="n"/>
      <c r="C3" s="5" t="n"/>
      <c r="D3" s="5" t="n"/>
    </row>
    <row r="4"/>
    <row r="5" ht="20" customHeight="1">
      <c r="A5" s="6" t="inlineStr">
        <is>
          <t>1. What we did — step by step</t>
        </is>
      </c>
      <c r="B5" s="2" t="n"/>
      <c r="C5" s="2" t="n"/>
      <c r="D5" s="2" t="n"/>
    </row>
    <row r="6" ht="15" customHeight="1">
      <c r="A6" s="7" t="inlineStr">
        <is>
          <t>#</t>
        </is>
      </c>
      <c r="B6" s="7" t="inlineStr">
        <is>
          <t>Step</t>
        </is>
      </c>
      <c r="C6" s="7" t="inlineStr">
        <is>
          <t>What we did</t>
        </is>
      </c>
      <c r="D6" s="7" t="inlineStr">
        <is>
          <t>What came out of it</t>
        </is>
      </c>
    </row>
    <row r="7" ht="54" customHeight="1">
      <c r="A7" s="36" t="n">
        <v>1</v>
      </c>
      <c r="B7" s="10" t="inlineStr">
        <is>
          <t>Created a base framework</t>
        </is>
      </c>
      <c r="C7" s="10" t="inlineStr">
        <is>
          <t>Built IRIS's job architecture from established market methods — Aon Radford / Mercer career levels, Korn Ferry Hay factors, WTW banding and SFIA — with job families anchored to the ILO occupation standard.</t>
        </is>
      </c>
      <c r="D7" s="10" t="inlineStr">
        <is>
          <t>19 job families, 61 sub-families, a 12-level ladder plus two Player-Coach steps · B+, C+, six factors, individual-contributor and manager tracks</t>
        </is>
      </c>
    </row>
    <row r="8" ht="54" customHeight="1">
      <c r="A8" s="36" t="n">
        <v>2</v>
      </c>
      <c r="B8" s="10" t="inlineStr">
        <is>
          <t>Designed a survey around it</t>
        </is>
      </c>
      <c r="C8" s="10" t="inlineStr">
        <is>
          <r>
            <rPr>
              <rFont val="Calibri"/>
              <b val="1"/>
              <sz val="10"/>
            </rPr>
            <t>The 'How We Grow' survey:</t>
          </r>
          <r>
            <rPr>
              <rFont val="Calibri"/>
              <sz val="10"/>
            </rPr>
            <t xml:space="preserve"> 20 questions, each tied to the framework's factors — purpose of the role, what it delivers, what it is accountable for, what it can decide, the skills and tools it needs, and learning needs.</t>
          </r>
        </is>
      </c>
      <c r="D8" s="10" t="inlineStr">
        <is>
          <t>One evidence form for every role, so each rating can be traced to an answer</t>
        </is>
      </c>
    </row>
    <row r="9" ht="41" customHeight="1">
      <c r="A9" s="36" t="n">
        <v>3</v>
      </c>
      <c r="B9" s="10" t="inlineStr">
        <is>
          <t>Conducted 60–65 workshops</t>
        </is>
      </c>
      <c r="C9" s="10" t="inlineStr">
        <is>
          <t>Ran 60–65 workshops with teams across the six products and Corporate: explained the framework, walked through the questions and collected answers in the room.</t>
        </is>
      </c>
      <c r="D9" s="10" t="inlineStr">
        <is>
          <t>Survey responses from 520 people</t>
        </is>
      </c>
    </row>
    <row r="10" ht="41" customHeight="1">
      <c r="A10" s="36" t="n">
        <v>4</v>
      </c>
      <c r="B10" s="10" t="inlineStr">
        <is>
          <t>Gathered the data</t>
        </is>
      </c>
      <c r="C10" s="10" t="inlineStr">
        <is>
          <t>Combined the survey with the HRIS employee master, KRAs · self and manager-set, the managers' talent mapping · rating, potential, 9-box and the reporting lines.</t>
        </is>
      </c>
      <c r="D10" s="10" t="inlineStr">
        <is>
          <t>One record per person — 586 people; KRAs on file for 453</t>
        </is>
      </c>
    </row>
    <row r="11" ht="41" customHeight="1">
      <c r="A11" s="36" t="n">
        <v>5</v>
      </c>
      <c r="B11" s="10" t="inlineStr">
        <is>
          <t>Cleaned and protected it</t>
        </is>
      </c>
      <c r="C11" s="10" t="inlineStr">
        <is>
          <t>Matched responses to people · with consent where needed, removed personal data, and showed survey content only where three or more role-holders answered — never one person's words against a name.</t>
        </is>
      </c>
      <c r="D11" s="10" t="inlineStr">
        <is>
          <t>Privacy-safe evidence</t>
        </is>
      </c>
    </row>
    <row r="12" ht="28" customHeight="1">
      <c r="A12" s="36" t="n">
        <v>6</v>
      </c>
      <c r="B12" s="10" t="inlineStr">
        <is>
          <t>Mapped every role</t>
        </is>
      </c>
      <c r="C12" s="10" t="inlineStr">
        <is>
          <t>Placed each person in a job family, a sub-family · the work they actually do and a track.</t>
        </is>
      </c>
      <c r="D12" s="10" t="inlineStr">
        <is>
          <t>267 distinct employee roles; one IRIS-wide role catalogue</t>
        </is>
      </c>
    </row>
    <row r="13" ht="54" customHeight="1">
      <c r="A13" s="36" t="n">
        <v>7</v>
      </c>
      <c r="B13" s="10" t="inlineStr">
        <is>
          <t>Rated and scored</t>
        </is>
      </c>
      <c r="C13" s="10" t="inlineStr">
        <is>
          <t>Rated six factors — Complexity, Autonomy, Accountability, Leadership, Experience &amp; Qualification, Business Impact — on the ladder scale from the evidence; rating × weight = points; points add up to a score; the score points to a level.</t>
        </is>
      </c>
      <c r="D13" s="10" t="inlineStr">
        <is>
          <t>A score and an indicated level for 540 employees</t>
        </is>
      </c>
    </row>
    <row r="14" ht="41" customHeight="1">
      <c r="A14" s="36" t="n">
        <v>8</v>
      </c>
      <c r="B14" s="10" t="inlineStr">
        <is>
          <t>Applied the rules</t>
        </is>
      </c>
      <c r="C14" s="10" t="inlineStr">
        <is>
          <t>Gates, limits and Player-Coach steps where the evidence calls for them, and leadership decisions for the top bands — each one written down with its numbers.</t>
        </is>
      </c>
      <c r="D14" s="10" t="inlineStr">
        <is>
          <t>A final level and designation for everyone, every move explained</t>
        </is>
      </c>
    </row>
    <row r="15" ht="41" customHeight="1">
      <c r="A15" s="36" t="n">
        <v>9</v>
      </c>
      <c r="B15" s="10" t="inlineStr">
        <is>
          <t>Benchmarked to the market</t>
        </is>
      </c>
      <c r="C15" s="10" t="inlineStr">
        <is>
          <t>Matched every level to Aon Radford / Mercer codes and SFIA, and to competitor, regtech and SaaS ladders; every source re-read and corrected.</t>
        </is>
      </c>
      <c r="D15" s="10" t="inlineStr">
        <is>
          <t>A market code and a typical market title for every level</t>
        </is>
      </c>
    </row>
    <row r="16" ht="54" customHeight="1">
      <c r="A16" s="36" t="n">
        <v>10</v>
      </c>
      <c r="B16" s="10" t="inlineStr">
        <is>
          <t>Built the file set</t>
        </is>
      </c>
      <c r="C16" s="10" t="inlineStr">
        <is>
          <t>One build produces every file from the same data, so they always agree: the HR Super Master, product masters and simplified editions, the framework &amp; model master, the calibration panel pack, the ladder master and draft letters.</t>
        </is>
      </c>
      <c r="D16" s="10" t="inlineStr">
        <is>
          <t>Files by audience, rebuilt and re-checked in minutes</t>
        </is>
      </c>
    </row>
    <row r="17" ht="28" customHeight="1">
      <c r="A17" s="36" t="n">
        <v>11</v>
      </c>
      <c r="B17" s="10" t="inlineStr">
        <is>
          <t>Reviewed and corrected</t>
        </is>
      </c>
      <c r="C17" s="10" t="inlineStr">
        <is>
          <t>Business-head review, independent reviews, and 100+ automated checks on every build · placements, privacy, formulas, links, counts.</t>
        </is>
      </c>
      <c r="D17" s="10" t="inlineStr">
        <is>
          <t>Corrections fed back as validated inputs, never as hand edits</t>
        </is>
      </c>
    </row>
    <row r="18" ht="15" customHeight="1"/>
    <row r="19" ht="20" customHeight="1">
      <c r="A19" s="6" t="inlineStr">
        <is>
          <t>2. What we are doing now</t>
        </is>
      </c>
      <c r="B19" s="2" t="n"/>
      <c r="C19" s="2" t="n"/>
      <c r="D19" s="2" t="n"/>
    </row>
    <row r="20" ht="15" customHeight="1">
      <c r="A20" s="7" t="inlineStr">
        <is>
          <t>Now</t>
        </is>
      </c>
      <c r="B20" s="8" t="n"/>
      <c r="C20" s="7" t="inlineStr">
        <is>
          <t>What happens</t>
        </is>
      </c>
      <c r="D20" s="7" t="inlineStr">
        <is>
          <t>Who</t>
        </is>
      </c>
    </row>
    <row r="21" ht="28" customHeight="1">
      <c r="A21" s="12" t="inlineStr">
        <is>
          <t>Calibration</t>
        </is>
      </c>
      <c r="B21" s="11" t="n"/>
      <c r="C21" s="10" t="inlineStr">
        <is>
          <t>The panel rates anchor roles blind and compares them with the model; close calls and moves down are decided.</t>
        </is>
      </c>
      <c r="D21" s="10" t="inlineStr">
        <is>
          <t>Calibration panel</t>
        </is>
      </c>
    </row>
    <row r="22" ht="28" customHeight="1">
      <c r="A22" s="12" t="inlineStr">
        <is>
          <t>Decisions and data</t>
        </is>
      </c>
      <c r="B22" s="11" t="n"/>
      <c r="C22" s="10" t="inlineStr">
        <is>
          <t>Open decisions and critical data requests are worked in the HR Super Master's tracker.</t>
        </is>
      </c>
      <c r="D22" s="10" t="inlineStr">
        <is>
          <t>HR, managers, business heads</t>
        </is>
      </c>
    </row>
    <row r="23" ht="28" customHeight="1">
      <c r="A23" s="12" t="inlineStr">
        <is>
          <t>Business-head review</t>
        </is>
      </c>
      <c r="B23" s="11" t="n"/>
      <c r="C23" s="10" t="inlineStr">
        <is>
          <t>Each business head marks Agree / Change / Discuss in their simplified edition; responses are imported and tracked.</t>
        </is>
      </c>
      <c r="D23" s="10" t="inlineStr">
        <is>
          <t>Business heads</t>
        </is>
      </c>
    </row>
    <row r="24" ht="28" customHeight="1">
      <c r="A24" s="12" t="inlineStr">
        <is>
          <t>Sign-off</t>
        </is>
      </c>
      <c r="B24" s="11" t="n"/>
      <c r="C24" s="10" t="inlineStr">
        <is>
          <t>The executive sponsor approves the structure; then the draft letters are issued.</t>
        </is>
      </c>
      <c r="D24" s="10" t="inlineStr">
        <is>
          <t>Executive sponsor, HR</t>
        </is>
      </c>
    </row>
    <row r="25" ht="28" customHeight="1">
      <c r="A25" s="12" t="inlineStr">
        <is>
          <t>Pay · later</t>
        </is>
      </c>
      <c r="B25" s="11" t="n"/>
      <c r="C25" s="10" t="inlineStr">
        <is>
          <t>Buy one India pay survey and price each level; pay columns stay blank until then.</t>
        </is>
      </c>
      <c r="D25" s="10" t="inlineStr">
        <is>
          <t>HR, Finance</t>
        </is>
      </c>
    </row>
    <row r="26" ht="15" customHeight="1"/>
    <row r="27" ht="20" customHeight="1">
      <c r="A27" s="6" t="inlineStr">
        <is>
          <t>3. How it works — in one minute</t>
        </is>
      </c>
      <c r="B27" s="2" t="n"/>
      <c r="C27" s="2" t="n"/>
      <c r="D27" s="2" t="n"/>
    </row>
    <row r="28" ht="15" customHeight="1">
      <c r="A28" s="7" t="inlineStr">
        <is>
          <t>Step</t>
        </is>
      </c>
      <c r="B28" s="8" t="n"/>
      <c r="C28" s="7" t="inlineStr">
        <is>
          <t>In plain words</t>
        </is>
      </c>
      <c r="D28" s="8" t="n"/>
    </row>
    <row r="29" ht="28" customHeight="1">
      <c r="A29" s="12" t="inlineStr">
        <is>
          <t>1 · A building with 12 floors</t>
        </is>
      </c>
      <c r="B29" s="11" t="n"/>
      <c r="C29" s="10" t="inlineStr">
        <is>
          <r>
            <rPr>
              <rFont val="Calibri"/>
              <b val="1"/>
              <sz val="10"/>
            </rPr>
            <t>IRIS is a building:</t>
          </r>
          <r>
            <rPr>
              <rFont val="Calibri"/>
              <sz val="10"/>
            </rPr>
            <t xml:space="preserve"> floor 1 = first job, floor 12 = CEO; two half floors · B+, C+ for player-coaches. Every job lives on one floor.</t>
          </r>
        </is>
      </c>
      <c r="D29" s="11" t="n"/>
    </row>
    <row r="30" ht="28" customHeight="1">
      <c r="A30" s="12" t="inlineStr">
        <is>
          <t>2 · Six judges</t>
        </is>
      </c>
      <c r="B30" s="11" t="n"/>
      <c r="C30" s="10" t="inlineStr">
        <is>
          <t>Six judges look at the job — How hard? Decides alone? Answers for? Leads? Experience? Business impact? — and each holds up a floor number · the rating, using the evidence: survey, KRAs, HRIS, reporting line.</t>
        </is>
      </c>
      <c r="D30" s="11" t="n"/>
    </row>
    <row r="31" ht="28" customHeight="1">
      <c r="A31" s="12" t="inlineStr">
        <is>
          <t>3 · Some count more</t>
        </is>
      </c>
      <c r="B31" s="11" t="n"/>
      <c r="C31" s="10" t="inlineStr">
        <is>
          <t>Starting out, the quality of the work counts most; for leaders, results, leading and business impact count most. Experience counts little. All six add to 100%, and leaders can edit them on the Weightage Matrix.</t>
        </is>
      </c>
      <c r="D31" s="11" t="n"/>
    </row>
    <row r="32" ht="28" customHeight="1">
      <c r="A32" s="12" t="inlineStr">
        <is>
          <t>4 · Add up = the floor</t>
        </is>
      </c>
      <c r="B32" s="11" t="n"/>
      <c r="C32" s="10" t="inlineStr">
        <is>
          <t>Card × how much it counts = points; add the points = the score; round it = the floor · 5.05 → 5 → B2. Fair-play checks can hold it — each one written down.</t>
        </is>
      </c>
      <c r="D32" s="11" t="n"/>
    </row>
    <row r="33" ht="15" customHeight="1"/>
    <row r="34" ht="15" customHeight="1">
      <c r="A34" s="29" t="inlineStr">
        <is>
          <t>The HR Super Master's sheet '1c. Scoring Made Simple' and the Process Explainer tell this story in full, with three worked examples.</t>
        </is>
      </c>
    </row>
    <row r="35" ht="20" customHeight="1">
      <c r="A35" s="6" t="inlineStr">
        <is>
          <t>4. What it produced — the output</t>
        </is>
      </c>
      <c r="B35" s="2" t="n"/>
      <c r="C35" s="2" t="n"/>
      <c r="D35" s="2" t="n"/>
    </row>
    <row r="36" ht="15" customHeight="1">
      <c r="A36" s="7" t="inlineStr">
        <is>
          <t>Output</t>
        </is>
      </c>
      <c r="B36" s="8" t="n"/>
      <c r="C36" s="8" t="n"/>
      <c r="D36" s="7" t="inlineStr">
        <is>
          <t>Count</t>
        </is>
      </c>
    </row>
    <row r="37" ht="15" customHeight="1">
      <c r="A37" s="12" t="inlineStr">
        <is>
          <t>People mapped · employees + consultants</t>
        </is>
      </c>
      <c r="B37" s="11" t="n"/>
      <c r="C37" s="11" t="n"/>
      <c r="D37" s="36" t="inlineStr">
        <is>
          <t>586</t>
        </is>
      </c>
    </row>
    <row r="38" ht="15" customHeight="1">
      <c r="A38" s="12" t="inlineStr">
        <is>
          <t>Job families · sub-families</t>
        </is>
      </c>
      <c r="B38" s="11" t="n"/>
      <c r="C38" s="11" t="n"/>
      <c r="D38" s="36" t="inlineStr">
        <is>
          <t>19 · 61</t>
        </is>
      </c>
    </row>
    <row r="39" ht="15" customHeight="1">
      <c r="A39" s="12" t="inlineStr">
        <is>
          <t>Ladder steps in use · employees</t>
        </is>
      </c>
      <c r="B39" s="11" t="n"/>
      <c r="C39" s="11" t="n"/>
      <c r="D39" s="36" t="n">
        <v>13</v>
      </c>
    </row>
    <row r="40" ht="15" customHeight="1">
      <c r="A40" s="12" t="inlineStr">
        <is>
          <t>Designations on the new ladder · employees</t>
        </is>
      </c>
      <c r="B40" s="11" t="n"/>
      <c r="C40" s="11" t="n"/>
      <c r="D40" s="36" t="n">
        <v>184</v>
      </c>
    </row>
    <row r="41" ht="15" customHeight="1">
      <c r="A41" s="12" t="inlineStr">
        <is>
          <t>Distinct employee roles</t>
        </is>
      </c>
      <c r="B41" s="11" t="n"/>
      <c r="C41" s="11" t="n"/>
      <c r="D41" s="36" t="n">
        <v>267</v>
      </c>
    </row>
    <row r="42" ht="15" customHeight="1">
      <c r="A42" s="12" t="inlineStr">
        <is>
          <t>Products and Corporate</t>
        </is>
      </c>
      <c r="B42" s="11" t="n"/>
      <c r="C42" s="11" t="n"/>
      <c r="D42" s="36" t="n">
        <v>6</v>
      </c>
    </row>
    <row r="43" ht="15" customHeight="1">
      <c r="A43" s="12" t="inlineStr">
        <is>
          <t>People in leadership bands D–E</t>
        </is>
      </c>
      <c r="B43" s="11" t="n"/>
      <c r="C43" s="11" t="n"/>
      <c r="D43" s="36" t="n">
        <v>11</v>
      </c>
    </row>
    <row r="44" ht="15" customHeight="1"/>
    <row r="45" ht="20" customHeight="1">
      <c r="A45" s="6" t="inlineStr">
        <is>
          <t>5. The impact</t>
        </is>
      </c>
      <c r="B45" s="2" t="n"/>
      <c r="C45" s="2" t="n"/>
      <c r="D45" s="2" t="n"/>
    </row>
    <row r="46" ht="15" customHeight="1">
      <c r="A46" s="7" t="inlineStr">
        <is>
          <t>Impact</t>
        </is>
      </c>
      <c r="B46" s="8" t="n"/>
      <c r="C46" s="7" t="inlineStr">
        <is>
          <t>What it means</t>
        </is>
      </c>
      <c r="D46" s="8" t="n"/>
    </row>
    <row r="47" ht="28" customHeight="1">
      <c r="A47" s="12" t="inlineStr">
        <is>
          <t>One architecture for all of IRIS</t>
        </is>
      </c>
      <c r="B47" s="11" t="n"/>
      <c r="C47" s="10" t="inlineStr">
        <is>
          <t>The same families, the same ladder and the same method in every product — titles mean the same thing everywhere.</t>
        </is>
      </c>
      <c r="D47" s="11" t="n"/>
    </row>
    <row r="48" ht="15" customHeight="1">
      <c r="A48" s="12" t="inlineStr">
        <is>
          <t>Transparent, explainable levels</t>
        </is>
      </c>
      <c r="B48" s="11" t="n"/>
      <c r="C48" s="10" t="inlineStr">
        <is>
          <t>Every level traces to evidence, ratings, weights and named rules; anyone can see why a role sits where it does.</t>
        </is>
      </c>
      <c r="D48" s="11" t="n"/>
    </row>
    <row r="49" ht="28" customHeight="1">
      <c r="A49" s="12" t="inlineStr">
        <is>
          <t>Clear career paths</t>
        </is>
      </c>
      <c r="B49" s="11" t="n"/>
      <c r="C49" s="10" t="inlineStr">
        <is>
          <t>Individual-contributor and manager tracks with a ladder in every sub-family, and the competencies needed for the next step.</t>
        </is>
      </c>
      <c r="D49" s="11" t="n"/>
    </row>
    <row r="50" ht="28" customHeight="1">
      <c r="A50" s="12" t="inlineStr">
        <is>
          <t>Duplication made visible</t>
        </is>
      </c>
      <c r="B50" s="11" t="n"/>
      <c r="C50" s="10" t="inlineStr">
        <is>
          <t>53 family × sub-family × level combinations are held in more than one product — candidates for common role definitions and shared pools.</t>
        </is>
      </c>
      <c r="D50" s="11" t="n"/>
    </row>
    <row r="51" ht="28" customHeight="1">
      <c r="A51" s="12" t="inlineStr">
        <is>
          <t>Leadership consistency</t>
        </is>
      </c>
      <c r="B51" s="11" t="n"/>
      <c r="C51" s="10" t="inlineStr">
        <is>
          <t>No one in Bands D–E sits above their reporting manager, anyone in Band D reporting to an E1 / E2 sits at D2, and leadership levels are set by approved decisions.</t>
        </is>
      </c>
      <c r="D51" s="11" t="n"/>
    </row>
    <row r="52" ht="15" customHeight="1">
      <c r="A52" s="12" t="inlineStr">
        <is>
          <t>Ready for pay and planning</t>
        </is>
      </c>
      <c r="B52" s="11" t="n"/>
      <c r="C52" s="10" t="inlineStr">
        <is>
          <t>Each level carries a market code, so pay ranges, succession and workforce planning can be built on it.</t>
        </is>
      </c>
      <c r="D52" s="11" t="n"/>
    </row>
    <row r="53" ht="15" customHeight="1"/>
    <row r="54" ht="20" customHeight="1">
      <c r="A54" s="6" t="inlineStr">
        <is>
          <t>6. Our framework at a glance</t>
        </is>
      </c>
      <c r="B54" s="2" t="n"/>
      <c r="C54" s="2" t="n"/>
      <c r="D54" s="2" t="n"/>
    </row>
    <row r="55" ht="28" customHeight="1">
      <c r="A55" s="7" t="inlineStr">
        <is>
          <t>Element</t>
        </is>
      </c>
      <c r="B55" s="7" t="inlineStr">
        <is>
          <t>What it is</t>
        </is>
      </c>
      <c r="C55" s="8" t="n"/>
      <c r="D55" s="8" t="n"/>
    </row>
    <row r="56" ht="41" customHeight="1">
      <c r="A56" s="12" t="inlineStr">
        <is>
          <t>Job families</t>
        </is>
      </c>
      <c r="B56" s="10" t="inlineStr">
        <is>
          <t>19 families of work, each anchored to the ILO occupation standard — the same in every product.</t>
        </is>
      </c>
      <c r="C56" s="11" t="n"/>
      <c r="D56" s="11" t="n"/>
    </row>
    <row r="57" ht="41" customHeight="1">
      <c r="A57" s="12" t="inlineStr">
        <is>
          <t>Sub-families</t>
        </is>
      </c>
      <c r="B57" s="10" t="inlineStr">
        <is>
          <t>61 sub-families: the work a person actually does inside a family. One definition each, used everywhere.</t>
        </is>
      </c>
      <c r="C57" s="11" t="n"/>
      <c r="D57" s="11" t="n"/>
    </row>
    <row r="58" ht="41" customHeight="1">
      <c r="A58" s="12" t="inlineStr">
        <is>
          <t>Career ladder</t>
        </is>
      </c>
      <c r="B58" s="10" t="inlineStr">
        <is>
          <r>
            <rPr>
              <rFont val="Calibri"/>
              <b val="1"/>
              <sz val="10"/>
            </rPr>
            <t>One ladder from intern to CEO:</t>
          </r>
          <r>
            <rPr>
              <rFont val="Calibri"/>
              <sz val="10"/>
            </rPr>
            <t xml:space="preserve"> A1–A3 practitioner · B1–B3 specialist / manager · B+ Player-Coach · C1–C2 principal / head · C+ Player-Coach · D1–D2 business leadership · E1–E2 enterprise leadership; X1–X3 for consultants · outside the ladder.</t>
          </r>
        </is>
      </c>
      <c r="C58" s="11" t="n"/>
      <c r="D58" s="11" t="n"/>
    </row>
    <row r="59" ht="28" customHeight="1">
      <c r="A59" s="12" t="inlineStr">
        <is>
          <t>Tracks</t>
        </is>
      </c>
      <c r="B59" s="10" t="inlineStr">
        <is>
          <t>Individual contributor, POD Lead · leads 1–3 while doing the work, Player-Coach · leads and delivers, People Manager, Consultant — experts progress without having to manage.</t>
        </is>
      </c>
      <c r="C59" s="11" t="n"/>
      <c r="D59" s="11" t="n"/>
    </row>
    <row r="60" ht="28" customHeight="1">
      <c r="A60" s="12" t="inlineStr">
        <is>
          <t>Six factors</t>
        </is>
      </c>
      <c r="B60" s="10" t="inlineStr">
        <is>
          <t>Complexity &amp; Expertise · Autonomy &amp; Decision · Accountability &amp; Impact · Leadership &amp; Strategy · Experience &amp; Qualification · Business Impact — each gets a rating: the floor of the ladder that part of the job looks like.</t>
        </is>
      </c>
      <c r="C60" s="11" t="n"/>
      <c r="D60" s="11" t="n"/>
    </row>
    <row r="61" ht="28" customHeight="1">
      <c r="A61" s="12" t="inlineStr">
        <is>
          <t>Weights</t>
        </is>
      </c>
      <c r="B61" s="10" t="inlineStr">
        <is>
          <t>How much each factor counts, by band and track · junior roles: skill and experience; senior roles: accountability and leadership, fine-tuned ±5 by type of work.</t>
        </is>
      </c>
      <c r="C61" s="11" t="n"/>
      <c r="D61" s="11" t="n"/>
    </row>
    <row r="62" ht="28" customHeight="1">
      <c r="A62" s="12" t="inlineStr">
        <is>
          <t>Rules</t>
        </is>
      </c>
      <c r="B62" s="10" t="inlineStr">
        <is>
          <t>R1–R13: category rules, provisional holds, work-substance and structure gates, experience limits, track minimums, Player-Coach steps, leadership decisions and the D–E reporting-line rules — each written on the person's row with its numbers.</t>
        </is>
      </c>
      <c r="C62" s="11" t="n"/>
      <c r="D62" s="11" t="n"/>
    </row>
    <row r="63" ht="28" customHeight="1">
      <c r="A63" s="12" t="inlineStr">
        <is>
          <t>Titles</t>
        </is>
      </c>
      <c r="B63" s="10" t="inlineStr">
        <is>
          <t>Level marker + role noun; market titles where the market has its own ladder · Product Manager, Account Executive.</t>
        </is>
      </c>
      <c r="C63" s="11" t="n"/>
      <c r="D63" s="11" t="n"/>
    </row>
    <row r="64" ht="41" customHeight="1">
      <c r="A64" s="12" t="inlineStr">
        <is>
          <t>Competencies</t>
        </is>
      </c>
      <c r="B64" s="10" t="inlineStr">
        <is>
          <t>6 core and 4 future-ready for everyone, 4 leadership for leaders, and functional competencies for each family — each with a 1–5 skill level required at every career level.</t>
        </is>
      </c>
      <c r="C64" s="11" t="n"/>
      <c r="D64" s="11" t="n"/>
    </row>
    <row r="65" ht="28" customHeight="1">
      <c r="A65" s="12" t="inlineStr">
        <is>
          <t>Market link</t>
        </is>
      </c>
      <c r="B65" s="10" t="inlineStr">
        <is>
          <t>Every level maps to Aon Radford / Mercer codes and SFIA, with competitor, regtech and SaaS equivalents — the base for pay ranges later.</t>
        </is>
      </c>
      <c r="C65" s="11" t="n"/>
      <c r="D65" s="11" t="n"/>
    </row>
    <row r="66" ht="15" customHeight="1"/>
    <row r="67" ht="20" customHeight="1">
      <c r="A67" s="6" t="inlineStr">
        <is>
          <t>7. The Job Architecture process — how the structure was built</t>
        </is>
      </c>
      <c r="B67" s="2" t="n"/>
      <c r="C67" s="2" t="n"/>
      <c r="D67" s="2" t="n"/>
    </row>
    <row r="68" ht="15" customHeight="1">
      <c r="A68" s="7" t="inlineStr">
        <is>
          <t>#</t>
        </is>
      </c>
      <c r="B68" s="7" t="inlineStr">
        <is>
          <t>Step</t>
        </is>
      </c>
      <c r="C68" s="7" t="inlineStr">
        <is>
          <t>What happens</t>
        </is>
      </c>
      <c r="D68" s="8" t="n"/>
    </row>
    <row r="69" ht="15" customHeight="1">
      <c r="A69" s="36" t="n">
        <v>1</v>
      </c>
      <c r="B69" s="10" t="inlineStr">
        <is>
          <t>Define families</t>
        </is>
      </c>
      <c r="C69" s="10" t="inlineStr">
        <is>
          <t>Group all work into job families anchored to ISCO-08, so the same work has the same name everywhere.</t>
        </is>
      </c>
      <c r="D69" s="11" t="n"/>
    </row>
    <row r="70" ht="15" customHeight="1">
      <c r="A70" s="36" t="n">
        <v>2</v>
      </c>
      <c r="B70" s="10" t="inlineStr">
        <is>
          <t>Define sub-families</t>
        </is>
      </c>
      <c r="C70" s="10" t="inlineStr">
        <is>
          <t>Split each family into the distinct kinds of work people do, from the survey and role data.</t>
        </is>
      </c>
      <c r="D70" s="11" t="n"/>
    </row>
    <row r="71" ht="28" customHeight="1">
      <c r="A71" s="36" t="n">
        <v>3</v>
      </c>
      <c r="B71" s="10" t="inlineStr">
        <is>
          <t>Set the ladder and bands</t>
        </is>
      </c>
      <c r="C71" s="10" t="inlineStr">
        <is>
          <t>One 12-level ladder with five bands and two Player-Coach steps; what each level owns, its experience range and span.</t>
        </is>
      </c>
      <c r="D71" s="11" t="n"/>
    </row>
    <row r="72" ht="28" customHeight="1">
      <c r="A72" s="36" t="n">
        <v>4</v>
      </c>
      <c r="B72" s="10" t="inlineStr">
        <is>
          <t>Set the tracks</t>
        </is>
      </c>
      <c r="C72" s="10" t="inlineStr">
        <is>
          <t>IC, POD Lead, Player-Coach, People Manager, Consultant — and the rules for each.</t>
        </is>
      </c>
      <c r="D72" s="11" t="n"/>
    </row>
    <row r="73" ht="15" customHeight="1">
      <c r="A73" s="36" t="n">
        <v>5</v>
      </c>
      <c r="B73" s="10" t="inlineStr">
        <is>
          <t>Level every role</t>
        </is>
      </c>
      <c r="C73" s="10" t="inlineStr">
        <is>
          <t>Six ratings × weights → score → level, then the rules; leadership levels by approved decision.</t>
        </is>
      </c>
      <c r="D73" s="11" t="n"/>
    </row>
    <row r="74" ht="15" customHeight="1">
      <c r="A74" s="36" t="n">
        <v>6</v>
      </c>
      <c r="B74" s="10" t="inlineStr">
        <is>
          <t>Name every role</t>
        </is>
      </c>
      <c r="C74" s="10" t="inlineStr">
        <is>
          <t>Designation = level marker + role noun; title protection for anyone moving down.</t>
        </is>
      </c>
      <c r="D74" s="11" t="n"/>
    </row>
    <row r="75" ht="15" customHeight="1">
      <c r="A75" s="36" t="n">
        <v>7</v>
      </c>
      <c r="B75" s="10" t="inlineStr">
        <is>
          <t>Benchmark</t>
        </is>
      </c>
      <c r="C75" s="10" t="inlineStr">
        <is>
          <t>Crosswalk every level to Radford / Mercer and SFIA; compare with competitor and peer ladders.</t>
        </is>
      </c>
      <c r="D75" s="11" t="n"/>
    </row>
    <row r="76" ht="15" customHeight="1">
      <c r="A76" s="36" t="n">
        <v>8</v>
      </c>
      <c r="B76" s="10" t="inlineStr">
        <is>
          <t>Govern</t>
        </is>
      </c>
      <c r="C76" s="10" t="inlineStr">
        <is>
          <t>Calibration panel, business-head review, a decision tracker and change rules · who can change a level, and how.</t>
        </is>
      </c>
      <c r="D76" s="11" t="n"/>
    </row>
    <row r="77" ht="15" customHeight="1"/>
    <row r="78" ht="20" customHeight="1">
      <c r="A78" s="6" t="inlineStr">
        <is>
          <t>8. The Job Design process — how each role is described</t>
        </is>
      </c>
      <c r="B78" s="2" t="n"/>
      <c r="C78" s="2" t="n"/>
      <c r="D78" s="2" t="n"/>
    </row>
    <row r="79" ht="15" customHeight="1">
      <c r="A79" s="7" t="inlineStr">
        <is>
          <t>#</t>
        </is>
      </c>
      <c r="B79" s="7" t="inlineStr">
        <is>
          <t>Step</t>
        </is>
      </c>
      <c r="C79" s="7" t="inlineStr">
        <is>
          <t>What happens</t>
        </is>
      </c>
      <c r="D79" s="8" t="n"/>
    </row>
    <row r="80" ht="15" customHeight="1">
      <c r="A80" s="36" t="n">
        <v>1</v>
      </c>
      <c r="B80" s="10" t="inlineStr">
        <is>
          <t>Purpose</t>
        </is>
      </c>
      <c r="C80" s="10" t="inlineStr">
        <is>
          <t>Why the role exists — from the sub-family definition and the level standard.</t>
        </is>
      </c>
      <c r="D80" s="11" t="n"/>
    </row>
    <row r="81" ht="28" customHeight="1">
      <c r="A81" s="36" t="n">
        <v>2</v>
      </c>
      <c r="B81" s="10" t="inlineStr">
        <is>
          <t>Responsibilities and deliverables</t>
        </is>
      </c>
      <c r="C81" s="10" t="inlineStr">
        <is>
          <t>What the role does and produces — from role-holders' survey answers · as counted themes and KRAs.</t>
        </is>
      </c>
      <c r="D81" s="11" t="n"/>
    </row>
    <row r="82" ht="28" customHeight="1">
      <c r="A82" s="36" t="n">
        <v>3</v>
      </c>
      <c r="B82" s="10" t="inlineStr">
        <is>
          <t>Accountability and decision rights</t>
        </is>
      </c>
      <c r="C82" s="10" t="inlineStr">
        <is>
          <t>What the role answers for, what it can decide alone, and what happens if the work is missed.</t>
        </is>
      </c>
      <c r="D82" s="11" t="n"/>
    </row>
    <row r="83" ht="15" customHeight="1">
      <c r="A83" s="36" t="n">
        <v>4</v>
      </c>
      <c r="B83" s="10" t="inlineStr">
        <is>
          <t>Measures</t>
        </is>
      </c>
      <c r="C83" s="10" t="inlineStr">
        <is>
          <r>
            <rPr>
              <rFont val="Calibri"/>
              <b val="1"/>
              <sz val="10"/>
            </rPr>
            <t>Manager-set KRAs:</t>
          </r>
          <r>
            <rPr>
              <rFont val="Calibri"/>
              <sz val="10"/>
            </rPr>
            <t xml:space="preserve"> how the role is judged.</t>
          </r>
        </is>
      </c>
      <c r="D83" s="11" t="n"/>
    </row>
    <row r="84" ht="15" customHeight="1">
      <c r="A84" s="36" t="n">
        <v>5</v>
      </c>
      <c r="B84" s="10" t="inlineStr">
        <is>
          <t>Competencies and skill level</t>
        </is>
      </c>
      <c r="C84" s="10" t="inlineStr">
        <is>
          <t>The core, future-ready, functional and leadership competencies the role needs, each at a 1–5 level.</t>
        </is>
      </c>
      <c r="D84" s="11" t="n"/>
    </row>
    <row r="85" ht="15" customHeight="1">
      <c r="A85" s="36" t="n">
        <v>6</v>
      </c>
      <c r="B85" s="10" t="inlineStr">
        <is>
          <t>Role profile and catalogue</t>
        </is>
      </c>
      <c r="C85" s="10" t="inlineStr">
        <is>
          <t>One IRIS-wide catalogue entry per family × sub-family × level × track — the shared description of the job.</t>
        </is>
      </c>
      <c r="D85" s="11" t="n"/>
    </row>
    <row r="86" ht="15" customHeight="1">
      <c r="A86" s="36" t="n">
        <v>7</v>
      </c>
      <c r="B86" s="10" t="inlineStr">
        <is>
          <t>Career ladder</t>
        </is>
      </c>
      <c r="C86" s="10" t="inlineStr">
        <is>
          <t>Where the role sits in its sub-family's ladder, the next step and what it takes.</t>
        </is>
      </c>
      <c r="D86" s="11" t="n"/>
    </row>
    <row r="87" ht="28" customHeight="1">
      <c r="A87" s="36" t="n">
        <v>8</v>
      </c>
      <c r="B87" s="10" t="inlineStr">
        <is>
          <t>Recruitment profile</t>
        </is>
      </c>
      <c r="C87" s="10" t="inlineStr">
        <is>
          <t>The hire equivalent in the market, the competencies to hire for and the interview questions — on every person card.</t>
        </is>
      </c>
      <c r="D87" s="11" t="n"/>
    </row>
  </sheetData>
  <mergeCells count="79">
    <mergeCell ref="A5:D5"/>
    <mergeCell ref="B60:D60"/>
    <mergeCell ref="A37:C37"/>
    <mergeCell ref="B57:D57"/>
    <mergeCell ref="A51:B51"/>
    <mergeCell ref="C79:D79"/>
    <mergeCell ref="C73:D73"/>
    <mergeCell ref="C50:D50"/>
    <mergeCell ref="A43:C43"/>
    <mergeCell ref="C76:D76"/>
    <mergeCell ref="A54:D54"/>
    <mergeCell ref="B62:D62"/>
    <mergeCell ref="A22:B22"/>
    <mergeCell ref="A27:D27"/>
    <mergeCell ref="A28:B28"/>
    <mergeCell ref="B56:D56"/>
    <mergeCell ref="C28:D28"/>
    <mergeCell ref="A2:D2"/>
    <mergeCell ref="C69:D69"/>
    <mergeCell ref="C83:D83"/>
    <mergeCell ref="A48:B48"/>
    <mergeCell ref="A30:B30"/>
    <mergeCell ref="C30:D30"/>
    <mergeCell ref="A35:D35"/>
    <mergeCell ref="A19:D19"/>
    <mergeCell ref="C47:D47"/>
    <mergeCell ref="A46:B46"/>
    <mergeCell ref="A38:C38"/>
    <mergeCell ref="C71:D71"/>
    <mergeCell ref="A40:C40"/>
    <mergeCell ref="B59:D59"/>
    <mergeCell ref="A52:B52"/>
    <mergeCell ref="C82:D82"/>
    <mergeCell ref="C86:D86"/>
    <mergeCell ref="C68:D68"/>
    <mergeCell ref="A49:B49"/>
    <mergeCell ref="A42:C42"/>
    <mergeCell ref="C29:D29"/>
    <mergeCell ref="C85:D85"/>
    <mergeCell ref="A34:D34"/>
    <mergeCell ref="C75:D75"/>
    <mergeCell ref="C84:D84"/>
    <mergeCell ref="B65:D65"/>
    <mergeCell ref="C31:D31"/>
    <mergeCell ref="C80:D80"/>
    <mergeCell ref="A1:D1"/>
    <mergeCell ref="A45:D45"/>
    <mergeCell ref="A21:B21"/>
    <mergeCell ref="C46:D46"/>
    <mergeCell ref="B63:D63"/>
    <mergeCell ref="C51:D51"/>
    <mergeCell ref="A78:D78"/>
    <mergeCell ref="A32:B32"/>
    <mergeCell ref="A23:B23"/>
    <mergeCell ref="C70:D70"/>
    <mergeCell ref="C48:D48"/>
    <mergeCell ref="C32:D32"/>
    <mergeCell ref="C49:D49"/>
    <mergeCell ref="A24:B24"/>
    <mergeCell ref="A41:C41"/>
    <mergeCell ref="B61:D61"/>
    <mergeCell ref="C74:D74"/>
    <mergeCell ref="A67:D67"/>
    <mergeCell ref="A25:B25"/>
    <mergeCell ref="B55:D55"/>
    <mergeCell ref="B64:D64"/>
    <mergeCell ref="A50:B50"/>
    <mergeCell ref="A47:B47"/>
    <mergeCell ref="A39:C39"/>
    <mergeCell ref="C52:D52"/>
    <mergeCell ref="A20:B20"/>
    <mergeCell ref="A36:C36"/>
    <mergeCell ref="A29:B29"/>
    <mergeCell ref="C72:D72"/>
    <mergeCell ref="C81:D81"/>
    <mergeCell ref="A3:D3"/>
    <mergeCell ref="B58:D58"/>
    <mergeCell ref="A31:B31"/>
    <mergeCell ref="C87:D87"/>
  </mergeCells>
  <hyperlinks>
    <hyperlink xmlns:r="http://schemas.openxmlformats.org/officeDocument/2006/relationships" ref="E1" r:id="rId1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90" customWidth="1" min="3" max="3"/>
  </cols>
  <sheetData>
    <row r="1" ht="34" customHeight="1">
      <c r="A1" s="1" t="inlineStr">
        <is>
          <t>IRIS Job Architecture — Calibration Panel Pack — contents</t>
        </is>
      </c>
      <c r="B1" s="2" t="n"/>
      <c r="C1" s="2" t="n"/>
    </row>
    <row r="2" ht="30" customHeight="1">
      <c r="A2" s="3" t="inlineStr">
        <is>
          <t>Click a sheet name to go there; every sheet has a '◂ Contents' link at the top right to come back.</t>
        </is>
      </c>
    </row>
    <row r="3">
      <c r="A3" s="4" t="inlineStr">
        <is>
          <t>IRIS · Job Architecture &amp; Job Design · Final v1.12 · October 2026 · Internal — Confidential</t>
        </is>
      </c>
      <c r="B3" s="5" t="n"/>
      <c r="C3" s="5" t="n"/>
    </row>
    <row r="4"/>
    <row r="5">
      <c r="A5" s="30" t="inlineStr">
        <is>
          <t>#</t>
        </is>
      </c>
      <c r="B5" s="30" t="inlineStr">
        <is>
          <t>Sheet</t>
        </is>
      </c>
      <c r="C5" s="30" t="inlineStr">
        <is>
          <t>What it holds</t>
        </is>
      </c>
    </row>
    <row r="6" ht="45" customHeight="1">
      <c r="A6" s="39" t="n">
        <v>1</v>
      </c>
      <c r="B6" s="40" t="inlineStr">
        <is>
          <t>Start — How It Works</t>
        </is>
      </c>
      <c r="C6" s="10" t="inlineStr">
        <is>
          <r>
            <rPr>
              <rFont val="Calibri"/>
              <b val="1"/>
              <sz val="10"/>
            </rPr>
            <t>Read this first:</t>
          </r>
          <r>
            <rPr>
              <rFont val="Calibri"/>
              <sz val="10"/>
            </rPr>
            <t xml:space="preserve"> what we did step by step, what is happening now, how the model works, what it produced, the impact — then our framework, the Job Architecture process and the Job Design process.</t>
          </r>
        </is>
      </c>
    </row>
    <row r="7" ht="45" customHeight="1">
      <c r="A7" s="39" t="n">
        <v>2</v>
      </c>
      <c r="B7" s="40" t="inlineStr">
        <is>
          <t>1. How to Use</t>
        </is>
      </c>
      <c r="C7" s="10" t="inlineStr">
        <is>
          <t>Two raters score the same anchor roles independently; the panel resolves differences on evidence; the pack compares the panel's levels with the model's and tells you whether the weights can be frozen for this cycle.</t>
        </is>
      </c>
    </row>
    <row r="8" ht="30" customHeight="1">
      <c r="A8" s="39" t="n">
        <v>3</v>
      </c>
      <c r="B8" s="40" t="inlineStr">
        <is>
          <t>2. Level Guide</t>
        </is>
      </c>
      <c r="C8" s="10" t="inlineStr">
        <is>
          <t>A rating means the factor is at the size of that level. Read across a row to see what a role at that level owns, decides and answers for.</t>
        </is>
      </c>
    </row>
    <row r="9" ht="30" customHeight="1">
      <c r="A9" s="39" t="n">
        <v>4</v>
      </c>
      <c r="B9" s="40" t="inlineStr">
        <is>
          <t>3. Anchor Roles</t>
        </is>
      </c>
      <c r="C9" s="10" t="inlineStr">
        <is>
          <t>23 anchor roles across the ladder and across job families. Titles and levels are hidden so the raters judge the work itself.</t>
        </is>
      </c>
    </row>
    <row r="10" ht="30" customHeight="1">
      <c r="A10" s="39" t="n">
        <v>5</v>
      </c>
      <c r="B10" s="40" t="inlineStr">
        <is>
          <t>4. Rater A</t>
        </is>
      </c>
      <c r="C10" s="10" t="inlineStr">
        <is>
          <t>4 · Enter a rating from 1 to 12 · half points allowed for every factor of every anchor, in the yellow cells.</t>
        </is>
      </c>
    </row>
    <row r="11" ht="30" customHeight="1">
      <c r="A11" s="39" t="n">
        <v>6</v>
      </c>
      <c r="B11" s="40" t="inlineStr">
        <is>
          <t>5. Rater B</t>
        </is>
      </c>
      <c r="C11" s="10" t="inlineStr">
        <is>
          <t>5 · Enter a rating from 1 to 12 · half points allowed for every factor of every anchor, in the yellow cells.</t>
        </is>
      </c>
    </row>
    <row r="12" ht="30" customHeight="1">
      <c r="A12" s="39" t="n">
        <v>7</v>
      </c>
      <c r="B12" s="40" t="inlineStr">
        <is>
          <t>6. Comparison &amp; Result</t>
        </is>
      </c>
      <c r="C12" s="10" t="inlineStr">
        <is>
          <t>Raters' ratings side by side; red = more than one point apart · discuss on evidence and enter the consensus in yellow; blank consensus = the average of the two.</t>
        </is>
      </c>
    </row>
  </sheetData>
  <mergeCells count="3">
    <mergeCell ref="A1:C1"/>
    <mergeCell ref="A3:C3"/>
    <mergeCell ref="A2:C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  <col width="56" customWidth="1" min="4" max="4"/>
    <col width="13" customWidth="1" min="5" max="5"/>
  </cols>
  <sheetData>
    <row r="1" ht="34" customHeight="1">
      <c r="A1" s="1" t="inlineStr">
        <is>
          <t>Calibration panel pack — testing the weights on anchor roles</t>
        </is>
      </c>
      <c r="E1" s="38" t="inlineStr">
        <is>
          <t>◂ Contents</t>
        </is>
      </c>
    </row>
    <row r="2" ht="32" customHeight="1">
      <c r="A2" s="3" t="inlineStr">
        <is>
          <t>Sheet 1 · Two raters score the same anchor roles independently; the panel resolves differences on evidence; the pack compares the panel's levels with the model's and tells you whether the weights can be frozen for this cycle.</t>
        </is>
      </c>
    </row>
    <row r="3">
      <c r="A3" s="4" t="inlineStr">
        <is>
          <t>IRIS · Job Architecture &amp; Job Design · Final v1.12 · October 2026 · Internal — Confidential</t>
        </is>
      </c>
    </row>
    <row r="4"/>
    <row r="5" ht="20" customHeight="1">
      <c r="A5" s="6" t="inlineStr">
        <is>
          <t>The steps</t>
        </is>
      </c>
    </row>
    <row r="6" ht="15" customHeight="1">
      <c r="A6" s="7" t="inlineStr">
        <is>
          <t>#</t>
        </is>
      </c>
      <c r="B6" s="7" t="inlineStr">
        <is>
          <t>Step</t>
        </is>
      </c>
      <c r="C6" s="7" t="inlineStr">
        <is>
          <t>What to do</t>
        </is>
      </c>
      <c r="D6" s="41" t="n"/>
    </row>
    <row r="7" ht="28" customHeight="1">
      <c r="A7" s="9" t="inlineStr">
        <is>
          <t>1</t>
        </is>
      </c>
      <c r="B7" s="10" t="inlineStr">
        <is>
          <t>Read the level guide</t>
        </is>
      </c>
      <c r="C7" s="10" t="inlineStr">
        <is>
          <t>Sheet 2 explains what each rating means for every factor · the same scale as the ladder: A1 = 1 … E2 = 12.</t>
        </is>
      </c>
      <c r="D7" s="41" t="n"/>
    </row>
    <row r="8" ht="28" customHeight="1">
      <c r="A8" s="9" t="inlineStr">
        <is>
          <t>2</t>
        </is>
      </c>
      <c r="B8" s="10" t="inlineStr">
        <is>
          <t>Read the anchor roles</t>
        </is>
      </c>
      <c r="C8" s="10" t="inlineStr">
        <is>
          <t>Sheet 3 describes 23 anchor roles by their work only — no titles, no levels — so you judge the work, not the label.</t>
        </is>
      </c>
      <c r="D8" s="41" t="n"/>
    </row>
    <row r="9" ht="28" customHeight="1">
      <c r="A9" s="9" t="inlineStr">
        <is>
          <t>3</t>
        </is>
      </c>
      <c r="B9" s="10" t="inlineStr">
        <is>
          <t>Rate independently</t>
        </is>
      </c>
      <c r="C9" s="10" t="inlineStr">
        <is>
          <t>Rater A uses sheet 4, Rater B sheet 5. Rate each factor · whole or half points in the yellow cells. Do not look at the other rater's sheet or at sheet 6 yet.</t>
        </is>
      </c>
      <c r="D9" s="41" t="n"/>
    </row>
    <row r="10" ht="28" customHeight="1">
      <c r="A10" s="9" t="inlineStr">
        <is>
          <t>4</t>
        </is>
      </c>
      <c r="B10" s="10" t="inlineStr">
        <is>
          <t>Compare</t>
        </is>
      </c>
      <c r="C10" s="10" t="inlineStr">
        <is>
          <t>Sheet 6 shows every factor where the raters differ by more than one point · red. Discuss those on evidence and enter the panel's consensus rating — never average a disagreement.</t>
        </is>
      </c>
      <c r="D10" s="41" t="n"/>
    </row>
    <row r="11" ht="28" customHeight="1">
      <c r="A11" s="9" t="inlineStr">
        <is>
          <t>5</t>
        </is>
      </c>
      <c r="B11" s="10" t="inlineStr">
        <is>
          <t>Read the result</t>
        </is>
      </c>
      <c r="C11" s="10" t="inlineStr">
        <is>
          <t>Sheet 6 scores the consensus with the model's weights for that role and compares the panel's level with the model's. The summary at the top says whether the weights are confirmed.</t>
        </is>
      </c>
      <c r="D11" s="41" t="n"/>
    </row>
    <row r="12" ht="28" customHeight="1">
      <c r="A12" s="9" t="inlineStr">
        <is>
          <t>6</t>
        </is>
      </c>
      <c r="B12" s="10" t="inlineStr">
        <is>
          <t>Act</t>
        </is>
      </c>
      <c r="C12" s="10" t="inlineStr">
        <is>
          <r>
            <rPr>
              <rFont val="Calibri"/>
              <b val="1"/>
              <sz val="10"/>
            </rPr>
            <t>Weights confirmed:</t>
          </r>
          <r>
            <rPr>
              <rFont val="Calibri"/>
              <sz val="10"/>
            </rPr>
            <t xml:space="preserve"> freeze them for the cycle. Not confirmed: look at which factor drives the gaps, adjust the weight model, rebuild, and re-run the weight-sensitivity test.</t>
          </r>
        </is>
      </c>
      <c r="D12" s="41" t="n"/>
    </row>
    <row r="13" ht="15" customHeight="1"/>
    <row r="14" ht="20" customHeight="1">
      <c r="A14" s="6" t="inlineStr">
        <is>
          <t>Decision rule</t>
        </is>
      </c>
    </row>
    <row r="15" ht="15" customHeight="1">
      <c r="A15" s="7" t="inlineStr">
        <is>
          <t>Measure</t>
        </is>
      </c>
      <c r="B15" s="41" t="n"/>
      <c r="C15" s="7" t="inlineStr">
        <is>
          <t>Threshold</t>
        </is>
      </c>
      <c r="D15" s="7" t="inlineStr">
        <is>
          <t>Meaning</t>
        </is>
      </c>
    </row>
    <row r="16" ht="15" customHeight="1">
      <c r="A16" s="12" t="inlineStr">
        <is>
          <t>Rater agreement</t>
        </is>
      </c>
      <c r="B16" s="41" t="n"/>
      <c r="C16" s="10" t="inlineStr">
        <is>
          <t>≥ 80% of factor ratings within 1 point</t>
        </is>
      </c>
      <c r="D16" s="10" t="inlineStr">
        <is>
          <t>The scale is being read the same way by both raters</t>
        </is>
      </c>
    </row>
    <row r="17" ht="28" customHeight="1">
      <c r="A17" s="12" t="inlineStr">
        <is>
          <t>Level agreement</t>
        </is>
      </c>
      <c r="B17" s="41" t="n"/>
      <c r="C17" s="10" t="inlineStr">
        <is>
          <t>≥ 80% of anchors within one step of the model's level</t>
        </is>
      </c>
      <c r="D17" s="10" t="inlineStr">
        <is>
          <t>The weights reproduce what experienced people judge the role to be</t>
        </is>
      </c>
    </row>
    <row r="18" ht="15" customHeight="1">
      <c r="A18" s="12" t="inlineStr">
        <is>
          <t>Both met</t>
        </is>
      </c>
      <c r="B18" s="41" t="n"/>
      <c r="C18" s="10" t="inlineStr">
        <is>
          <t>Weights confirmed</t>
        </is>
      </c>
      <c r="D18" s="10" t="inlineStr">
        <is>
          <t>Freeze the weights for this cycle</t>
        </is>
      </c>
    </row>
    <row r="19" ht="15" customHeight="1"/>
    <row r="20" ht="20" customHeight="1">
      <c r="A20" s="6" t="inlineStr">
        <is>
          <t>Ground rules</t>
        </is>
      </c>
    </row>
    <row r="21" ht="15" customHeight="1">
      <c r="A21" s="13" t="inlineStr">
        <is>
          <t>• Rate the role as described, not a person you know in it.</t>
        </is>
      </c>
    </row>
    <row r="22" ht="15" customHeight="1">
      <c r="A22" s="13" t="inlineStr">
        <is>
          <r>
            <rPr>
              <rFont val="Calibri"/>
              <sz val="10"/>
            </rPr>
            <t xml:space="preserve">• </t>
          </r>
          <r>
            <rPr>
              <rFont val="Calibri"/>
              <b val="1"/>
              <sz val="10"/>
            </rPr>
            <t>Use the whole scale:</t>
          </r>
          <r>
            <rPr>
              <rFont val="Calibri"/>
              <sz val="10"/>
            </rPr>
            <t xml:space="preserve"> a rating can sit above or below the level you expect overall.</t>
          </r>
        </is>
      </c>
    </row>
    <row r="23" ht="15" customHeight="1">
      <c r="A23" s="13" t="inlineStr">
        <is>
          <t>• Do not count the same demand twice · complexity is how hard the problems are; accountability is what the role answers for.</t>
        </is>
      </c>
    </row>
    <row r="24" ht="15" customHeight="1">
      <c r="A24" s="13" t="inlineStr">
        <is>
          <t>• Access to senior people is not authority; tenure alone is not experience the role needs.</t>
        </is>
      </c>
    </row>
  </sheetData>
  <mergeCells count="21">
    <mergeCell ref="A5:D5"/>
    <mergeCell ref="A23:D23"/>
    <mergeCell ref="C6:D6"/>
    <mergeCell ref="A15:B15"/>
    <mergeCell ref="A22:D22"/>
    <mergeCell ref="A20:D20"/>
    <mergeCell ref="A16:B16"/>
    <mergeCell ref="C10:D10"/>
    <mergeCell ref="A24:D24"/>
    <mergeCell ref="C9:D9"/>
    <mergeCell ref="A18:B18"/>
    <mergeCell ref="A1:D1"/>
    <mergeCell ref="C12:D12"/>
    <mergeCell ref="C11:D11"/>
    <mergeCell ref="A17:B17"/>
    <mergeCell ref="C8:D8"/>
    <mergeCell ref="C7:D7"/>
    <mergeCell ref="A3:D3"/>
    <mergeCell ref="A21:D21"/>
    <mergeCell ref="A2:D2"/>
    <mergeCell ref="A14:D14"/>
  </mergeCells>
  <hyperlinks>
    <hyperlink xmlns:r="http://schemas.openxmlformats.org/officeDocument/2006/relationships" ref="E1" r:id="rId1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J1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13" customWidth="1" min="10" max="10"/>
  </cols>
  <sheetData>
    <row r="1" ht="34" customHeight="1">
      <c r="A1" s="1" t="inlineStr">
        <is>
          <t>Level guide — what each rating means</t>
        </is>
      </c>
      <c r="J1" s="38" t="inlineStr">
        <is>
          <t>◂ Contents</t>
        </is>
      </c>
    </row>
    <row r="2" ht="30" customHeight="1">
      <c r="A2" s="3" t="inlineStr">
        <is>
          <t>Sheet 2 · A rating means the factor is at the size of that level. Read across a row to see what a role at that level owns, decides and answers for.</t>
        </is>
      </c>
    </row>
    <row r="3">
      <c r="A3" s="4" t="inlineStr">
        <is>
          <t>IRIS · Job Architecture &amp; Job Design · Final v1.12 · October 2026 · Internal — Confidential</t>
        </is>
      </c>
    </row>
    <row r="4"/>
    <row r="5" ht="15" customHeight="1">
      <c r="A5" s="7" t="inlineStr">
        <is>
          <t>Rating</t>
        </is>
      </c>
      <c r="B5" s="7" t="inlineStr">
        <is>
          <t>Level</t>
        </is>
      </c>
      <c r="C5" s="7" t="inlineStr">
        <is>
          <t>What the role owns</t>
        </is>
      </c>
      <c r="D5" s="7" t="inlineStr">
        <is>
          <t>Complexity</t>
        </is>
      </c>
      <c r="E5" s="7" t="inlineStr">
        <is>
          <t>Autonomy</t>
        </is>
      </c>
      <c r="F5" s="7" t="inlineStr">
        <is>
          <t>Accountability</t>
        </is>
      </c>
      <c r="G5" s="7" t="inlineStr">
        <is>
          <t>Leadership</t>
        </is>
      </c>
      <c r="H5" s="7" t="inlineStr">
        <is>
          <t>Experience</t>
        </is>
      </c>
      <c r="I5" s="7" t="inlineStr">
        <is>
          <t>Bus. impact</t>
        </is>
      </c>
    </row>
    <row r="6" ht="28" customHeight="1">
      <c r="A6" s="14" t="n">
        <v>1</v>
      </c>
      <c r="B6" s="15" t="inlineStr">
        <is>
          <t>A1</t>
        </is>
      </c>
      <c r="C6" s="16" t="inlineStr">
        <is>
          <t>Learning the role; all work reviewed</t>
        </is>
      </c>
      <c r="D6" s="16" t="inlineStr">
        <is>
          <t>Learning; follows worked examples</t>
        </is>
      </c>
      <c r="E6" s="16" t="inlineStr">
        <is>
          <t>Needs approval / close guidance</t>
        </is>
      </c>
      <c r="F6" s="16" t="inlineStr">
        <is>
          <t>Learning tasks</t>
        </is>
      </c>
      <c r="G6" s="16" t="inlineStr">
        <is>
          <t>Not scored in Band A</t>
        </is>
      </c>
      <c r="H6" s="16" t="inlineStr">
        <is>
          <t>No experience yet</t>
        </is>
      </c>
      <c r="I6" s="16" t="inlineStr">
        <is>
          <t>Learning; little direct effect on business results yet</t>
        </is>
      </c>
    </row>
    <row r="7" ht="54" customHeight="1">
      <c r="A7" s="14" t="n">
        <v>2</v>
      </c>
      <c r="B7" s="15" t="inlineStr">
        <is>
          <t>A2</t>
        </is>
      </c>
      <c r="C7" s="16" t="inlineStr">
        <is>
          <t>Standard work delivered independently</t>
        </is>
      </c>
      <c r="D7" s="16" t="inlineStr">
        <is>
          <t>Standard work of the discipline</t>
        </is>
      </c>
      <c r="E7" s="16" t="inlineStr">
        <is>
          <t>Chooses own approach within standards</t>
        </is>
      </c>
      <c r="F7" s="16" t="inlineStr">
        <is>
          <t>Own deliverables · accuracy, TAT</t>
        </is>
      </c>
      <c r="G7" s="16" t="inlineStr">
        <is>
          <t>Not scored in Band A</t>
        </is>
      </c>
      <c r="H7" s="16" t="inlineStr">
        <is>
          <t>About 1 yr of total experience; relevant professional or postgraduate qualification counts in addition</t>
        </is>
      </c>
      <c r="I7" s="16" t="inlineStr">
        <is>
          <t>Own deliverables feed a team's output and turnaround</t>
        </is>
      </c>
    </row>
    <row r="8" ht="54" customHeight="1">
      <c r="A8" s="14" t="n">
        <v>3</v>
      </c>
      <c r="B8" s="15" t="inlineStr">
        <is>
          <t>A3</t>
        </is>
      </c>
      <c r="C8" s="16" t="inlineStr">
        <is>
          <t>Varied work; reviews juniors; go-to for a process</t>
        </is>
      </c>
      <c r="D8" s="16" t="inlineStr">
        <is>
          <t>Varied and non-standard work; handles exceptions</t>
        </is>
      </c>
      <c r="E8" s="16" t="inlineStr">
        <is>
          <t>Technical / QC / client calls on own work</t>
        </is>
      </c>
      <c r="F8" s="16" t="inlineStr">
        <is>
          <t>A module / process, or work with client or regulatory consequences</t>
        </is>
      </c>
      <c r="G8" s="16" t="inlineStr">
        <is>
          <t>Not scored in Band A</t>
        </is>
      </c>
      <c r="H8" s="16" t="inlineStr">
        <is>
          <t>About 3 yrs of total experience; relevant professional or postgraduate qualification counts in addition</t>
        </is>
      </c>
      <c r="I8" s="16" t="inlineStr">
        <is>
          <t>A process or client deliverable depends on this work</t>
        </is>
      </c>
    </row>
    <row r="9" ht="54" customHeight="1">
      <c r="A9" s="17" t="n">
        <v>4</v>
      </c>
      <c r="B9" s="18" t="inlineStr">
        <is>
          <t>B1</t>
        </is>
      </c>
      <c r="C9" s="19" t="inlineStr">
        <is>
          <t>A domain / module, or a small team</t>
        </is>
      </c>
      <c r="D9" s="19" t="inlineStr">
        <is>
          <t>Domain specialist work</t>
        </is>
      </c>
      <c r="E9" s="19" t="inlineStr">
        <is>
          <t>Technical / QC / client calls for the domain</t>
        </is>
      </c>
      <c r="F9" s="19" t="inlineStr">
        <is>
          <t>A domain or a small team</t>
        </is>
      </c>
      <c r="G9" s="19" t="inlineStr">
        <is>
          <r>
            <rPr>
              <rFont val="Calibri"/>
              <b val="1"/>
              <sz val="10"/>
            </rPr>
            <t>IC:</t>
          </r>
          <r>
            <rPr>
              <rFont val="Calibri"/>
              <sz val="10"/>
            </rPr>
            <t xml:space="preserve"> mentors and reviews · People: hands-on team lead of 3–5</t>
          </r>
        </is>
      </c>
      <c r="H9" s="19" t="inlineStr">
        <is>
          <t>About 5.5 yrs of total experience; relevant professional or postgraduate qualification counts in addition</t>
        </is>
      </c>
      <c r="I9" s="19" t="inlineStr">
        <is>
          <t>Moves a module's, product area's or client account's results</t>
        </is>
      </c>
    </row>
    <row r="10" ht="54" customHeight="1">
      <c r="A10" s="17" t="n">
        <v>5</v>
      </c>
      <c r="B10" s="18" t="inlineStr">
        <is>
          <t>B2</t>
        </is>
      </c>
      <c r="C10" s="19" t="inlineStr">
        <is>
          <t>Deep domain expertise, or one team</t>
        </is>
      </c>
      <c r="D10" s="19" t="inlineStr">
        <is>
          <t>Hardest problems in the domain</t>
        </is>
      </c>
      <c r="E10" s="19" t="inlineStr">
        <is>
          <t>Allocates people and sets team priorities</t>
        </is>
      </c>
      <c r="F10" s="19" t="inlineStr">
        <is>
          <t>One team or a client portfolio</t>
        </is>
      </c>
      <c r="G10" s="19" t="inlineStr">
        <is>
          <r>
            <rPr>
              <rFont val="Calibri"/>
              <b val="1"/>
              <sz val="10"/>
            </rPr>
            <t>IC:</t>
          </r>
          <r>
            <rPr>
              <rFont val="Calibri"/>
              <sz val="10"/>
            </rPr>
            <t xml:space="preserve"> guides others in the domain · People: manages a team of 6+</t>
          </r>
        </is>
      </c>
      <c r="H10" s="19" t="inlineStr">
        <is>
          <t>About 7.5 yrs of total experience; relevant professional or postgraduate qualification counts in addition</t>
        </is>
      </c>
      <c r="I10" s="19" t="inlineStr">
        <is>
          <t>Visible effect on a team's or client portfolio's revenue, quality or compliance</t>
        </is>
      </c>
    </row>
    <row r="11" ht="54" customHeight="1">
      <c r="A11" s="17" t="n">
        <v>6</v>
      </c>
      <c r="B11" s="18" t="inlineStr">
        <is>
          <t>B3</t>
        </is>
      </c>
      <c r="C11" s="19" t="inlineStr">
        <is>
          <t>A practice, or several teams through team leads</t>
        </is>
      </c>
      <c r="D11" s="19" t="inlineStr">
        <is>
          <t>Sets standards for a practice; cross-team problems</t>
        </is>
      </c>
      <c r="E11" s="19" t="inlineStr">
        <is>
          <t>Commercial / strategic calls for the unit</t>
        </is>
      </c>
      <c r="F11" s="19" t="inlineStr">
        <is>
          <t>Several teams or a practice</t>
        </is>
      </c>
      <c r="G11" s="19" t="inlineStr">
        <is>
          <r>
            <rPr>
              <rFont val="Calibri"/>
              <b val="1"/>
              <sz val="10"/>
            </rPr>
            <t>IC:</t>
          </r>
          <r>
            <rPr>
              <rFont val="Calibri"/>
              <sz val="10"/>
            </rPr>
            <t xml:space="preserve"> leads a practice · People: team leads / managers report in</t>
          </r>
        </is>
      </c>
      <c r="H11" s="19" t="inlineStr">
        <is>
          <t>About 10 yrs of total experience; relevant professional or postgraduate qualification counts in addition</t>
        </is>
      </c>
      <c r="I11" s="19" t="inlineStr">
        <is>
          <t>Shapes the results of a practice or several teams</t>
        </is>
      </c>
    </row>
    <row r="12" ht="54" customHeight="1">
      <c r="A12" s="20" t="n">
        <v>7</v>
      </c>
      <c r="B12" s="21" t="inlineStr">
        <is>
          <t>C1</t>
        </is>
      </c>
      <c r="C12" s="22" t="inlineStr">
        <is>
          <t>A sub-function, or principal authority across products</t>
        </is>
      </c>
      <c r="D12" s="22" t="inlineStr">
        <is>
          <t>Ambiguous, cross-product problems</t>
        </is>
      </c>
      <c r="E12" s="22" t="inlineStr">
        <is>
          <t>Sets direction for a sub-function or domain</t>
        </is>
      </c>
      <c r="F12" s="22" t="inlineStr">
        <is>
          <t>Sub-function results or domain quality across products</t>
        </is>
      </c>
      <c r="G12" s="22" t="inlineStr">
        <is>
          <t>Leads managers or a community of practice</t>
        </is>
      </c>
      <c r="H12" s="22" t="inlineStr">
        <is>
          <t>About 12 yrs of total experience; relevant professional or postgraduate qualification counts in addition</t>
        </is>
      </c>
      <c r="I12" s="22" t="inlineStr">
        <is>
          <t>Changes results across a sub-function or across products</t>
        </is>
      </c>
    </row>
    <row r="13" ht="54" customHeight="1">
      <c r="A13" s="20" t="n">
        <v>8</v>
      </c>
      <c r="B13" s="21" t="inlineStr">
        <is>
          <t>C2</t>
        </is>
      </c>
      <c r="C13" s="22" t="inlineStr">
        <is>
          <t>A function or department, or a company-wide discipline</t>
        </is>
      </c>
      <c r="D13" s="22" t="inlineStr">
        <is>
          <t>Function-wide or company-wide problems; creates methods and standards</t>
        </is>
      </c>
      <c r="E13" s="22" t="inlineStr">
        <is>
          <t>Sets direction for a function</t>
        </is>
      </c>
      <c r="F13" s="22" t="inlineStr">
        <is>
          <t>Function results, budget and risk</t>
        </is>
      </c>
      <c r="G13" s="22" t="inlineStr">
        <is>
          <t>Leads a function; shapes functional strategy</t>
        </is>
      </c>
      <c r="H13" s="22" t="inlineStr">
        <is>
          <t>About 14.5 yrs of total experience; relevant professional or postgraduate qualification counts in addition</t>
        </is>
      </c>
      <c r="I13" s="22" t="inlineStr">
        <is>
          <t>Drives a function's or department's results and costs</t>
        </is>
      </c>
    </row>
    <row r="14" ht="54" customHeight="1">
      <c r="A14" s="23" t="n">
        <v>9</v>
      </c>
      <c r="B14" s="24" t="inlineStr">
        <is>
          <t>D1</t>
        </is>
      </c>
      <c r="C14" s="25" t="inlineStr">
        <is>
          <t>A business line P&amp;L, region or enterprise function</t>
        </is>
      </c>
      <c r="D14" s="25" t="inlineStr">
        <is>
          <t>Competing strategic, financial and regulatory priorities</t>
        </is>
      </c>
      <c r="E14" s="25" t="inlineStr">
        <is>
          <t>Sets business-line direction, pricing and investment</t>
        </is>
      </c>
      <c r="F14" s="25" t="inlineStr">
        <is>
          <t>Business-line P&amp;L and market position</t>
        </is>
      </c>
      <c r="G14" s="25" t="inlineStr">
        <is>
          <t>Defines business strategy; builds the leadership bench</t>
        </is>
      </c>
      <c r="H14" s="25" t="inlineStr">
        <is>
          <t>About 17.5 yrs of total experience; relevant professional or postgraduate qualification counts in addition</t>
        </is>
      </c>
      <c r="I14" s="25" t="inlineStr">
        <is>
          <t>Owns a business line's P&amp;L and growth, or a company-wide function</t>
        </is>
      </c>
    </row>
    <row r="15" ht="54" customHeight="1">
      <c r="A15" s="23" t="n">
        <v>10</v>
      </c>
      <c r="B15" s="24" t="inlineStr">
        <is>
          <t>D2</t>
        </is>
      </c>
      <c r="C15" s="25" t="inlineStr">
        <is>
          <t>Several business lines or an executive-scope enterprise function</t>
        </is>
      </c>
      <c r="D15" s="25" t="inlineStr">
        <is>
          <t>Portfolio-level strategic, financial and regulatory trade-offs</t>
        </is>
      </c>
      <c r="E15" s="25" t="inlineStr">
        <is>
          <t>Sets direction across business lines</t>
        </is>
      </c>
      <c r="F15" s="25" t="inlineStr">
        <is>
          <t>Multi-business results</t>
        </is>
      </c>
      <c r="G15" s="25" t="inlineStr">
        <is>
          <t>Builds the leadership team across businesses</t>
        </is>
      </c>
      <c r="H15" s="25" t="inlineStr">
        <is>
          <t>About 21 yrs of total experience; relevant professional or postgraduate qualification counts in addition</t>
        </is>
      </c>
      <c r="I15" s="25" t="inlineStr">
        <is>
          <t>Owns the results of several business lines</t>
        </is>
      </c>
    </row>
    <row r="16" ht="54" customHeight="1">
      <c r="A16" s="26" t="n">
        <v>11</v>
      </c>
      <c r="B16" s="27" t="inlineStr">
        <is>
          <t>E1</t>
        </is>
      </c>
      <c r="C16" s="28" t="inlineStr">
        <is>
          <t>An enterprise-wide function</t>
        </is>
      </c>
      <c r="D16" s="28" t="inlineStr">
        <is>
          <t>Enterprise-level functional strategy</t>
        </is>
      </c>
      <c r="E16" s="28" t="inlineStr">
        <is>
          <t>Sets enterprise priorities for the function</t>
        </is>
      </c>
      <c r="F16" s="28" t="inlineStr">
        <is>
          <t>Enterprise-wide functional results</t>
        </is>
      </c>
      <c r="G16" s="28" t="inlineStr">
        <is>
          <t>Shapes enterprise strategy</t>
        </is>
      </c>
      <c r="H16" s="28" t="inlineStr">
        <is>
          <t>About 24 yrs of total experience; relevant professional or postgraduate qualification counts in addition</t>
        </is>
      </c>
      <c r="I16" s="28" t="inlineStr">
        <is>
          <t>Shapes company-wide results through a function</t>
        </is>
      </c>
    </row>
    <row r="17" ht="54" customHeight="1">
      <c r="A17" s="26" t="n">
        <v>12</v>
      </c>
      <c r="B17" s="27" t="inlineStr">
        <is>
          <t>E2</t>
        </is>
      </c>
      <c r="C17" s="28" t="inlineStr">
        <is>
          <t>The enterprise</t>
        </is>
      </c>
      <c r="D17" s="28" t="inlineStr">
        <is>
          <t>Enterprise-wide uncertainty, transformation and external forces</t>
        </is>
      </c>
      <c r="E17" s="28" t="inlineStr">
        <is>
          <t>Accountable to the board</t>
        </is>
      </c>
      <c r="F17" s="28" t="inlineStr">
        <is>
          <t>Enterprise results, risk, culture and long-term viability</t>
        </is>
      </c>
      <c r="G17" s="28" t="inlineStr">
        <is>
          <t>Sets enterprise strategy; leads the executive team</t>
        </is>
      </c>
      <c r="H17" s="28" t="inlineStr">
        <is>
          <t>About 28 yrs of total experience; relevant professional or postgraduate qualification counts in addition</t>
        </is>
      </c>
      <c r="I17" s="28" t="inlineStr">
        <is>
          <t>Answers for the whole company's results and long-term value</t>
        </is>
      </c>
    </row>
    <row r="18" ht="15" customHeight="1"/>
    <row r="19" ht="15" customHeight="1">
      <c r="A19" s="29" t="inlineStr">
        <is>
          <t>Half points are allowed where a factor sits between two levels.</t>
        </is>
      </c>
    </row>
  </sheetData>
  <mergeCells count="4">
    <mergeCell ref="A1:I1"/>
    <mergeCell ref="A3:I3"/>
    <mergeCell ref="A19:I19"/>
    <mergeCell ref="A2:I2"/>
  </mergeCells>
  <hyperlinks>
    <hyperlink xmlns:r="http://schemas.openxmlformats.org/officeDocument/2006/relationships" ref="J1" r:id="rId1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H29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50" customWidth="1" min="4" max="4"/>
    <col width="60" customWidth="1" min="5" max="5"/>
    <col width="34" customWidth="1" min="6" max="6"/>
    <col width="40" customWidth="1" min="7" max="7"/>
    <col width="13" customWidth="1" min="8" max="8"/>
  </cols>
  <sheetData>
    <row r="1" ht="34" customHeight="1">
      <c r="A1" s="1" t="inlineStr">
        <is>
          <t>Anchor roles — described by their work, not their title</t>
        </is>
      </c>
      <c r="H1" s="38" t="inlineStr">
        <is>
          <t>◂ Contents</t>
        </is>
      </c>
    </row>
    <row r="2" ht="30" customHeight="1">
      <c r="A2" s="3" t="inlineStr">
        <is>
          <t>Sheet 3 · 23 anchor roles across the ladder and across job families. Titles and levels are hidden so the raters judge the work itself.</t>
        </is>
      </c>
    </row>
    <row r="3">
      <c r="A3" s="4" t="inlineStr">
        <is>
          <t>IRIS · Job Architecture &amp; Job Design · Final v1.12 · October 2026 · Internal — Confidential</t>
        </is>
      </c>
    </row>
    <row r="4"/>
    <row r="5"/>
    <row r="6" ht="32" customHeight="1">
      <c r="A6" s="30" t="inlineStr">
        <is>
          <t>Anchor</t>
        </is>
      </c>
      <c r="B6" s="30" t="inlineStr">
        <is>
          <t>Job family</t>
        </is>
      </c>
      <c r="C6" s="30" t="inlineStr">
        <is>
          <t>Sub-family</t>
        </is>
      </c>
      <c r="D6" s="30" t="inlineStr">
        <is>
          <t>The work · sub-family definition</t>
        </is>
      </c>
      <c r="E6" s="30" t="inlineStr">
        <is>
          <t>What holders and managers say the role does · counted themes</t>
        </is>
      </c>
      <c r="F6" s="30" t="inlineStr">
        <is>
          <t>Skills · counted</t>
        </is>
      </c>
      <c r="G6" s="30" t="inlineStr">
        <is>
          <t>Facts</t>
        </is>
      </c>
    </row>
    <row r="7" ht="82" customHeight="1">
      <c r="A7" s="10" t="inlineStr">
        <is>
          <t>AR-01</t>
        </is>
      </c>
      <c r="B7" s="10" t="inlineStr">
        <is>
          <t>Engineering &amp; Development</t>
        </is>
      </c>
      <c r="C7" s="10" t="inlineStr">
        <is>
          <t>Backend Development</t>
        </is>
      </c>
      <c r="D7" s="10" t="inlineStr">
        <is>
          <t>Builds back-end services, APIs, processing/validation logic and DB code; fixes defects and delivers change requests.</t>
        </is>
      </c>
      <c r="E7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software · time · maintain · take · solutions · efficiency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fixing · quality · bug · development · client · code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improve · deliver · modules · committed · coverage · automated</t>
          </r>
        </is>
      </c>
      <c r="F7" s="10" t="inlineStr">
        <is>
          <t>NET MVC · Java</t>
        </is>
      </c>
      <c r="G7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0–2 yrs · 7 holders</t>
          </r>
        </is>
      </c>
    </row>
    <row r="8" ht="82" customHeight="1">
      <c r="A8" s="10" t="inlineStr">
        <is>
          <t>AR-02</t>
        </is>
      </c>
      <c r="B8" s="10" t="inlineStr">
        <is>
          <t>Engineering &amp; Development</t>
        </is>
      </c>
      <c r="C8" s="10" t="inlineStr">
        <is>
          <t>Front-End / UI Development</t>
        </is>
      </c>
      <c r="D8" s="10" t="inlineStr">
        <is>
          <t>Builds user interfaces and reusable UI components.</t>
        </is>
      </c>
      <c r="E8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solutions · maintain · problems · core · purpose · while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feature · code · quality · development · delivery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complete · improve · assigned · resolve · code · leakage qa/uat</t>
          </r>
        </is>
      </c>
      <c r="F8" s="10" t="inlineStr">
        <is>
          <t>Angular · React</t>
        </is>
      </c>
      <c r="G8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0–2 yrs · 6 holders</t>
          </r>
        </is>
      </c>
    </row>
    <row r="9" ht="56" customHeight="1">
      <c r="A9" s="10" t="inlineStr">
        <is>
          <t>AR-03</t>
        </is>
      </c>
      <c r="B9" s="10" t="inlineStr">
        <is>
          <t>Marketing &amp; Communications</t>
        </is>
      </c>
      <c r="C9" s="10" t="inlineStr">
        <is>
          <t>Content Marketing</t>
        </is>
      </c>
      <c r="D9" s="10" t="inlineStr">
        <is>
          <t>Writes blogs, web copy, collateral and social content.</t>
        </is>
      </c>
      <c r="E9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content · marketing · leads · generate · management · creation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content · blogs · week · campaign</t>
          </r>
        </is>
      </c>
      <c r="F9" s="10" t="inlineStr">
        <is>
          <t>Marketing · Research skills</t>
        </is>
      </c>
      <c r="G9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0–2 yrs · 5 holders</t>
          </r>
        </is>
      </c>
    </row>
    <row r="10" ht="82" customHeight="1">
      <c r="A10" s="10" t="inlineStr">
        <is>
          <t>AR-04</t>
        </is>
      </c>
      <c r="B10" s="10" t="inlineStr">
        <is>
          <t>Consulting &amp; Professional Services</t>
        </is>
      </c>
      <c r="C10" s="10" t="inlineStr">
        <is>
          <t>XBRL Tagging, Conversion &amp; Filing</t>
        </is>
      </c>
      <c r="D10" s="10" t="inlineStr">
        <is>
          <t>Tags and converts financial statements and regulatory returns into XBRL/iXBRL, performs QC, clears validation errors and delivers filing-ready outputs.</t>
        </is>
      </c>
      <c r="E10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financial · accurately · tagging · reporting · us · core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tagging · quality · validation · filing · resolution · financial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resolve · full · coverage · cycles · defect · xbrl</t>
          </r>
        </is>
      </c>
      <c r="F10" s="10" t="inlineStr">
        <is>
          <t>XBRL Domain · Taxonomy knowledge · attention to detail · validation · Problem-solving · filing procedures · XBRL concepts · QC</t>
        </is>
      </c>
      <c r="G10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12–16 yrs · 38 holders</t>
          </r>
        </is>
      </c>
    </row>
    <row r="11" ht="56" customHeight="1">
      <c r="A11" s="10" t="inlineStr">
        <is>
          <t>AR-05</t>
        </is>
      </c>
      <c r="B11" s="10" t="inlineStr">
        <is>
          <t>Data Operations &amp; Digitization</t>
        </is>
      </c>
      <c r="C11" s="10" t="inlineStr">
        <is>
          <t>Document Conversion, Formatting &amp; Web Publishing</t>
        </is>
      </c>
      <c r="D11" s="10" t="inlineStr">
        <is>
          <t>Converts and formats documents into HTML/PDF/Word to filing or web standards, and publishes content · incl. RBI website.</t>
        </is>
      </c>
      <c r="E11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purpose · core · quality · formatting · accuracy · information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document · quality · formatting · accuracy · checks · conversion</t>
          </r>
        </is>
      </c>
      <c r="F11" s="10" t="inlineStr">
        <is>
          <t>OCR/Image procesing · attention to detail · Excel · quality checking · HTML · timely delivery · OCR · Word</t>
        </is>
      </c>
      <c r="G11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5–8 yrs · 20 holders</t>
          </r>
        </is>
      </c>
    </row>
    <row r="12" ht="82" customHeight="1">
      <c r="A12" s="10" t="inlineStr">
        <is>
          <t>AR-06</t>
        </is>
      </c>
      <c r="B12" s="10" t="inlineStr">
        <is>
          <t>Quality Assurance</t>
        </is>
      </c>
      <c r="C12" s="10" t="inlineStr">
        <is>
          <t>Functional &amp; Domain Testing</t>
        </is>
      </c>
      <c r="D12" s="10" t="inlineStr">
        <is>
          <t>Designs and executes functional, regression and domain/AI-feature test cases; logs defects; supports sign-off.</t>
        </is>
      </c>
      <c r="E12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software · product · user · quality · works · requirements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test · regression · defect · case · reporting · execution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project · qa · quality · production · knowledge · test</t>
          </r>
        </is>
      </c>
      <c r="F12" s="10" t="inlineStr">
        <is>
          <t>Software testing · regression testing · Test case design · Manual Testing · Execution · Test case execution</t>
        </is>
      </c>
      <c r="G12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5–8 yrs · 20 holders</t>
          </r>
        </is>
      </c>
    </row>
    <row r="13" ht="95" customHeight="1">
      <c r="A13" s="10" t="inlineStr">
        <is>
          <t>AR-07</t>
        </is>
      </c>
      <c r="B13" s="10" t="inlineStr">
        <is>
          <t>Consulting &amp; Professional Services</t>
        </is>
      </c>
      <c r="C13" s="10" t="inlineStr">
        <is>
          <t>XBRL Tagging, Conversion &amp; Filing</t>
        </is>
      </c>
      <c r="D13" s="10" t="inlineStr">
        <is>
          <t>Tags and converts financial statements and regulatory returns into XBRL/iXBRL, performs QC, clears validation errors and delivers filing-ready outputs.</t>
        </is>
      </c>
      <c r="E13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reporting · financial · mandate · timely · while · us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tagging · validation · quality · mapping · management · filing</t>
          </r>
        </is>
      </c>
      <c r="F13" s="10" t="inlineStr">
        <is>
          <t>XBRL Domain · Attention to detail · Advanced XBRL Mapping knowledge · Different region Taxonomy Knowledge · Financial Reporting Standards (US-GAAP · IFRS · Validations · US mandate/process knowledge</t>
        </is>
      </c>
      <c r="G13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12–16 yrs · 10 holders</t>
          </r>
        </is>
      </c>
    </row>
    <row r="14" ht="82" customHeight="1">
      <c r="A14" s="10" t="inlineStr">
        <is>
          <t>AR-08</t>
        </is>
      </c>
      <c r="B14" s="10" t="inlineStr">
        <is>
          <t>Business Analysis</t>
        </is>
      </c>
      <c r="C14" s="10" t="inlineStr">
        <is>
          <t>Business Analysis</t>
        </is>
      </c>
      <c r="D14" s="10" t="inlineStr">
        <is>
          <t>Gathers and documents requirements · BRD/FRD/SRS/user stories, configures solutions and supports UAT and releases.</t>
        </is>
      </c>
      <c r="E14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business · smooth · between · client · am · requirements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requirement · stakeholder · gathering · client · project · portfolio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releases · satisfaction · delivery · assigned · uat · requirement</t>
          </r>
        </is>
      </c>
      <c r="F14" s="10" t="inlineStr">
        <is>
          <t>Business Analysis</t>
        </is>
      </c>
      <c r="G14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8–12 yrs · 7 holders</t>
          </r>
        </is>
      </c>
    </row>
    <row r="15" ht="56" customHeight="1">
      <c r="A15" s="10" t="inlineStr">
        <is>
          <t>AR-09</t>
        </is>
      </c>
      <c r="B15" s="10" t="inlineStr">
        <is>
          <t>Product Management</t>
        </is>
      </c>
      <c r="C15" s="10" t="inlineStr">
        <is>
          <t>Product Management</t>
        </is>
      </c>
      <c r="D15" s="10" t="inlineStr">
        <is>
          <t>Owns product vision, roadmap, requirements · PRDs, prioritisation and adoption.</t>
        </is>
      </c>
      <c r="E15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product · management · customers · roadmap · shape · stakeholder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research · demos · product · management · customer · analysis</t>
          </r>
        </is>
      </c>
      <c r="F15" s="10" t="inlineStr">
        <is>
          <t>Product Management · Project management · Product sense · Market research · CA + CE</t>
        </is>
      </c>
      <c r="G15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5–8 yrs · 5 holders</t>
          </r>
        </is>
      </c>
    </row>
    <row r="16" ht="82" customHeight="1">
      <c r="A16" s="10" t="inlineStr">
        <is>
          <t>AR-10</t>
        </is>
      </c>
      <c r="B16" s="10" t="inlineStr">
        <is>
          <t>Project &amp; Program Management</t>
        </is>
      </c>
      <c r="C16" s="10" t="inlineStr">
        <is>
          <t>Project &amp; Program Delivery</t>
        </is>
      </c>
      <c r="D16" s="10" t="inlineStr">
        <is>
          <t>Plans and delivers projects/programmes to scope, time and cost; manages CRs, risks and stakeholders.</t>
        </is>
      </c>
      <c r="E16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project · management · support · business · stakeholder · client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client · management · project · delivery · documentation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project · management · level · support · scope · client</t>
          </r>
        </is>
      </c>
      <c r="F16" s="10" t="inlineStr">
        <is>
          <t>Project Management · Stakeholder management</t>
        </is>
      </c>
      <c r="G16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3–5 direct reports · holders' total experience: 12–16 yrs · 7 holders</t>
          </r>
        </is>
      </c>
    </row>
    <row r="17" ht="69" customHeight="1">
      <c r="A17" s="10" t="inlineStr">
        <is>
          <t>AR-11</t>
        </is>
      </c>
      <c r="B17" s="10" t="inlineStr">
        <is>
          <t>Customer Success &amp; Support</t>
        </is>
      </c>
      <c r="C17" s="10" t="inlineStr">
        <is>
          <t>Customer Success &amp; Account Management</t>
        </is>
      </c>
      <c r="D17" s="10" t="inlineStr">
        <is>
          <t>Owns client relationships after sale — hypercare, renewals, upsell, CSAT/NPS, delivery follow-through.</t>
        </is>
      </c>
      <c r="E17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cross improve · upsell cross · nps follow · tech · improve nps · us market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product · renewals · upsell · cross sell · update · testing</t>
          </r>
        </is>
      </c>
      <c r="F17" s="10" t="inlineStr">
        <is>
          <t>XBRL Domain</t>
        </is>
      </c>
      <c r="G17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12–16 yrs · 5 holders</t>
          </r>
        </is>
      </c>
    </row>
    <row r="18" ht="95" customHeight="1">
      <c r="A18" s="10" t="inlineStr">
        <is>
          <t>AR-12</t>
        </is>
      </c>
      <c r="B18" s="10" t="inlineStr">
        <is>
          <t>Product Management</t>
        </is>
      </c>
      <c r="C18" s="10" t="inlineStr">
        <is>
          <t>Product Management</t>
        </is>
      </c>
      <c r="D18" s="10" t="inlineStr">
        <is>
          <t>Owns product vision, roadmap, requirements · PRDs, prioritisation and adoption.</t>
        </is>
      </c>
      <c r="E18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product · market · delivery · business · revenue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product · implementation · client · management · delivery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development participation · cash · market requirements · tech learning · support organizational · profitability</t>
          </r>
        </is>
      </c>
      <c r="F18" s="10" t="inlineStr">
        <is>
          <t>Product management</t>
        </is>
      </c>
      <c r="G18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3–5 direct reports · holders' total experience: 12–16 yrs · 4 holders</t>
          </r>
        </is>
      </c>
    </row>
    <row r="19" ht="56" customHeight="1">
      <c r="A19" s="10" t="inlineStr">
        <is>
          <t>AR-13</t>
        </is>
      </c>
      <c r="B19" s="10" t="inlineStr">
        <is>
          <t>Engineering &amp; Architecture</t>
        </is>
      </c>
      <c r="C19" s="10" t="inlineStr">
        <is>
          <t>Solution &amp; Technical Architecture</t>
        </is>
      </c>
      <c r="D19" s="10" t="inlineStr">
        <is>
          <t>Designs system / solution architecture, integrations and technical standards; guides build teams.</t>
        </is>
      </c>
      <c r="E19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technical · project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technical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code · leakage qa/uat · defect · technical · quality · agreed</t>
          </r>
        </is>
      </c>
      <c r="F19" s="10" t="inlineStr">
        <is>
          <t>Java · NET MVC</t>
        </is>
      </c>
      <c r="G19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16–20 yrs · 3 holders</t>
          </r>
        </is>
      </c>
    </row>
    <row r="20" ht="30" customHeight="1">
      <c r="A20" s="10" t="inlineStr">
        <is>
          <t>AR-14</t>
        </is>
      </c>
      <c r="B20" s="10" t="inlineStr">
        <is>
          <t>Human Resources</t>
        </is>
      </c>
      <c r="C20" s="10" t="inlineStr">
        <is>
          <t>HR Transformation &amp; OD</t>
        </is>
      </c>
      <c r="D20" s="10" t="inlineStr">
        <is>
          <t>Designs HR transformation, capability and OD programmes.</t>
        </is>
      </c>
      <c r="E20" s="10" t="inlineStr">
        <is>
          <t>No common theme recorded</t>
        </is>
      </c>
      <c r="F20" s="10" t="inlineStr">
        <is>
          <t>—</t>
        </is>
      </c>
      <c r="G20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5–8 yrs · 1 holder</t>
          </r>
        </is>
      </c>
    </row>
    <row r="21" ht="43" customHeight="1">
      <c r="A21" s="10" t="inlineStr">
        <is>
          <t>AR-15</t>
        </is>
      </c>
      <c r="B21" s="10" t="inlineStr">
        <is>
          <t>Marketing &amp; Communications</t>
        </is>
      </c>
      <c r="C21" s="10" t="inlineStr">
        <is>
          <t>Marketing Leadership</t>
        </is>
      </c>
      <c r="D21" s="10" t="inlineStr">
        <is>
          <t>Leads the marketing &amp; communications function.</t>
        </is>
      </c>
      <c r="E21" s="10" t="inlineStr">
        <is>
          <t>No common theme recorded</t>
        </is>
      </c>
      <c r="F21" s="10" t="inlineStr">
        <is>
          <t>Marketing</t>
        </is>
      </c>
      <c r="G21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3–5 direct reports · holders' total experience: 8–12 yrs · 1 holder</t>
          </r>
        </is>
      </c>
    </row>
    <row r="22" ht="82" customHeight="1">
      <c r="A22" s="10" t="inlineStr">
        <is>
          <t>AR-16</t>
        </is>
      </c>
      <c r="B22" s="10" t="inlineStr">
        <is>
          <t>Engineering &amp; Architecture</t>
        </is>
      </c>
      <c r="C22" s="10" t="inlineStr">
        <is>
          <t>Solution &amp; Technical Architecture</t>
        </is>
      </c>
      <c r="D22" s="10" t="inlineStr">
        <is>
          <t>Designs system / solution architecture, integrations and technical standards; guides build teams.</t>
        </is>
      </c>
      <c r="E22" s="10" t="inlineStr">
        <is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technical · client · design · understanding · solution · application
</t>
          </r>
          <r>
            <rPr>
              <rFont val="Calibri"/>
              <b val="1"/>
              <sz val="10"/>
            </rPr>
            <t>Themes from role-holders' answers:</t>
          </r>
          <r>
            <rPr>
              <rFont val="Calibri"/>
              <sz val="10"/>
            </rPr>
            <t xml:space="preserve"> client · documentation · technical · solution · requirement · meeting
</t>
          </r>
          <r>
            <rPr>
              <rFont val="Calibri"/>
              <b val="1"/>
              <sz val="10"/>
            </rPr>
            <t>Common themes in manager-set KRAs:</t>
          </r>
          <r>
            <rPr>
              <rFont val="Calibri"/>
              <sz val="10"/>
            </rPr>
            <t xml:space="preserve"> support · technical · project · completion · develop · year</t>
          </r>
        </is>
      </c>
      <c r="F22" s="10" t="inlineStr">
        <is>
          <t>Java · Spring Boot · NET MVC</t>
        </is>
      </c>
      <c r="G22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16–20 yrs · 5 holders</t>
          </r>
        </is>
      </c>
    </row>
    <row r="23" ht="69" customHeight="1">
      <c r="A23" s="10" t="inlineStr">
        <is>
          <t>AR-17</t>
        </is>
      </c>
      <c r="B23" s="10" t="inlineStr">
        <is>
          <t>Sales &amp; Business Development</t>
        </is>
      </c>
      <c r="C23" s="10" t="inlineStr">
        <is>
          <t>Sales Leadership</t>
        </is>
      </c>
      <c r="D23" s="10" t="inlineStr">
        <is>
          <t>Leads the sales &amp; business development function.</t>
        </is>
      </c>
      <c r="E23" s="10" t="inlineStr">
        <is>
          <r>
            <rPr>
              <rFont val="Calibri"/>
              <b val="1"/>
              <sz val="10"/>
            </rPr>
            <t>Themes from sub-family holders, all levels' answers:</t>
          </r>
          <r>
            <rPr>
              <rFont val="Calibri"/>
              <sz val="10"/>
            </rPr>
            <t xml:space="preserve"> client · follow till · negotiations · details sdr · understand · call
</t>
          </r>
          <r>
            <rPr>
              <rFont val="Calibri"/>
              <b val="1"/>
              <sz val="10"/>
            </rPr>
            <t>Themes from sub-family holders, all levels' answers:</t>
          </r>
          <r>
            <rPr>
              <rFont val="Calibri"/>
              <sz val="10"/>
            </rPr>
            <t xml:space="preserve"> building · partner</t>
          </r>
        </is>
      </c>
      <c r="F23" s="10" t="inlineStr">
        <is>
          <t>Sales</t>
        </is>
      </c>
      <c r="G23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16–20 yrs · 3 holders</t>
          </r>
        </is>
      </c>
    </row>
    <row r="24" ht="43" customHeight="1">
      <c r="A24" s="10" t="inlineStr">
        <is>
          <t>AR-18</t>
        </is>
      </c>
      <c r="B24" s="10" t="inlineStr">
        <is>
          <t>Finance &amp; Accounts</t>
        </is>
      </c>
      <c r="C24" s="10" t="inlineStr">
        <is>
          <t>Finance Leadership</t>
        </is>
      </c>
      <c r="D24" s="10" t="inlineStr">
        <is>
          <t>Leads the finance &amp; accounts function.</t>
        </is>
      </c>
      <c r="E24" s="10" t="inlineStr">
        <is>
          <t>No common theme recorded</t>
        </is>
      </c>
      <c r="F24" s="10" t="inlineStr">
        <is>
          <t>Accounting</t>
        </is>
      </c>
      <c r="G24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1–2 direct reports · holders' total experience: 16–20 yrs · 2 holders</t>
          </r>
        </is>
      </c>
    </row>
    <row r="25" ht="30" customHeight="1">
      <c r="A25" s="10" t="inlineStr">
        <is>
          <t>AR-19</t>
        </is>
      </c>
      <c r="B25" s="10" t="inlineStr">
        <is>
          <t>Administration, Legal &amp; Secretarial</t>
        </is>
      </c>
      <c r="C25" s="10" t="inlineStr">
        <is>
          <t>Company Secretarial &amp; Legal</t>
        </is>
      </c>
      <c r="D25" s="10" t="inlineStr">
        <is>
          <t>Handles statutory filings, board matters, contracts and legal compliance.</t>
        </is>
      </c>
      <c r="E25" s="10" t="inlineStr">
        <is>
          <t>No common theme recorded</t>
        </is>
      </c>
      <c r="F25" s="10" t="inlineStr">
        <is>
          <t>Secretarial · Legal</t>
        </is>
      </c>
      <c r="G25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individual contributor · holders' total experience: 12–16 yrs · 1 holder</t>
          </r>
        </is>
      </c>
    </row>
    <row r="26" ht="43" customHeight="1">
      <c r="A26" s="10" t="inlineStr">
        <is>
          <t>AR-20</t>
        </is>
      </c>
      <c r="B26" s="10" t="inlineStr">
        <is>
          <t>Project &amp; Program Management</t>
        </is>
      </c>
      <c r="C26" s="10" t="inlineStr">
        <is>
          <t>Delivery Leadership</t>
        </is>
      </c>
      <c r="D26" s="10" t="inlineStr">
        <is>
          <t>Leads the project &amp; program management function.</t>
        </is>
      </c>
      <c r="E26" s="10" t="inlineStr">
        <is>
          <t>No common theme recorded</t>
        </is>
      </c>
      <c r="F26" s="10" t="inlineStr">
        <is>
          <t>—</t>
        </is>
      </c>
      <c r="G26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20+ direct reports · holders' total experience: 20+ yrs · 1 holder</t>
          </r>
        </is>
      </c>
    </row>
    <row r="27" ht="69" customHeight="1">
      <c r="A27" s="10" t="inlineStr">
        <is>
          <t>AR-21</t>
        </is>
      </c>
      <c r="B27" s="10" t="inlineStr">
        <is>
          <t>Sales &amp; Business Development</t>
        </is>
      </c>
      <c r="C27" s="10" t="inlineStr">
        <is>
          <t>Sales Leadership</t>
        </is>
      </c>
      <c r="D27" s="10" t="inlineStr">
        <is>
          <t>Leads the sales &amp; business development function.</t>
        </is>
      </c>
      <c r="E27" s="10" t="inlineStr">
        <is>
          <r>
            <rPr>
              <rFont val="Calibri"/>
              <b val="1"/>
              <sz val="10"/>
            </rPr>
            <t>Themes from sub-family holders, all levels' answers:</t>
          </r>
          <r>
            <rPr>
              <rFont val="Calibri"/>
              <sz val="10"/>
            </rPr>
            <t xml:space="preserve"> client · follow till · negotiations · details sdr · understand · call
</t>
          </r>
          <r>
            <rPr>
              <rFont val="Calibri"/>
              <b val="1"/>
              <sz val="10"/>
            </rPr>
            <t>Themes from sub-family holders, all levels' answers:</t>
          </r>
          <r>
            <rPr>
              <rFont val="Calibri"/>
              <sz val="10"/>
            </rPr>
            <t xml:space="preserve"> building · partner</t>
          </r>
        </is>
      </c>
      <c r="F27" s="10" t="inlineStr">
        <is>
          <t>Sales</t>
        </is>
      </c>
      <c r="G27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3–5 direct reports · holders' total experience: 20+ yrs · 1 holder</t>
          </r>
        </is>
      </c>
    </row>
    <row r="28" ht="43" customHeight="1">
      <c r="A28" s="10" t="inlineStr">
        <is>
          <t>AR-22</t>
        </is>
      </c>
      <c r="B28" s="10" t="inlineStr">
        <is>
          <t>Executive Leadership</t>
        </is>
      </c>
      <c r="C28" s="10" t="inlineStr">
        <is>
          <t>Business &amp; Functional Leadership</t>
        </is>
      </c>
      <c r="D28" s="10" t="inlineStr">
        <is>
          <t>Owns a business line or enterprise function end to end.</t>
        </is>
      </c>
      <c r="E28" s="10" t="inlineStr">
        <is>
          <t>No common theme recorded</t>
        </is>
      </c>
      <c r="F28" s="10" t="inlineStr">
        <is>
          <t>Product Management</t>
        </is>
      </c>
      <c r="G28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6–10 direct reports · holders' total experience: 20+ yrs · 2 holders</t>
          </r>
        </is>
      </c>
    </row>
    <row r="29" ht="43" customHeight="1">
      <c r="A29" s="10" t="inlineStr">
        <is>
          <t>AR-23</t>
        </is>
      </c>
      <c r="B29" s="10" t="inlineStr">
        <is>
          <t>Executive Leadership</t>
        </is>
      </c>
      <c r="C29" s="10" t="inlineStr">
        <is>
          <t>Business &amp; Functional Leadership</t>
        </is>
      </c>
      <c r="D29" s="10" t="inlineStr">
        <is>
          <t>Owns a business line or enterprise function end to end.</t>
        </is>
      </c>
      <c r="E29" s="10" t="inlineStr">
        <is>
          <t>No common theme recorded</t>
        </is>
      </c>
      <c r="F29" s="10" t="inlineStr">
        <is>
          <t>Product Management</t>
        </is>
      </c>
      <c r="G29" s="10" t="inlineStr">
        <is>
          <r>
            <rPr>
              <rFont val="Calibri"/>
              <b val="1"/>
              <sz val="10"/>
            </rPr>
            <t>Track:</t>
          </r>
          <r>
            <rPr>
              <rFont val="Calibri"/>
              <sz val="10"/>
            </rPr>
            <t xml:space="preserve"> manages a team · typical team: 6–10 direct reports · holders' total experience: 16–20 yrs · 3 holders</t>
          </r>
        </is>
      </c>
    </row>
  </sheetData>
  <mergeCells count="3">
    <mergeCell ref="A3:G3"/>
    <mergeCell ref="A2:G2"/>
    <mergeCell ref="A1:G1"/>
  </mergeCells>
  <hyperlinks>
    <hyperlink xmlns:r="http://schemas.openxmlformats.org/officeDocument/2006/relationships" ref="H1" r:id="rId1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J29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4" customWidth="1" min="9" max="9"/>
    <col width="13" customWidth="1" min="10" max="10"/>
  </cols>
  <sheetData>
    <row r="1" ht="34" customHeight="1">
      <c r="A1" s="1" t="inlineStr">
        <is>
          <t>Rater A — rate each factor</t>
        </is>
      </c>
      <c r="J1" s="38" t="inlineStr">
        <is>
          <t>◂ Contents</t>
        </is>
      </c>
    </row>
    <row r="2" ht="32" customHeight="1">
      <c r="A2" s="3" t="inlineStr">
        <is>
          <t>4 · Enter a rating from 1 to 12 · half points allowed for every factor of every anchor, in the yellow cells. Use the level guide. Do not look at the other rater's sheet or at sheet 6 until you have finished.</t>
        </is>
      </c>
    </row>
    <row r="3">
      <c r="A3" s="4" t="inlineStr">
        <is>
          <t>IRIS · Job Architecture &amp; Job Design · Final v1.12 · October 2026 · Internal — Confidential</t>
        </is>
      </c>
    </row>
    <row r="4"/>
    <row r="5"/>
    <row r="6" ht="32" customHeight="1">
      <c r="A6" s="30" t="inlineStr">
        <is>
          <t>Anchor</t>
        </is>
      </c>
      <c r="B6" s="30" t="inlineStr">
        <is>
          <t>Sub-family</t>
        </is>
      </c>
      <c r="C6" s="30" t="inlineStr">
        <is>
          <t>Complexity &amp; Expertise</t>
        </is>
      </c>
      <c r="D6" s="30" t="inlineStr">
        <is>
          <t>Autonomy &amp; Decision</t>
        </is>
      </c>
      <c r="E6" s="30" t="inlineStr">
        <is>
          <t>Accountability &amp; Impact</t>
        </is>
      </c>
      <c r="F6" s="30" t="inlineStr">
        <is>
          <t>Leadership &amp; Strategy</t>
        </is>
      </c>
      <c r="G6" s="30" t="inlineStr">
        <is>
          <t>Experience &amp; Qualification</t>
        </is>
      </c>
      <c r="H6" s="30" t="inlineStr">
        <is>
          <t>Business Impact</t>
        </is>
      </c>
      <c r="I6" s="30" t="inlineStr">
        <is>
          <t>Notes / evidence</t>
        </is>
      </c>
    </row>
    <row r="7" ht="18" customHeight="1">
      <c r="A7" s="10" t="inlineStr">
        <is>
          <t>AR-01</t>
        </is>
      </c>
      <c r="B7" s="10" t="inlineStr">
        <is>
          <t>Backend Development</t>
        </is>
      </c>
      <c r="C7" s="31" t="n"/>
      <c r="D7" s="31" t="n"/>
      <c r="E7" s="31" t="n"/>
      <c r="F7" s="31" t="n"/>
      <c r="G7" s="31" t="n"/>
      <c r="H7" s="31" t="n"/>
      <c r="I7" s="10" t="n"/>
    </row>
    <row r="8" ht="18" customHeight="1">
      <c r="A8" s="10" t="inlineStr">
        <is>
          <t>AR-02</t>
        </is>
      </c>
      <c r="B8" s="10" t="inlineStr">
        <is>
          <t>Front-End / UI Development</t>
        </is>
      </c>
      <c r="C8" s="31" t="n"/>
      <c r="D8" s="31" t="n"/>
      <c r="E8" s="31" t="n"/>
      <c r="F8" s="31" t="n"/>
      <c r="G8" s="31" t="n"/>
      <c r="H8" s="31" t="n"/>
      <c r="I8" s="10" t="n"/>
    </row>
    <row r="9" ht="18" customHeight="1">
      <c r="A9" s="10" t="inlineStr">
        <is>
          <t>AR-03</t>
        </is>
      </c>
      <c r="B9" s="10" t="inlineStr">
        <is>
          <t>Content Marketing</t>
        </is>
      </c>
      <c r="C9" s="31" t="n"/>
      <c r="D9" s="31" t="n"/>
      <c r="E9" s="31" t="n"/>
      <c r="F9" s="31" t="n"/>
      <c r="G9" s="31" t="n"/>
      <c r="H9" s="31" t="n"/>
      <c r="I9" s="10" t="n"/>
    </row>
    <row r="10" ht="30" customHeight="1">
      <c r="A10" s="10" t="inlineStr">
        <is>
          <t>AR-04</t>
        </is>
      </c>
      <c r="B10" s="10" t="inlineStr">
        <is>
          <t>XBRL Tagging, Conversion &amp; Filing</t>
        </is>
      </c>
      <c r="C10" s="31" t="n"/>
      <c r="D10" s="31" t="n"/>
      <c r="E10" s="31" t="n"/>
      <c r="F10" s="31" t="n"/>
      <c r="G10" s="31" t="n"/>
      <c r="H10" s="31" t="n"/>
      <c r="I10" s="10" t="n"/>
    </row>
    <row r="11" ht="30" customHeight="1">
      <c r="A11" s="10" t="inlineStr">
        <is>
          <t>AR-05</t>
        </is>
      </c>
      <c r="B11" s="10" t="inlineStr">
        <is>
          <t>Document Conversion, Formatting &amp; Web Publishing</t>
        </is>
      </c>
      <c r="C11" s="31" t="n"/>
      <c r="D11" s="31" t="n"/>
      <c r="E11" s="31" t="n"/>
      <c r="F11" s="31" t="n"/>
      <c r="G11" s="31" t="n"/>
      <c r="H11" s="31" t="n"/>
      <c r="I11" s="10" t="n"/>
    </row>
    <row r="12" ht="18" customHeight="1">
      <c r="A12" s="10" t="inlineStr">
        <is>
          <t>AR-06</t>
        </is>
      </c>
      <c r="B12" s="10" t="inlineStr">
        <is>
          <t>Functional &amp; Domain Testing</t>
        </is>
      </c>
      <c r="C12" s="31" t="n"/>
      <c r="D12" s="31" t="n"/>
      <c r="E12" s="31" t="n"/>
      <c r="F12" s="31" t="n"/>
      <c r="G12" s="31" t="n"/>
      <c r="H12" s="31" t="n"/>
      <c r="I12" s="10" t="n"/>
    </row>
    <row r="13" ht="30" customHeight="1">
      <c r="A13" s="10" t="inlineStr">
        <is>
          <t>AR-07</t>
        </is>
      </c>
      <c r="B13" s="10" t="inlineStr">
        <is>
          <t>XBRL Tagging, Conversion &amp; Filing</t>
        </is>
      </c>
      <c r="C13" s="31" t="n"/>
      <c r="D13" s="31" t="n"/>
      <c r="E13" s="31" t="n"/>
      <c r="F13" s="31" t="n"/>
      <c r="G13" s="31" t="n"/>
      <c r="H13" s="31" t="n"/>
      <c r="I13" s="10" t="n"/>
    </row>
    <row r="14" ht="18" customHeight="1">
      <c r="A14" s="10" t="inlineStr">
        <is>
          <t>AR-08</t>
        </is>
      </c>
      <c r="B14" s="10" t="inlineStr">
        <is>
          <t>Business Analysis</t>
        </is>
      </c>
      <c r="C14" s="31" t="n"/>
      <c r="D14" s="31" t="n"/>
      <c r="E14" s="31" t="n"/>
      <c r="F14" s="31" t="n"/>
      <c r="G14" s="31" t="n"/>
      <c r="H14" s="31" t="n"/>
      <c r="I14" s="10" t="n"/>
    </row>
    <row r="15" ht="18" customHeight="1">
      <c r="A15" s="10" t="inlineStr">
        <is>
          <t>AR-09</t>
        </is>
      </c>
      <c r="B15" s="10" t="inlineStr">
        <is>
          <t>Product Management</t>
        </is>
      </c>
      <c r="C15" s="31" t="n"/>
      <c r="D15" s="31" t="n"/>
      <c r="E15" s="31" t="n"/>
      <c r="F15" s="31" t="n"/>
      <c r="G15" s="31" t="n"/>
      <c r="H15" s="31" t="n"/>
      <c r="I15" s="10" t="n"/>
    </row>
    <row r="16" ht="18" customHeight="1">
      <c r="A16" s="10" t="inlineStr">
        <is>
          <t>AR-10</t>
        </is>
      </c>
      <c r="B16" s="10" t="inlineStr">
        <is>
          <t>Project &amp; Program Delivery</t>
        </is>
      </c>
      <c r="C16" s="31" t="n"/>
      <c r="D16" s="31" t="n"/>
      <c r="E16" s="31" t="n"/>
      <c r="F16" s="31" t="n"/>
      <c r="G16" s="31" t="n"/>
      <c r="H16" s="31" t="n"/>
      <c r="I16" s="10" t="n"/>
    </row>
    <row r="17" ht="30" customHeight="1">
      <c r="A17" s="10" t="inlineStr">
        <is>
          <t>AR-11</t>
        </is>
      </c>
      <c r="B17" s="10" t="inlineStr">
        <is>
          <t>Customer Success &amp; Account Management</t>
        </is>
      </c>
      <c r="C17" s="31" t="n"/>
      <c r="D17" s="31" t="n"/>
      <c r="E17" s="31" t="n"/>
      <c r="F17" s="31" t="n"/>
      <c r="G17" s="31" t="n"/>
      <c r="H17" s="31" t="n"/>
      <c r="I17" s="10" t="n"/>
    </row>
    <row r="18" ht="18" customHeight="1">
      <c r="A18" s="10" t="inlineStr">
        <is>
          <t>AR-12</t>
        </is>
      </c>
      <c r="B18" s="10" t="inlineStr">
        <is>
          <t>Product Management</t>
        </is>
      </c>
      <c r="C18" s="31" t="n"/>
      <c r="D18" s="31" t="n"/>
      <c r="E18" s="31" t="n"/>
      <c r="F18" s="31" t="n"/>
      <c r="G18" s="31" t="n"/>
      <c r="H18" s="31" t="n"/>
      <c r="I18" s="10" t="n"/>
    </row>
    <row r="19" ht="30" customHeight="1">
      <c r="A19" s="10" t="inlineStr">
        <is>
          <t>AR-13</t>
        </is>
      </c>
      <c r="B19" s="10" t="inlineStr">
        <is>
          <t>Solution &amp; Technical Architecture</t>
        </is>
      </c>
      <c r="C19" s="31" t="n"/>
      <c r="D19" s="31" t="n"/>
      <c r="E19" s="31" t="n"/>
      <c r="F19" s="31" t="n"/>
      <c r="G19" s="31" t="n"/>
      <c r="H19" s="31" t="n"/>
      <c r="I19" s="10" t="n"/>
    </row>
    <row r="20" ht="18" customHeight="1">
      <c r="A20" s="10" t="inlineStr">
        <is>
          <t>AR-14</t>
        </is>
      </c>
      <c r="B20" s="10" t="inlineStr">
        <is>
          <t>HR Transformation &amp; OD</t>
        </is>
      </c>
      <c r="C20" s="31" t="n"/>
      <c r="D20" s="31" t="n"/>
      <c r="E20" s="31" t="n"/>
      <c r="F20" s="31" t="n"/>
      <c r="G20" s="31" t="n"/>
      <c r="H20" s="31" t="n"/>
      <c r="I20" s="10" t="n"/>
    </row>
    <row r="21" ht="18" customHeight="1">
      <c r="A21" s="10" t="inlineStr">
        <is>
          <t>AR-15</t>
        </is>
      </c>
      <c r="B21" s="10" t="inlineStr">
        <is>
          <t>Marketing Leadership</t>
        </is>
      </c>
      <c r="C21" s="31" t="n"/>
      <c r="D21" s="31" t="n"/>
      <c r="E21" s="31" t="n"/>
      <c r="F21" s="31" t="n"/>
      <c r="G21" s="31" t="n"/>
      <c r="H21" s="31" t="n"/>
      <c r="I21" s="10" t="n"/>
    </row>
    <row r="22" ht="30" customHeight="1">
      <c r="A22" s="10" t="inlineStr">
        <is>
          <t>AR-16</t>
        </is>
      </c>
      <c r="B22" s="10" t="inlineStr">
        <is>
          <t>Solution &amp; Technical Architecture</t>
        </is>
      </c>
      <c r="C22" s="31" t="n"/>
      <c r="D22" s="31" t="n"/>
      <c r="E22" s="31" t="n"/>
      <c r="F22" s="31" t="n"/>
      <c r="G22" s="31" t="n"/>
      <c r="H22" s="31" t="n"/>
      <c r="I22" s="10" t="n"/>
    </row>
    <row r="23" ht="18" customHeight="1">
      <c r="A23" s="10" t="inlineStr">
        <is>
          <t>AR-17</t>
        </is>
      </c>
      <c r="B23" s="10" t="inlineStr">
        <is>
          <t>Sales Leadership</t>
        </is>
      </c>
      <c r="C23" s="31" t="n"/>
      <c r="D23" s="31" t="n"/>
      <c r="E23" s="31" t="n"/>
      <c r="F23" s="31" t="n"/>
      <c r="G23" s="31" t="n"/>
      <c r="H23" s="31" t="n"/>
      <c r="I23" s="10" t="n"/>
    </row>
    <row r="24" ht="18" customHeight="1">
      <c r="A24" s="10" t="inlineStr">
        <is>
          <t>AR-18</t>
        </is>
      </c>
      <c r="B24" s="10" t="inlineStr">
        <is>
          <t>Finance Leadership</t>
        </is>
      </c>
      <c r="C24" s="31" t="n"/>
      <c r="D24" s="31" t="n"/>
      <c r="E24" s="31" t="n"/>
      <c r="F24" s="31" t="n"/>
      <c r="G24" s="31" t="n"/>
      <c r="H24" s="31" t="n"/>
      <c r="I24" s="10" t="n"/>
    </row>
    <row r="25" ht="18" customHeight="1">
      <c r="A25" s="10" t="inlineStr">
        <is>
          <t>AR-19</t>
        </is>
      </c>
      <c r="B25" s="10" t="inlineStr">
        <is>
          <t>Company Secretarial &amp; Legal</t>
        </is>
      </c>
      <c r="C25" s="31" t="n"/>
      <c r="D25" s="31" t="n"/>
      <c r="E25" s="31" t="n"/>
      <c r="F25" s="31" t="n"/>
      <c r="G25" s="31" t="n"/>
      <c r="H25" s="31" t="n"/>
      <c r="I25" s="10" t="n"/>
    </row>
    <row r="26" ht="18" customHeight="1">
      <c r="A26" s="10" t="inlineStr">
        <is>
          <t>AR-20</t>
        </is>
      </c>
      <c r="B26" s="10" t="inlineStr">
        <is>
          <t>Delivery Leadership</t>
        </is>
      </c>
      <c r="C26" s="31" t="n"/>
      <c r="D26" s="31" t="n"/>
      <c r="E26" s="31" t="n"/>
      <c r="F26" s="31" t="n"/>
      <c r="G26" s="31" t="n"/>
      <c r="H26" s="31" t="n"/>
      <c r="I26" s="10" t="n"/>
    </row>
    <row r="27" ht="18" customHeight="1">
      <c r="A27" s="10" t="inlineStr">
        <is>
          <t>AR-21</t>
        </is>
      </c>
      <c r="B27" s="10" t="inlineStr">
        <is>
          <t>Sales Leadership</t>
        </is>
      </c>
      <c r="C27" s="31" t="n"/>
      <c r="D27" s="31" t="n"/>
      <c r="E27" s="31" t="n"/>
      <c r="F27" s="31" t="n"/>
      <c r="G27" s="31" t="n"/>
      <c r="H27" s="31" t="n"/>
      <c r="I27" s="10" t="n"/>
    </row>
    <row r="28" ht="30" customHeight="1">
      <c r="A28" s="10" t="inlineStr">
        <is>
          <t>AR-22</t>
        </is>
      </c>
      <c r="B28" s="10" t="inlineStr">
        <is>
          <t>Business &amp; Functional Leadership</t>
        </is>
      </c>
      <c r="C28" s="31" t="n"/>
      <c r="D28" s="31" t="n"/>
      <c r="E28" s="31" t="n"/>
      <c r="F28" s="31" t="n"/>
      <c r="G28" s="31" t="n"/>
      <c r="H28" s="31" t="n"/>
      <c r="I28" s="10" t="n"/>
    </row>
    <row r="29" ht="30" customHeight="1">
      <c r="A29" s="10" t="inlineStr">
        <is>
          <t>AR-23</t>
        </is>
      </c>
      <c r="B29" s="10" t="inlineStr">
        <is>
          <t>Business &amp; Functional Leadership</t>
        </is>
      </c>
      <c r="C29" s="31" t="n"/>
      <c r="D29" s="31" t="n"/>
      <c r="E29" s="31" t="n"/>
      <c r="F29" s="31" t="n"/>
      <c r="G29" s="31" t="n"/>
      <c r="H29" s="31" t="n"/>
      <c r="I29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I1"/>
    <mergeCell ref="A3:I3"/>
    <mergeCell ref="A2:I2"/>
  </mergeCells>
  <dataValidations count="1">
    <dataValidation sqref="C7:H29" showDropDown="0" showInputMessage="0" showErrorMessage="0" allowBlank="1" errorTitle="Rating 1–12" error="Enter a rating from 1 to 12 (half points allowed)." type="decimal" operator="between">
      <formula1>1</formula1>
      <formula2>12</formula2>
    </dataValidation>
  </dataValidations>
  <hyperlinks>
    <hyperlink xmlns:r="http://schemas.openxmlformats.org/officeDocument/2006/relationships" ref="J1" r:id="rId1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29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44" customWidth="1" min="9" max="9"/>
    <col width="13" customWidth="1" min="10" max="10"/>
  </cols>
  <sheetData>
    <row r="1" ht="34" customHeight="1">
      <c r="A1" s="1" t="inlineStr">
        <is>
          <t>Rater B — rate each factor</t>
        </is>
      </c>
      <c r="J1" s="38" t="inlineStr">
        <is>
          <t>◂ Contents</t>
        </is>
      </c>
    </row>
    <row r="2" ht="32" customHeight="1">
      <c r="A2" s="3" t="inlineStr">
        <is>
          <t>5 · Enter a rating from 1 to 12 · half points allowed for every factor of every anchor, in the yellow cells. Use the level guide. Do not look at the other rater's sheet or at sheet 6 until you have finished.</t>
        </is>
      </c>
    </row>
    <row r="3">
      <c r="A3" s="4" t="inlineStr">
        <is>
          <t>IRIS · Job Architecture &amp; Job Design · Final v1.12 · October 2026 · Internal — Confidential</t>
        </is>
      </c>
    </row>
    <row r="4"/>
    <row r="5"/>
    <row r="6" ht="32" customHeight="1">
      <c r="A6" s="30" t="inlineStr">
        <is>
          <t>Anchor</t>
        </is>
      </c>
      <c r="B6" s="30" t="inlineStr">
        <is>
          <t>Sub-family</t>
        </is>
      </c>
      <c r="C6" s="30" t="inlineStr">
        <is>
          <t>Complexity &amp; Expertise</t>
        </is>
      </c>
      <c r="D6" s="30" t="inlineStr">
        <is>
          <t>Autonomy &amp; Decision</t>
        </is>
      </c>
      <c r="E6" s="30" t="inlineStr">
        <is>
          <t>Accountability &amp; Impact</t>
        </is>
      </c>
      <c r="F6" s="30" t="inlineStr">
        <is>
          <t>Leadership &amp; Strategy</t>
        </is>
      </c>
      <c r="G6" s="30" t="inlineStr">
        <is>
          <t>Experience &amp; Qualification</t>
        </is>
      </c>
      <c r="H6" s="30" t="inlineStr">
        <is>
          <t>Business Impact</t>
        </is>
      </c>
      <c r="I6" s="30" t="inlineStr">
        <is>
          <t>Notes / evidence</t>
        </is>
      </c>
    </row>
    <row r="7" ht="18" customHeight="1">
      <c r="A7" s="10" t="inlineStr">
        <is>
          <t>AR-01</t>
        </is>
      </c>
      <c r="B7" s="10" t="inlineStr">
        <is>
          <t>Backend Development</t>
        </is>
      </c>
      <c r="C7" s="31" t="n"/>
      <c r="D7" s="31" t="n"/>
      <c r="E7" s="31" t="n"/>
      <c r="F7" s="31" t="n"/>
      <c r="G7" s="31" t="n"/>
      <c r="H7" s="31" t="n"/>
      <c r="I7" s="10" t="n"/>
    </row>
    <row r="8" ht="18" customHeight="1">
      <c r="A8" s="10" t="inlineStr">
        <is>
          <t>AR-02</t>
        </is>
      </c>
      <c r="B8" s="10" t="inlineStr">
        <is>
          <t>Front-End / UI Development</t>
        </is>
      </c>
      <c r="C8" s="31" t="n"/>
      <c r="D8" s="31" t="n"/>
      <c r="E8" s="31" t="n"/>
      <c r="F8" s="31" t="n"/>
      <c r="G8" s="31" t="n"/>
      <c r="H8" s="31" t="n"/>
      <c r="I8" s="10" t="n"/>
    </row>
    <row r="9" ht="18" customHeight="1">
      <c r="A9" s="10" t="inlineStr">
        <is>
          <t>AR-03</t>
        </is>
      </c>
      <c r="B9" s="10" t="inlineStr">
        <is>
          <t>Content Marketing</t>
        </is>
      </c>
      <c r="C9" s="31" t="n"/>
      <c r="D9" s="31" t="n"/>
      <c r="E9" s="31" t="n"/>
      <c r="F9" s="31" t="n"/>
      <c r="G9" s="31" t="n"/>
      <c r="H9" s="31" t="n"/>
      <c r="I9" s="10" t="n"/>
    </row>
    <row r="10" ht="30" customHeight="1">
      <c r="A10" s="10" t="inlineStr">
        <is>
          <t>AR-04</t>
        </is>
      </c>
      <c r="B10" s="10" t="inlineStr">
        <is>
          <t>XBRL Tagging, Conversion &amp; Filing</t>
        </is>
      </c>
      <c r="C10" s="31" t="n"/>
      <c r="D10" s="31" t="n"/>
      <c r="E10" s="31" t="n"/>
      <c r="F10" s="31" t="n"/>
      <c r="G10" s="31" t="n"/>
      <c r="H10" s="31" t="n"/>
      <c r="I10" s="10" t="n"/>
    </row>
    <row r="11" ht="30" customHeight="1">
      <c r="A11" s="10" t="inlineStr">
        <is>
          <t>AR-05</t>
        </is>
      </c>
      <c r="B11" s="10" t="inlineStr">
        <is>
          <t>Document Conversion, Formatting &amp; Web Publishing</t>
        </is>
      </c>
      <c r="C11" s="31" t="n"/>
      <c r="D11" s="31" t="n"/>
      <c r="E11" s="31" t="n"/>
      <c r="F11" s="31" t="n"/>
      <c r="G11" s="31" t="n"/>
      <c r="H11" s="31" t="n"/>
      <c r="I11" s="10" t="n"/>
    </row>
    <row r="12" ht="18" customHeight="1">
      <c r="A12" s="10" t="inlineStr">
        <is>
          <t>AR-06</t>
        </is>
      </c>
      <c r="B12" s="10" t="inlineStr">
        <is>
          <t>Functional &amp; Domain Testing</t>
        </is>
      </c>
      <c r="C12" s="31" t="n"/>
      <c r="D12" s="31" t="n"/>
      <c r="E12" s="31" t="n"/>
      <c r="F12" s="31" t="n"/>
      <c r="G12" s="31" t="n"/>
      <c r="H12" s="31" t="n"/>
      <c r="I12" s="10" t="n"/>
    </row>
    <row r="13" ht="30" customHeight="1">
      <c r="A13" s="10" t="inlineStr">
        <is>
          <t>AR-07</t>
        </is>
      </c>
      <c r="B13" s="10" t="inlineStr">
        <is>
          <t>XBRL Tagging, Conversion &amp; Filing</t>
        </is>
      </c>
      <c r="C13" s="31" t="n"/>
      <c r="D13" s="31" t="n"/>
      <c r="E13" s="31" t="n"/>
      <c r="F13" s="31" t="n"/>
      <c r="G13" s="31" t="n"/>
      <c r="H13" s="31" t="n"/>
      <c r="I13" s="10" t="n"/>
    </row>
    <row r="14" ht="18" customHeight="1">
      <c r="A14" s="10" t="inlineStr">
        <is>
          <t>AR-08</t>
        </is>
      </c>
      <c r="B14" s="10" t="inlineStr">
        <is>
          <t>Business Analysis</t>
        </is>
      </c>
      <c r="C14" s="31" t="n"/>
      <c r="D14" s="31" t="n"/>
      <c r="E14" s="31" t="n"/>
      <c r="F14" s="31" t="n"/>
      <c r="G14" s="31" t="n"/>
      <c r="H14" s="31" t="n"/>
      <c r="I14" s="10" t="n"/>
    </row>
    <row r="15" ht="18" customHeight="1">
      <c r="A15" s="10" t="inlineStr">
        <is>
          <t>AR-09</t>
        </is>
      </c>
      <c r="B15" s="10" t="inlineStr">
        <is>
          <t>Product Management</t>
        </is>
      </c>
      <c r="C15" s="31" t="n"/>
      <c r="D15" s="31" t="n"/>
      <c r="E15" s="31" t="n"/>
      <c r="F15" s="31" t="n"/>
      <c r="G15" s="31" t="n"/>
      <c r="H15" s="31" t="n"/>
      <c r="I15" s="10" t="n"/>
    </row>
    <row r="16" ht="18" customHeight="1">
      <c r="A16" s="10" t="inlineStr">
        <is>
          <t>AR-10</t>
        </is>
      </c>
      <c r="B16" s="10" t="inlineStr">
        <is>
          <t>Project &amp; Program Delivery</t>
        </is>
      </c>
      <c r="C16" s="31" t="n"/>
      <c r="D16" s="31" t="n"/>
      <c r="E16" s="31" t="n"/>
      <c r="F16" s="31" t="n"/>
      <c r="G16" s="31" t="n"/>
      <c r="H16" s="31" t="n"/>
      <c r="I16" s="10" t="n"/>
    </row>
    <row r="17" ht="30" customHeight="1">
      <c r="A17" s="10" t="inlineStr">
        <is>
          <t>AR-11</t>
        </is>
      </c>
      <c r="B17" s="10" t="inlineStr">
        <is>
          <t>Customer Success &amp; Account Management</t>
        </is>
      </c>
      <c r="C17" s="31" t="n"/>
      <c r="D17" s="31" t="n"/>
      <c r="E17" s="31" t="n"/>
      <c r="F17" s="31" t="n"/>
      <c r="G17" s="31" t="n"/>
      <c r="H17" s="31" t="n"/>
      <c r="I17" s="10" t="n"/>
    </row>
    <row r="18" ht="18" customHeight="1">
      <c r="A18" s="10" t="inlineStr">
        <is>
          <t>AR-12</t>
        </is>
      </c>
      <c r="B18" s="10" t="inlineStr">
        <is>
          <t>Product Management</t>
        </is>
      </c>
      <c r="C18" s="31" t="n"/>
      <c r="D18" s="31" t="n"/>
      <c r="E18" s="31" t="n"/>
      <c r="F18" s="31" t="n"/>
      <c r="G18" s="31" t="n"/>
      <c r="H18" s="31" t="n"/>
      <c r="I18" s="10" t="n"/>
    </row>
    <row r="19" ht="30" customHeight="1">
      <c r="A19" s="10" t="inlineStr">
        <is>
          <t>AR-13</t>
        </is>
      </c>
      <c r="B19" s="10" t="inlineStr">
        <is>
          <t>Solution &amp; Technical Architecture</t>
        </is>
      </c>
      <c r="C19" s="31" t="n"/>
      <c r="D19" s="31" t="n"/>
      <c r="E19" s="31" t="n"/>
      <c r="F19" s="31" t="n"/>
      <c r="G19" s="31" t="n"/>
      <c r="H19" s="31" t="n"/>
      <c r="I19" s="10" t="n"/>
    </row>
    <row r="20" ht="18" customHeight="1">
      <c r="A20" s="10" t="inlineStr">
        <is>
          <t>AR-14</t>
        </is>
      </c>
      <c r="B20" s="10" t="inlineStr">
        <is>
          <t>HR Transformation &amp; OD</t>
        </is>
      </c>
      <c r="C20" s="31" t="n"/>
      <c r="D20" s="31" t="n"/>
      <c r="E20" s="31" t="n"/>
      <c r="F20" s="31" t="n"/>
      <c r="G20" s="31" t="n"/>
      <c r="H20" s="31" t="n"/>
      <c r="I20" s="10" t="n"/>
    </row>
    <row r="21" ht="18" customHeight="1">
      <c r="A21" s="10" t="inlineStr">
        <is>
          <t>AR-15</t>
        </is>
      </c>
      <c r="B21" s="10" t="inlineStr">
        <is>
          <t>Marketing Leadership</t>
        </is>
      </c>
      <c r="C21" s="31" t="n"/>
      <c r="D21" s="31" t="n"/>
      <c r="E21" s="31" t="n"/>
      <c r="F21" s="31" t="n"/>
      <c r="G21" s="31" t="n"/>
      <c r="H21" s="31" t="n"/>
      <c r="I21" s="10" t="n"/>
    </row>
    <row r="22" ht="30" customHeight="1">
      <c r="A22" s="10" t="inlineStr">
        <is>
          <t>AR-16</t>
        </is>
      </c>
      <c r="B22" s="10" t="inlineStr">
        <is>
          <t>Solution &amp; Technical Architecture</t>
        </is>
      </c>
      <c r="C22" s="31" t="n"/>
      <c r="D22" s="31" t="n"/>
      <c r="E22" s="31" t="n"/>
      <c r="F22" s="31" t="n"/>
      <c r="G22" s="31" t="n"/>
      <c r="H22" s="31" t="n"/>
      <c r="I22" s="10" t="n"/>
    </row>
    <row r="23" ht="18" customHeight="1">
      <c r="A23" s="10" t="inlineStr">
        <is>
          <t>AR-17</t>
        </is>
      </c>
      <c r="B23" s="10" t="inlineStr">
        <is>
          <t>Sales Leadership</t>
        </is>
      </c>
      <c r="C23" s="31" t="n"/>
      <c r="D23" s="31" t="n"/>
      <c r="E23" s="31" t="n"/>
      <c r="F23" s="31" t="n"/>
      <c r="G23" s="31" t="n"/>
      <c r="H23" s="31" t="n"/>
      <c r="I23" s="10" t="n"/>
    </row>
    <row r="24" ht="18" customHeight="1">
      <c r="A24" s="10" t="inlineStr">
        <is>
          <t>AR-18</t>
        </is>
      </c>
      <c r="B24" s="10" t="inlineStr">
        <is>
          <t>Finance Leadership</t>
        </is>
      </c>
      <c r="C24" s="31" t="n"/>
      <c r="D24" s="31" t="n"/>
      <c r="E24" s="31" t="n"/>
      <c r="F24" s="31" t="n"/>
      <c r="G24" s="31" t="n"/>
      <c r="H24" s="31" t="n"/>
      <c r="I24" s="10" t="n"/>
    </row>
    <row r="25" ht="18" customHeight="1">
      <c r="A25" s="10" t="inlineStr">
        <is>
          <t>AR-19</t>
        </is>
      </c>
      <c r="B25" s="10" t="inlineStr">
        <is>
          <t>Company Secretarial &amp; Legal</t>
        </is>
      </c>
      <c r="C25" s="31" t="n"/>
      <c r="D25" s="31" t="n"/>
      <c r="E25" s="31" t="n"/>
      <c r="F25" s="31" t="n"/>
      <c r="G25" s="31" t="n"/>
      <c r="H25" s="31" t="n"/>
      <c r="I25" s="10" t="n"/>
    </row>
    <row r="26" ht="18" customHeight="1">
      <c r="A26" s="10" t="inlineStr">
        <is>
          <t>AR-20</t>
        </is>
      </c>
      <c r="B26" s="10" t="inlineStr">
        <is>
          <t>Delivery Leadership</t>
        </is>
      </c>
      <c r="C26" s="31" t="n"/>
      <c r="D26" s="31" t="n"/>
      <c r="E26" s="31" t="n"/>
      <c r="F26" s="31" t="n"/>
      <c r="G26" s="31" t="n"/>
      <c r="H26" s="31" t="n"/>
      <c r="I26" s="10" t="n"/>
    </row>
    <row r="27" ht="18" customHeight="1">
      <c r="A27" s="10" t="inlineStr">
        <is>
          <t>AR-21</t>
        </is>
      </c>
      <c r="B27" s="10" t="inlineStr">
        <is>
          <t>Sales Leadership</t>
        </is>
      </c>
      <c r="C27" s="31" t="n"/>
      <c r="D27" s="31" t="n"/>
      <c r="E27" s="31" t="n"/>
      <c r="F27" s="31" t="n"/>
      <c r="G27" s="31" t="n"/>
      <c r="H27" s="31" t="n"/>
      <c r="I27" s="10" t="n"/>
    </row>
    <row r="28" ht="30" customHeight="1">
      <c r="A28" s="10" t="inlineStr">
        <is>
          <t>AR-22</t>
        </is>
      </c>
      <c r="B28" s="10" t="inlineStr">
        <is>
          <t>Business &amp; Functional Leadership</t>
        </is>
      </c>
      <c r="C28" s="31" t="n"/>
      <c r="D28" s="31" t="n"/>
      <c r="E28" s="31" t="n"/>
      <c r="F28" s="31" t="n"/>
      <c r="G28" s="31" t="n"/>
      <c r="H28" s="31" t="n"/>
      <c r="I28" s="10" t="n"/>
    </row>
    <row r="29" ht="30" customHeight="1">
      <c r="A29" s="10" t="inlineStr">
        <is>
          <t>AR-23</t>
        </is>
      </c>
      <c r="B29" s="10" t="inlineStr">
        <is>
          <t>Business &amp; Functional Leadership</t>
        </is>
      </c>
      <c r="C29" s="31" t="n"/>
      <c r="D29" s="31" t="n"/>
      <c r="E29" s="31" t="n"/>
      <c r="F29" s="31" t="n"/>
      <c r="G29" s="31" t="n"/>
      <c r="H29" s="31" t="n"/>
      <c r="I29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:I1"/>
    <mergeCell ref="A3:I3"/>
    <mergeCell ref="A2:I2"/>
  </mergeCells>
  <dataValidations count="1">
    <dataValidation sqref="C7:H29" showDropDown="0" showInputMessage="0" showErrorMessage="0" allowBlank="1" errorTitle="Rating 1–12" error="Enter a rating from 1 to 12 (half points allowed)." type="decimal" operator="between">
      <formula1>1</formula1>
      <formula2>12</formula2>
    </dataValidation>
  </dataValidations>
  <hyperlinks>
    <hyperlink xmlns:r="http://schemas.openxmlformats.org/officeDocument/2006/relationships" ref="J1" r:id="rId1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N29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2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10" customWidth="1" min="39" max="39"/>
    <col width="13" customWidth="1" min="40" max="40"/>
  </cols>
  <sheetData>
    <row r="1" ht="34" customHeight="1">
      <c r="A1" s="1" t="inlineStr">
        <is>
          <t>Comparison and result — do the weights hold?</t>
        </is>
      </c>
      <c r="AN1" s="38" t="inlineStr">
        <is>
          <t>◂ Contents</t>
        </is>
      </c>
    </row>
    <row r="2" ht="30" customHeight="1">
      <c r="A2" s="3" t="inlineStr">
        <is>
          <t>Sheet 6 · Raters' ratings side by side; red = more than one point apart · discuss on evidence and enter the consensus in yellow; blank consensus = the average of the two. The consensus is scored with the model's weights for each role and compared with the model's level.</t>
        </is>
      </c>
    </row>
    <row r="3">
      <c r="A3" s="4" t="inlineStr">
        <is>
          <t>IRIS · Job Architecture &amp; Job Design · Final v1.12 · October 2026 · Internal — Confidential</t>
        </is>
      </c>
    </row>
    <row r="4" ht="30" customHeight="1">
      <c r="A4" s="32" t="inlineStr">
        <is>
          <t>Rater agreement · factor ratings within 1 point</t>
        </is>
      </c>
      <c r="D4" s="33">
        <f>IFERROR(COUNTIF(P7:U29,"&lt;=1")/COUNT(P7:U29),"")</f>
      </c>
      <c r="E4" s="32" t="inlineStr">
        <is>
          <t>Anchors rated by both</t>
        </is>
      </c>
      <c r="G4" s="34">
        <f>COUNT(AH7:AH29)</f>
        <v>0</v>
      </c>
      <c r="H4" s="32" t="inlineStr">
        <is>
          <t>Level agreement · within one step of the model</t>
        </is>
      </c>
      <c r="J4" s="33">
        <f>IFERROR(COUNTIF(AM7:AM29,"Yes")/(COUNTIF(AM7:AM29,"Yes")+COUNTIF(AM7:AM29,"No")),"")</f>
      </c>
      <c r="K4" s="32" t="inlineStr">
        <is>
          <t>Same level as the model</t>
        </is>
      </c>
      <c r="M4" s="33">
        <f>IFERROR(COUNTIF(AL7:AL29,0)/MAX(1,COUNT(AL7:AL29)),"")</f>
        <v>0</v>
      </c>
      <c r="N4" s="32" t="inlineStr">
        <is>
          <t>Result</t>
        </is>
      </c>
      <c r="P4" s="35" t="str">
        <f>IF(COUNT(AH7:AH29)=0,"Waiting for ratings",IF(AND(D4&gt;=0.8,J4&gt;=0.8),"Weights confirmed — freeze for this cycle","Review the weights: see the red cells and the rows marked No"))</f>
        <v>Waiting for ratings</v>
      </c>
    </row>
    <row r="5"/>
    <row r="6" ht="32" customHeight="1">
      <c r="A6" s="30" t="inlineStr">
        <is>
          <t>Anchor</t>
        </is>
      </c>
      <c r="B6" s="30" t="inlineStr">
        <is>
          <t>Sub-family</t>
        </is>
      </c>
      <c r="C6" s="30" t="inlineStr">
        <is>
          <t>Title · model</t>
        </is>
      </c>
      <c r="D6" s="30" t="inlineStr">
        <is>
          <t>A · Complexity</t>
        </is>
      </c>
      <c r="E6" s="30" t="inlineStr">
        <is>
          <t>A · Autonomy</t>
        </is>
      </c>
      <c r="F6" s="30" t="inlineStr">
        <is>
          <t>A · Accountability</t>
        </is>
      </c>
      <c r="G6" s="30" t="inlineStr">
        <is>
          <t>A · Leadership</t>
        </is>
      </c>
      <c r="H6" s="30" t="inlineStr">
        <is>
          <t>A · Experience</t>
        </is>
      </c>
      <c r="I6" s="30" t="inlineStr">
        <is>
          <t>A · Bus. impact</t>
        </is>
      </c>
      <c r="J6" s="30" t="inlineStr">
        <is>
          <t>B · Complexity</t>
        </is>
      </c>
      <c r="K6" s="30" t="inlineStr">
        <is>
          <t>B · Autonomy</t>
        </is>
      </c>
      <c r="L6" s="30" t="inlineStr">
        <is>
          <t>B · Accountability</t>
        </is>
      </c>
      <c r="M6" s="30" t="inlineStr">
        <is>
          <t>B · Leadership</t>
        </is>
      </c>
      <c r="N6" s="30" t="inlineStr">
        <is>
          <t>B · Experience</t>
        </is>
      </c>
      <c r="O6" s="30" t="inlineStr">
        <is>
          <t>B · Bus. impact</t>
        </is>
      </c>
      <c r="P6" s="30" t="inlineStr">
        <is>
          <t>Gap · Complexity</t>
        </is>
      </c>
      <c r="Q6" s="30" t="inlineStr">
        <is>
          <t>Gap · Autonomy</t>
        </is>
      </c>
      <c r="R6" s="30" t="inlineStr">
        <is>
          <t>Gap · Accountability</t>
        </is>
      </c>
      <c r="S6" s="30" t="inlineStr">
        <is>
          <t>Gap · Leadership</t>
        </is>
      </c>
      <c r="T6" s="30" t="inlineStr">
        <is>
          <t>Gap · Experience</t>
        </is>
      </c>
      <c r="U6" s="30" t="inlineStr">
        <is>
          <t>Gap · Bus. impact</t>
        </is>
      </c>
      <c r="V6" s="30" t="inlineStr">
        <is>
          <t>Consensus · Complexity</t>
        </is>
      </c>
      <c r="W6" s="30" t="inlineStr">
        <is>
          <t>Consensus · Autonomy</t>
        </is>
      </c>
      <c r="X6" s="30" t="inlineStr">
        <is>
          <t>Consensus · Accountability</t>
        </is>
      </c>
      <c r="Y6" s="30" t="inlineStr">
        <is>
          <t>Consensus · Leadership</t>
        </is>
      </c>
      <c r="Z6" s="30" t="inlineStr">
        <is>
          <t>Consensus · Experience</t>
        </is>
      </c>
      <c r="AA6" s="30" t="inlineStr">
        <is>
          <t>Consensus · Bus. impact</t>
        </is>
      </c>
      <c r="AB6" s="30" t="inlineStr">
        <is>
          <t>Weight · Complexity</t>
        </is>
      </c>
      <c r="AC6" s="30" t="inlineStr">
        <is>
          <t>Weight · Autonomy</t>
        </is>
      </c>
      <c r="AD6" s="30" t="inlineStr">
        <is>
          <t>Weight · Accountability</t>
        </is>
      </c>
      <c r="AE6" s="30" t="inlineStr">
        <is>
          <t>Weight · Leadership</t>
        </is>
      </c>
      <c r="AF6" s="30" t="inlineStr">
        <is>
          <t>Weight · Experience</t>
        </is>
      </c>
      <c r="AG6" s="30" t="inlineStr">
        <is>
          <t>Weight · Bus. impact</t>
        </is>
      </c>
      <c r="AH6" s="30" t="inlineStr">
        <is>
          <t>Panel score</t>
        </is>
      </c>
      <c r="AI6" s="30" t="inlineStr">
        <is>
          <t>Panel level</t>
        </is>
      </c>
      <c r="AJ6" s="30" t="inlineStr">
        <is>
          <t>Model score</t>
        </is>
      </c>
      <c r="AK6" s="30" t="inlineStr">
        <is>
          <t>Model level</t>
        </is>
      </c>
      <c r="AL6" s="30" t="inlineStr">
        <is>
          <t>Steps apart</t>
        </is>
      </c>
      <c r="AM6" s="30" t="inlineStr">
        <is>
          <t>Within one step</t>
        </is>
      </c>
    </row>
    <row r="7" ht="18" customHeight="1">
      <c r="A7" s="10" t="inlineStr">
        <is>
          <t>AR-01</t>
        </is>
      </c>
      <c r="B7" s="10" t="inlineStr">
        <is>
          <t>Backend Development</t>
        </is>
      </c>
      <c r="C7" s="10" t="inlineStr">
        <is>
          <t>Software Engineer</t>
        </is>
      </c>
      <c r="D7" s="36">
        <f>IF('4. Rater A'!C7="","",'4. Rater A'!C7)</f>
      </c>
      <c r="E7" s="36">
        <f>IF('4. Rater A'!D7="","",'4. Rater A'!D7)</f>
      </c>
      <c r="F7" s="36">
        <f>IF('4. Rater A'!E7="","",'4. Rater A'!E7)</f>
      </c>
      <c r="G7" s="36">
        <f>IF('4. Rater A'!F7="","",'4. Rater A'!F7)</f>
      </c>
      <c r="H7" s="36">
        <f>IF('4. Rater A'!G7="","",'4. Rater A'!G7)</f>
      </c>
      <c r="I7" s="36">
        <f>IF('4. Rater A'!H7="","",'4. Rater A'!H7)</f>
      </c>
      <c r="J7" s="36">
        <f>IF('5. Rater B'!C7="","",'5. Rater B'!C7)</f>
      </c>
      <c r="K7" s="36">
        <f>IF('5. Rater B'!D7="","",'5. Rater B'!D7)</f>
      </c>
      <c r="L7" s="36">
        <f>IF('5. Rater B'!E7="","",'5. Rater B'!E7)</f>
      </c>
      <c r="M7" s="36">
        <f>IF('5. Rater B'!F7="","",'5. Rater B'!F7)</f>
      </c>
      <c r="N7" s="36">
        <f>IF('5. Rater B'!G7="","",'5. Rater B'!G7)</f>
      </c>
      <c r="O7" s="36">
        <f>IF('5. Rater B'!H7="","",'5. Rater B'!H7)</f>
      </c>
      <c r="P7" s="36">
        <f>IF(OR(D7="",J7=""),"",ABS(D7-J7))</f>
      </c>
      <c r="Q7" s="36">
        <f>IF(OR(E7="",K7=""),"",ABS(E7-K7))</f>
      </c>
      <c r="R7" s="36">
        <f>IF(OR(F7="",L7=""),"",ABS(F7-L7))</f>
      </c>
      <c r="S7" s="36">
        <f>IF(OR(G7="",M7=""),"",ABS(G7-M7))</f>
      </c>
      <c r="T7" s="36">
        <f>IF(OR(H7="",N7=""),"",ABS(H7-N7))</f>
      </c>
      <c r="U7" s="36">
        <f>IF(OR(I7="",O7=""),"",ABS(I7-O7))</f>
      </c>
      <c r="V7" s="37" t="n"/>
      <c r="W7" s="37" t="n"/>
      <c r="X7" s="37" t="n"/>
      <c r="Y7" s="37" t="n"/>
      <c r="Z7" s="37" t="n"/>
      <c r="AA7" s="37" t="n"/>
      <c r="AB7" s="36" t="n">
        <v>0.64</v>
      </c>
      <c r="AC7" s="36" t="n">
        <v>0.16</v>
      </c>
      <c r="AD7" s="36" t="n">
        <v>0.04</v>
      </c>
      <c r="AE7" s="36" t="n">
        <v>0</v>
      </c>
      <c r="AF7" s="36" t="n">
        <v>0.1</v>
      </c>
      <c r="AG7" s="36" t="n">
        <v>0.06</v>
      </c>
      <c r="AH7" s="36">
        <f>IF(OR((IF(V7&lt;&gt;"",V7,IF(OR(D7="",J7=""),"",(D7+J7)/2)))="",(IF(W7&lt;&gt;"",W7,IF(OR(E7="",K7=""),"",(E7+K7)/2)))="",(IF(X7&lt;&gt;"",X7,IF(OR(F7="",L7=""),"",(F7+L7)/2)))="",(IF(Y7&lt;&gt;"",Y7,IF(OR(G7="",M7=""),"",(G7+M7)/2)))="",(IF(Z7&lt;&gt;"",Z7,IF(OR(H7="",N7=""),"",(H7+N7)/2)))="",(IF(AA7&lt;&gt;"",AA7,IF(OR(I7="",O7=""),"",(I7+O7)/2)))=""),"",(IF(V7&lt;&gt;"",V7,IF(OR(D7="",J7=""),"",(D7+J7)/2)))*AB7+(IF(W7&lt;&gt;"",W7,IF(OR(E7="",K7=""),"",(E7+K7)/2)))*AC7+(IF(X7&lt;&gt;"",X7,IF(OR(F7="",L7=""),"",(F7+L7)/2)))*AD7+(IF(Y7&lt;&gt;"",Y7,IF(OR(G7="",M7=""),"",(G7+M7)/2)))*AE7+(IF(Z7&lt;&gt;"",Z7,IF(OR(H7="",N7=""),"",(H7+N7)/2)))*AF7+(IF(AA7&lt;&gt;"",AA7,IF(OR(I7="",O7=""),"",(I7+O7)/2)))*AG7)</f>
      </c>
      <c r="AI7" s="36">
        <f>IF(AH7="","",INDEX({"A1","A2","A3","B1","B2","B3","C1","C2","D1","D2","E1","E2"},MAX(1,MIN(12,ROUND(AH7,0)))))</f>
      </c>
      <c r="AJ7" s="36" t="n">
        <v>1.9</v>
      </c>
      <c r="AK7" s="36" t="inlineStr">
        <is>
          <t>A2</t>
        </is>
      </c>
      <c r="AL7" s="36">
        <f>IF(AH7="","",ROUND(MAX(1,MIN(12,ROUND(AH7,0)))-2,1))</f>
      </c>
      <c r="AM7" s="36">
        <f>IF(AL7="","",IF(ABS(AL7)&lt;=1,"Yes","No"))</f>
      </c>
    </row>
    <row r="8" ht="18" customHeight="1">
      <c r="A8" s="10" t="inlineStr">
        <is>
          <t>AR-02</t>
        </is>
      </c>
      <c r="B8" s="10" t="inlineStr">
        <is>
          <t>Front-End / UI Development</t>
        </is>
      </c>
      <c r="C8" s="10" t="inlineStr">
        <is>
          <t>UI Developer</t>
        </is>
      </c>
      <c r="D8" s="36">
        <f>IF('4. Rater A'!C8="","",'4. Rater A'!C8)</f>
      </c>
      <c r="E8" s="36">
        <f>IF('4. Rater A'!D8="","",'4. Rater A'!D8)</f>
      </c>
      <c r="F8" s="36">
        <f>IF('4. Rater A'!E8="","",'4. Rater A'!E8)</f>
      </c>
      <c r="G8" s="36">
        <f>IF('4. Rater A'!F8="","",'4. Rater A'!F8)</f>
      </c>
      <c r="H8" s="36">
        <f>IF('4. Rater A'!G8="","",'4. Rater A'!G8)</f>
      </c>
      <c r="I8" s="36">
        <f>IF('4. Rater A'!H8="","",'4. Rater A'!H8)</f>
      </c>
      <c r="J8" s="36">
        <f>IF('5. Rater B'!C8="","",'5. Rater B'!C8)</f>
      </c>
      <c r="K8" s="36">
        <f>IF('5. Rater B'!D8="","",'5. Rater B'!D8)</f>
      </c>
      <c r="L8" s="36">
        <f>IF('5. Rater B'!E8="","",'5. Rater B'!E8)</f>
      </c>
      <c r="M8" s="36">
        <f>IF('5. Rater B'!F8="","",'5. Rater B'!F8)</f>
      </c>
      <c r="N8" s="36">
        <f>IF('5. Rater B'!G8="","",'5. Rater B'!G8)</f>
      </c>
      <c r="O8" s="36">
        <f>IF('5. Rater B'!H8="","",'5. Rater B'!H8)</f>
      </c>
      <c r="P8" s="36">
        <f>IF(OR(D8="",J8=""),"",ABS(D8-J8))</f>
      </c>
      <c r="Q8" s="36">
        <f>IF(OR(E8="",K8=""),"",ABS(E8-K8))</f>
      </c>
      <c r="R8" s="36">
        <f>IF(OR(F8="",L8=""),"",ABS(F8-L8))</f>
      </c>
      <c r="S8" s="36">
        <f>IF(OR(G8="",M8=""),"",ABS(G8-M8))</f>
      </c>
      <c r="T8" s="36">
        <f>IF(OR(H8="",N8=""),"",ABS(H8-N8))</f>
      </c>
      <c r="U8" s="36">
        <f>IF(OR(I8="",O8=""),"",ABS(I8-O8))</f>
      </c>
      <c r="V8" s="37" t="n"/>
      <c r="W8" s="37" t="n"/>
      <c r="X8" s="37" t="n"/>
      <c r="Y8" s="37" t="n"/>
      <c r="Z8" s="37" t="n"/>
      <c r="AA8" s="37" t="n"/>
      <c r="AB8" s="36" t="n">
        <v>0.64</v>
      </c>
      <c r="AC8" s="36" t="n">
        <v>0.16</v>
      </c>
      <c r="AD8" s="36" t="n">
        <v>0.04</v>
      </c>
      <c r="AE8" s="36" t="n">
        <v>0</v>
      </c>
      <c r="AF8" s="36" t="n">
        <v>0.1</v>
      </c>
      <c r="AG8" s="36" t="n">
        <v>0.06</v>
      </c>
      <c r="AH8" s="36">
        <f>IF(OR((IF(V8&lt;&gt;"",V8,IF(OR(D8="",J8=""),"",(D8+J8)/2)))="",(IF(W8&lt;&gt;"",W8,IF(OR(E8="",K8=""),"",(E8+K8)/2)))="",(IF(X8&lt;&gt;"",X8,IF(OR(F8="",L8=""),"",(F8+L8)/2)))="",(IF(Y8&lt;&gt;"",Y8,IF(OR(G8="",M8=""),"",(G8+M8)/2)))="",(IF(Z8&lt;&gt;"",Z8,IF(OR(H8="",N8=""),"",(H8+N8)/2)))="",(IF(AA8&lt;&gt;"",AA8,IF(OR(I8="",O8=""),"",(I8+O8)/2)))=""),"",(IF(V8&lt;&gt;"",V8,IF(OR(D8="",J8=""),"",(D8+J8)/2)))*AB8+(IF(W8&lt;&gt;"",W8,IF(OR(E8="",K8=""),"",(E8+K8)/2)))*AC8+(IF(X8&lt;&gt;"",X8,IF(OR(F8="",L8=""),"",(F8+L8)/2)))*AD8+(IF(Y8&lt;&gt;"",Y8,IF(OR(G8="",M8=""),"",(G8+M8)/2)))*AE8+(IF(Z8&lt;&gt;"",Z8,IF(OR(H8="",N8=""),"",(H8+N8)/2)))*AF8+(IF(AA8&lt;&gt;"",AA8,IF(OR(I8="",O8=""),"",(I8+O8)/2)))*AG8)</f>
      </c>
      <c r="AI8" s="36">
        <f>IF(AH8="","",INDEX({"A1","A2","A3","B1","B2","B3","C1","C2","D1","D2","E1","E2"},MAX(1,MIN(12,ROUND(AH8,0)))))</f>
      </c>
      <c r="AJ8" s="36" t="n">
        <v>2.08</v>
      </c>
      <c r="AK8" s="36" t="inlineStr">
        <is>
          <t>A2</t>
        </is>
      </c>
      <c r="AL8" s="36">
        <f>IF(AH8="","",ROUND(MAX(1,MIN(12,ROUND(AH8,0)))-2,1))</f>
      </c>
      <c r="AM8" s="36">
        <f>IF(AL8="","",IF(ABS(AL8)&lt;=1,"Yes","No"))</f>
      </c>
    </row>
    <row r="9" ht="18" customHeight="1">
      <c r="A9" s="10" t="inlineStr">
        <is>
          <t>AR-03</t>
        </is>
      </c>
      <c r="B9" s="10" t="inlineStr">
        <is>
          <t>Content Marketing</t>
        </is>
      </c>
      <c r="C9" s="10" t="inlineStr">
        <is>
          <t>Content Marketing Associate</t>
        </is>
      </c>
      <c r="D9" s="36">
        <f>IF('4. Rater A'!C9="","",'4. Rater A'!C9)</f>
      </c>
      <c r="E9" s="36">
        <f>IF('4. Rater A'!D9="","",'4. Rater A'!D9)</f>
      </c>
      <c r="F9" s="36">
        <f>IF('4. Rater A'!E9="","",'4. Rater A'!E9)</f>
      </c>
      <c r="G9" s="36">
        <f>IF('4. Rater A'!F9="","",'4. Rater A'!F9)</f>
      </c>
      <c r="H9" s="36">
        <f>IF('4. Rater A'!G9="","",'4. Rater A'!G9)</f>
      </c>
      <c r="I9" s="36">
        <f>IF('4. Rater A'!H9="","",'4. Rater A'!H9)</f>
      </c>
      <c r="J9" s="36">
        <f>IF('5. Rater B'!C9="","",'5. Rater B'!C9)</f>
      </c>
      <c r="K9" s="36">
        <f>IF('5. Rater B'!D9="","",'5. Rater B'!D9)</f>
      </c>
      <c r="L9" s="36">
        <f>IF('5. Rater B'!E9="","",'5. Rater B'!E9)</f>
      </c>
      <c r="M9" s="36">
        <f>IF('5. Rater B'!F9="","",'5. Rater B'!F9)</f>
      </c>
      <c r="N9" s="36">
        <f>IF('5. Rater B'!G9="","",'5. Rater B'!G9)</f>
      </c>
      <c r="O9" s="36">
        <f>IF('5. Rater B'!H9="","",'5. Rater B'!H9)</f>
      </c>
      <c r="P9" s="36">
        <f>IF(OR(D9="",J9=""),"",ABS(D9-J9))</f>
      </c>
      <c r="Q9" s="36">
        <f>IF(OR(E9="",K9=""),"",ABS(E9-K9))</f>
      </c>
      <c r="R9" s="36">
        <f>IF(OR(F9="",L9=""),"",ABS(F9-L9))</f>
      </c>
      <c r="S9" s="36">
        <f>IF(OR(G9="",M9=""),"",ABS(G9-M9))</f>
      </c>
      <c r="T9" s="36">
        <f>IF(OR(H9="",N9=""),"",ABS(H9-N9))</f>
      </c>
      <c r="U9" s="36">
        <f>IF(OR(I9="",O9=""),"",ABS(I9-O9))</f>
      </c>
      <c r="V9" s="37" t="n"/>
      <c r="W9" s="37" t="n"/>
      <c r="X9" s="37" t="n"/>
      <c r="Y9" s="37" t="n"/>
      <c r="Z9" s="37" t="n"/>
      <c r="AA9" s="37" t="n"/>
      <c r="AB9" s="36" t="n">
        <v>0.54</v>
      </c>
      <c r="AC9" s="36" t="n">
        <v>0.21</v>
      </c>
      <c r="AD9" s="36" t="n">
        <v>0.04</v>
      </c>
      <c r="AE9" s="36" t="n">
        <v>0</v>
      </c>
      <c r="AF9" s="36" t="n">
        <v>0.1</v>
      </c>
      <c r="AG9" s="36" t="n">
        <v>0.11</v>
      </c>
      <c r="AH9" s="36">
        <f>IF(OR((IF(V9&lt;&gt;"",V9,IF(OR(D9="",J9=""),"",(D9+J9)/2)))="",(IF(W9&lt;&gt;"",W9,IF(OR(E9="",K9=""),"",(E9+K9)/2)))="",(IF(X9&lt;&gt;"",X9,IF(OR(F9="",L9=""),"",(F9+L9)/2)))="",(IF(Y9&lt;&gt;"",Y9,IF(OR(G9="",M9=""),"",(G9+M9)/2)))="",(IF(Z9&lt;&gt;"",Z9,IF(OR(H9="",N9=""),"",(H9+N9)/2)))="",(IF(AA9&lt;&gt;"",AA9,IF(OR(I9="",O9=""),"",(I9+O9)/2)))=""),"",(IF(V9&lt;&gt;"",V9,IF(OR(D9="",J9=""),"",(D9+J9)/2)))*AB9+(IF(W9&lt;&gt;"",W9,IF(OR(E9="",K9=""),"",(E9+K9)/2)))*AC9+(IF(X9&lt;&gt;"",X9,IF(OR(F9="",L9=""),"",(F9+L9)/2)))*AD9+(IF(Y9&lt;&gt;"",Y9,IF(OR(G9="",M9=""),"",(G9+M9)/2)))*AE9+(IF(Z9&lt;&gt;"",Z9,IF(OR(H9="",N9=""),"",(H9+N9)/2)))*AF9+(IF(AA9&lt;&gt;"",AA9,IF(OR(I9="",O9=""),"",(I9+O9)/2)))*AG9)</f>
      </c>
      <c r="AI9" s="36">
        <f>IF(AH9="","",INDEX({"A1","A2","A3","B1","B2","B3","C1","C2","D1","D2","E1","E2"},MAX(1,MIN(12,ROUND(AH9,0)))))</f>
      </c>
      <c r="AJ9" s="36" t="n">
        <v>2.08</v>
      </c>
      <c r="AK9" s="36" t="inlineStr">
        <is>
          <t>A2</t>
        </is>
      </c>
      <c r="AL9" s="36">
        <f>IF(AH9="","",ROUND(MAX(1,MIN(12,ROUND(AH9,0)))-2,1))</f>
      </c>
      <c r="AM9" s="36">
        <f>IF(AL9="","",IF(ABS(AL9)&lt;=1,"Yes","No"))</f>
      </c>
    </row>
    <row r="10" ht="30" customHeight="1">
      <c r="A10" s="10" t="inlineStr">
        <is>
          <t>AR-04</t>
        </is>
      </c>
      <c r="B10" s="10" t="inlineStr">
        <is>
          <t>XBRL Tagging, Conversion &amp; Filing</t>
        </is>
      </c>
      <c r="C10" s="10" t="inlineStr">
        <is>
          <t>Senior Financial Analyst</t>
        </is>
      </c>
      <c r="D10" s="36">
        <f>IF('4. Rater A'!C10="","",'4. Rater A'!C10)</f>
      </c>
      <c r="E10" s="36">
        <f>IF('4. Rater A'!D10="","",'4. Rater A'!D10)</f>
      </c>
      <c r="F10" s="36">
        <f>IF('4. Rater A'!E10="","",'4. Rater A'!E10)</f>
      </c>
      <c r="G10" s="36">
        <f>IF('4. Rater A'!F10="","",'4. Rater A'!F10)</f>
      </c>
      <c r="H10" s="36">
        <f>IF('4. Rater A'!G10="","",'4. Rater A'!G10)</f>
      </c>
      <c r="I10" s="36">
        <f>IF('4. Rater A'!H10="","",'4. Rater A'!H10)</f>
      </c>
      <c r="J10" s="36">
        <f>IF('5. Rater B'!C10="","",'5. Rater B'!C10)</f>
      </c>
      <c r="K10" s="36">
        <f>IF('5. Rater B'!D10="","",'5. Rater B'!D10)</f>
      </c>
      <c r="L10" s="36">
        <f>IF('5. Rater B'!E10="","",'5. Rater B'!E10)</f>
      </c>
      <c r="M10" s="36">
        <f>IF('5. Rater B'!F10="","",'5. Rater B'!F10)</f>
      </c>
      <c r="N10" s="36">
        <f>IF('5. Rater B'!G10="","",'5. Rater B'!G10)</f>
      </c>
      <c r="O10" s="36">
        <f>IF('5. Rater B'!H10="","",'5. Rater B'!H10)</f>
      </c>
      <c r="P10" s="36">
        <f>IF(OR(D10="",J10=""),"",ABS(D10-J10))</f>
      </c>
      <c r="Q10" s="36">
        <f>IF(OR(E10="",K10=""),"",ABS(E10-K10))</f>
      </c>
      <c r="R10" s="36">
        <f>IF(OR(F10="",L10=""),"",ABS(F10-L10))</f>
      </c>
      <c r="S10" s="36">
        <f>IF(OR(G10="",M10=""),"",ABS(G10-M10))</f>
      </c>
      <c r="T10" s="36">
        <f>IF(OR(H10="",N10=""),"",ABS(H10-N10))</f>
      </c>
      <c r="U10" s="36">
        <f>IF(OR(I10="",O10=""),"",ABS(I10-O10))</f>
      </c>
      <c r="V10" s="37" t="n"/>
      <c r="W10" s="37" t="n"/>
      <c r="X10" s="37" t="n"/>
      <c r="Y10" s="37" t="n"/>
      <c r="Z10" s="37" t="n"/>
      <c r="AA10" s="37" t="n"/>
      <c r="AB10" s="36" t="n">
        <v>0.54</v>
      </c>
      <c r="AC10" s="36" t="n">
        <v>0.16</v>
      </c>
      <c r="AD10" s="36" t="n">
        <v>0.14</v>
      </c>
      <c r="AE10" s="36" t="n">
        <v>0</v>
      </c>
      <c r="AF10" s="36" t="n">
        <v>0.1</v>
      </c>
      <c r="AG10" s="36" t="n">
        <v>0.06</v>
      </c>
      <c r="AH10" s="36">
        <f>IF(OR((IF(V10&lt;&gt;"",V10,IF(OR(D10="",J10=""),"",(D10+J10)/2)))="",(IF(W10&lt;&gt;"",W10,IF(OR(E10="",K10=""),"",(E10+K10)/2)))="",(IF(X10&lt;&gt;"",X10,IF(OR(F10="",L10=""),"",(F10+L10)/2)))="",(IF(Y10&lt;&gt;"",Y10,IF(OR(G10="",M10=""),"",(G10+M10)/2)))="",(IF(Z10&lt;&gt;"",Z10,IF(OR(H10="",N10=""),"",(H10+N10)/2)))="",(IF(AA10&lt;&gt;"",AA10,IF(OR(I10="",O10=""),"",(I10+O10)/2)))=""),"",(IF(V10&lt;&gt;"",V10,IF(OR(D10="",J10=""),"",(D10+J10)/2)))*AB10+(IF(W10&lt;&gt;"",W10,IF(OR(E10="",K10=""),"",(E10+K10)/2)))*AC10+(IF(X10&lt;&gt;"",X10,IF(OR(F10="",L10=""),"",(F10+L10)/2)))*AD10+(IF(Y10&lt;&gt;"",Y10,IF(OR(G10="",M10=""),"",(G10+M10)/2)))*AE10+(IF(Z10&lt;&gt;"",Z10,IF(OR(H10="",N10=""),"",(H10+N10)/2)))*AF10+(IF(AA10&lt;&gt;"",AA10,IF(OR(I10="",O10=""),"",(I10+O10)/2)))*AG10)</f>
      </c>
      <c r="AI10" s="36">
        <f>IF(AH10="","",INDEX({"A1","A2","A3","B1","B2","B3","C1","C2","D1","D2","E1","E2"},MAX(1,MIN(12,ROUND(AH10,0)))))</f>
      </c>
      <c r="AJ10" s="36" t="n">
        <v>3.08</v>
      </c>
      <c r="AK10" s="36" t="inlineStr">
        <is>
          <t>A3</t>
        </is>
      </c>
      <c r="AL10" s="36">
        <f>IF(AH10="","",ROUND(MAX(1,MIN(12,ROUND(AH10,0)))-3,1))</f>
      </c>
      <c r="AM10" s="36">
        <f>IF(AL10="","",IF(ABS(AL10)&lt;=1,"Yes","No"))</f>
      </c>
    </row>
    <row r="11" ht="30" customHeight="1">
      <c r="A11" s="10" t="inlineStr">
        <is>
          <t>AR-05</t>
        </is>
      </c>
      <c r="B11" s="10" t="inlineStr">
        <is>
          <t>Document Conversion, Formatting &amp; Web Publishing</t>
        </is>
      </c>
      <c r="C11" s="10" t="inlineStr">
        <is>
          <t>Senior Digitization Associate</t>
        </is>
      </c>
      <c r="D11" s="36">
        <f>IF('4. Rater A'!C11="","",'4. Rater A'!C11)</f>
      </c>
      <c r="E11" s="36">
        <f>IF('4. Rater A'!D11="","",'4. Rater A'!D11)</f>
      </c>
      <c r="F11" s="36">
        <f>IF('4. Rater A'!E11="","",'4. Rater A'!E11)</f>
      </c>
      <c r="G11" s="36">
        <f>IF('4. Rater A'!F11="","",'4. Rater A'!F11)</f>
      </c>
      <c r="H11" s="36">
        <f>IF('4. Rater A'!G11="","",'4. Rater A'!G11)</f>
      </c>
      <c r="I11" s="36">
        <f>IF('4. Rater A'!H11="","",'4. Rater A'!H11)</f>
      </c>
      <c r="J11" s="36">
        <f>IF('5. Rater B'!C11="","",'5. Rater B'!C11)</f>
      </c>
      <c r="K11" s="36">
        <f>IF('5. Rater B'!D11="","",'5. Rater B'!D11)</f>
      </c>
      <c r="L11" s="36">
        <f>IF('5. Rater B'!E11="","",'5. Rater B'!E11)</f>
      </c>
      <c r="M11" s="36">
        <f>IF('5. Rater B'!F11="","",'5. Rater B'!F11)</f>
      </c>
      <c r="N11" s="36">
        <f>IF('5. Rater B'!G11="","",'5. Rater B'!G11)</f>
      </c>
      <c r="O11" s="36">
        <f>IF('5. Rater B'!H11="","",'5. Rater B'!H11)</f>
      </c>
      <c r="P11" s="36">
        <f>IF(OR(D11="",J11=""),"",ABS(D11-J11))</f>
      </c>
      <c r="Q11" s="36">
        <f>IF(OR(E11="",K11=""),"",ABS(E11-K11))</f>
      </c>
      <c r="R11" s="36">
        <f>IF(OR(F11="",L11=""),"",ABS(F11-L11))</f>
      </c>
      <c r="S11" s="36">
        <f>IF(OR(G11="",M11=""),"",ABS(G11-M11))</f>
      </c>
      <c r="T11" s="36">
        <f>IF(OR(H11="",N11=""),"",ABS(H11-N11))</f>
      </c>
      <c r="U11" s="36">
        <f>IF(OR(I11="",O11=""),"",ABS(I11-O11))</f>
      </c>
      <c r="V11" s="37" t="n"/>
      <c r="W11" s="37" t="n"/>
      <c r="X11" s="37" t="n"/>
      <c r="Y11" s="37" t="n"/>
      <c r="Z11" s="37" t="n"/>
      <c r="AA11" s="37" t="n"/>
      <c r="AB11" s="36" t="n">
        <v>0.54</v>
      </c>
      <c r="AC11" s="36" t="n">
        <v>0.16</v>
      </c>
      <c r="AD11" s="36" t="n">
        <v>0.14</v>
      </c>
      <c r="AE11" s="36" t="n">
        <v>0</v>
      </c>
      <c r="AF11" s="36" t="n">
        <v>0.1</v>
      </c>
      <c r="AG11" s="36" t="n">
        <v>0.06</v>
      </c>
      <c r="AH11" s="36">
        <f>IF(OR((IF(V11&lt;&gt;"",V11,IF(OR(D11="",J11=""),"",(D11+J11)/2)))="",(IF(W11&lt;&gt;"",W11,IF(OR(E11="",K11=""),"",(E11+K11)/2)))="",(IF(X11&lt;&gt;"",X11,IF(OR(F11="",L11=""),"",(F11+L11)/2)))="",(IF(Y11&lt;&gt;"",Y11,IF(OR(G11="",M11=""),"",(G11+M11)/2)))="",(IF(Z11&lt;&gt;"",Z11,IF(OR(H11="",N11=""),"",(H11+N11)/2)))="",(IF(AA11&lt;&gt;"",AA11,IF(OR(I11="",O11=""),"",(I11+O11)/2)))=""),"",(IF(V11&lt;&gt;"",V11,IF(OR(D11="",J11=""),"",(D11+J11)/2)))*AB11+(IF(W11&lt;&gt;"",W11,IF(OR(E11="",K11=""),"",(E11+K11)/2)))*AC11+(IF(X11&lt;&gt;"",X11,IF(OR(F11="",L11=""),"",(F11+L11)/2)))*AD11+(IF(Y11&lt;&gt;"",Y11,IF(OR(G11="",M11=""),"",(G11+M11)/2)))*AE11+(IF(Z11&lt;&gt;"",Z11,IF(OR(H11="",N11=""),"",(H11+N11)/2)))*AF11+(IF(AA11&lt;&gt;"",AA11,IF(OR(I11="",O11=""),"",(I11+O11)/2)))*AG11)</f>
      </c>
      <c r="AI11" s="36">
        <f>IF(AH11="","",INDEX({"A1","A2","A3","B1","B2","B3","C1","C2","D1","D2","E1","E2"},MAX(1,MIN(12,ROUND(AH11,0)))))</f>
      </c>
      <c r="AJ11" s="36" t="n">
        <v>2.33</v>
      </c>
      <c r="AK11" s="36" t="inlineStr">
        <is>
          <t>A3</t>
        </is>
      </c>
      <c r="AL11" s="36">
        <f>IF(AH11="","",ROUND(MAX(1,MIN(12,ROUND(AH11,0)))-3,1))</f>
      </c>
      <c r="AM11" s="36">
        <f>IF(AL11="","",IF(ABS(AL11)&lt;=1,"Yes","No"))</f>
      </c>
    </row>
    <row r="12" ht="30" customHeight="1">
      <c r="A12" s="10" t="inlineStr">
        <is>
          <t>AR-06</t>
        </is>
      </c>
      <c r="B12" s="10" t="inlineStr">
        <is>
          <t>Functional &amp; Domain Testing</t>
        </is>
      </c>
      <c r="C12" s="10" t="inlineStr">
        <is>
          <t>Senior QA Engineer</t>
        </is>
      </c>
      <c r="D12" s="36">
        <f>IF('4. Rater A'!C12="","",'4. Rater A'!C12)</f>
      </c>
      <c r="E12" s="36">
        <f>IF('4. Rater A'!D12="","",'4. Rater A'!D12)</f>
      </c>
      <c r="F12" s="36">
        <f>IF('4. Rater A'!E12="","",'4. Rater A'!E12)</f>
      </c>
      <c r="G12" s="36">
        <f>IF('4. Rater A'!F12="","",'4. Rater A'!F12)</f>
      </c>
      <c r="H12" s="36">
        <f>IF('4. Rater A'!G12="","",'4. Rater A'!G12)</f>
      </c>
      <c r="I12" s="36">
        <f>IF('4. Rater A'!H12="","",'4. Rater A'!H12)</f>
      </c>
      <c r="J12" s="36">
        <f>IF('5. Rater B'!C12="","",'5. Rater B'!C12)</f>
      </c>
      <c r="K12" s="36">
        <f>IF('5. Rater B'!D12="","",'5. Rater B'!D12)</f>
      </c>
      <c r="L12" s="36">
        <f>IF('5. Rater B'!E12="","",'5. Rater B'!E12)</f>
      </c>
      <c r="M12" s="36">
        <f>IF('5. Rater B'!F12="","",'5. Rater B'!F12)</f>
      </c>
      <c r="N12" s="36">
        <f>IF('5. Rater B'!G12="","",'5. Rater B'!G12)</f>
      </c>
      <c r="O12" s="36">
        <f>IF('5. Rater B'!H12="","",'5. Rater B'!H12)</f>
      </c>
      <c r="P12" s="36">
        <f>IF(OR(D12="",J12=""),"",ABS(D12-J12))</f>
      </c>
      <c r="Q12" s="36">
        <f>IF(OR(E12="",K12=""),"",ABS(E12-K12))</f>
      </c>
      <c r="R12" s="36">
        <f>IF(OR(F12="",L12=""),"",ABS(F12-L12))</f>
      </c>
      <c r="S12" s="36">
        <f>IF(OR(G12="",M12=""),"",ABS(G12-M12))</f>
      </c>
      <c r="T12" s="36">
        <f>IF(OR(H12="",N12=""),"",ABS(H12-N12))</f>
      </c>
      <c r="U12" s="36">
        <f>IF(OR(I12="",O12=""),"",ABS(I12-O12))</f>
      </c>
      <c r="V12" s="37" t="n"/>
      <c r="W12" s="37" t="n"/>
      <c r="X12" s="37" t="n"/>
      <c r="Y12" s="37" t="n"/>
      <c r="Z12" s="37" t="n"/>
      <c r="AA12" s="37" t="n"/>
      <c r="AB12" s="36" t="n">
        <v>0.64</v>
      </c>
      <c r="AC12" s="36" t="n">
        <v>0.16</v>
      </c>
      <c r="AD12" s="36" t="n">
        <v>0.04</v>
      </c>
      <c r="AE12" s="36" t="n">
        <v>0</v>
      </c>
      <c r="AF12" s="36" t="n">
        <v>0.1</v>
      </c>
      <c r="AG12" s="36" t="n">
        <v>0.06</v>
      </c>
      <c r="AH12" s="36">
        <f>IF(OR((IF(V12&lt;&gt;"",V12,IF(OR(D12="",J12=""),"",(D12+J12)/2)))="",(IF(W12&lt;&gt;"",W12,IF(OR(E12="",K12=""),"",(E12+K12)/2)))="",(IF(X12&lt;&gt;"",X12,IF(OR(F12="",L12=""),"",(F12+L12)/2)))="",(IF(Y12&lt;&gt;"",Y12,IF(OR(G12="",M12=""),"",(G12+M12)/2)))="",(IF(Z12&lt;&gt;"",Z12,IF(OR(H12="",N12=""),"",(H12+N12)/2)))="",(IF(AA12&lt;&gt;"",AA12,IF(OR(I12="",O12=""),"",(I12+O12)/2)))=""),"",(IF(V12&lt;&gt;"",V12,IF(OR(D12="",J12=""),"",(D12+J12)/2)))*AB12+(IF(W12&lt;&gt;"",W12,IF(OR(E12="",K12=""),"",(E12+K12)/2)))*AC12+(IF(X12&lt;&gt;"",X12,IF(OR(F12="",L12=""),"",(F12+L12)/2)))*AD12+(IF(Y12&lt;&gt;"",Y12,IF(OR(G12="",M12=""),"",(G12+M12)/2)))*AE12+(IF(Z12&lt;&gt;"",Z12,IF(OR(H12="",N12=""),"",(H12+N12)/2)))*AF12+(IF(AA12&lt;&gt;"",AA12,IF(OR(I12="",O12=""),"",(I12+O12)/2)))*AG12)</f>
      </c>
      <c r="AI12" s="36">
        <f>IF(AH12="","",INDEX({"A1","A2","A3","B1","B2","B3","C1","C2","D1","D2","E1","E2"},MAX(1,MIN(12,ROUND(AH12,0)))))</f>
      </c>
      <c r="AJ12" s="36" t="n">
        <v>2.38</v>
      </c>
      <c r="AK12" s="36" t="inlineStr">
        <is>
          <t>A3</t>
        </is>
      </c>
      <c r="AL12" s="36">
        <f>IF(AH12="","",ROUND(MAX(1,MIN(12,ROUND(AH12,0)))-3,1))</f>
      </c>
      <c r="AM12" s="36">
        <f>IF(AL12="","",IF(ABS(AL12)&lt;=1,"Yes","No"))</f>
      </c>
    </row>
    <row r="13" ht="30" customHeight="1">
      <c r="A13" s="10" t="inlineStr">
        <is>
          <t>AR-07</t>
        </is>
      </c>
      <c r="B13" s="10" t="inlineStr">
        <is>
          <t>XBRL Tagging, Conversion &amp; Filing</t>
        </is>
      </c>
      <c r="C13" s="10" t="inlineStr">
        <is>
          <t>XBRL Specialist</t>
        </is>
      </c>
      <c r="D13" s="36">
        <f>IF('4. Rater A'!C13="","",'4. Rater A'!C13)</f>
      </c>
      <c r="E13" s="36">
        <f>IF('4. Rater A'!D13="","",'4. Rater A'!D13)</f>
      </c>
      <c r="F13" s="36">
        <f>IF('4. Rater A'!E13="","",'4. Rater A'!E13)</f>
      </c>
      <c r="G13" s="36">
        <f>IF('4. Rater A'!F13="","",'4. Rater A'!F13)</f>
      </c>
      <c r="H13" s="36">
        <f>IF('4. Rater A'!G13="","",'4. Rater A'!G13)</f>
      </c>
      <c r="I13" s="36">
        <f>IF('4. Rater A'!H13="","",'4. Rater A'!H13)</f>
      </c>
      <c r="J13" s="36">
        <f>IF('5. Rater B'!C13="","",'5. Rater B'!C13)</f>
      </c>
      <c r="K13" s="36">
        <f>IF('5. Rater B'!D13="","",'5. Rater B'!D13)</f>
      </c>
      <c r="L13" s="36">
        <f>IF('5. Rater B'!E13="","",'5. Rater B'!E13)</f>
      </c>
      <c r="M13" s="36">
        <f>IF('5. Rater B'!F13="","",'5. Rater B'!F13)</f>
      </c>
      <c r="N13" s="36">
        <f>IF('5. Rater B'!G13="","",'5. Rater B'!G13)</f>
      </c>
      <c r="O13" s="36">
        <f>IF('5. Rater B'!H13="","",'5. Rater B'!H13)</f>
      </c>
      <c r="P13" s="36">
        <f>IF(OR(D13="",J13=""),"",ABS(D13-J13))</f>
      </c>
      <c r="Q13" s="36">
        <f>IF(OR(E13="",K13=""),"",ABS(E13-K13))</f>
      </c>
      <c r="R13" s="36">
        <f>IF(OR(F13="",L13=""),"",ABS(F13-L13))</f>
      </c>
      <c r="S13" s="36">
        <f>IF(OR(G13="",M13=""),"",ABS(G13-M13))</f>
      </c>
      <c r="T13" s="36">
        <f>IF(OR(H13="",N13=""),"",ABS(H13-N13))</f>
      </c>
      <c r="U13" s="36">
        <f>IF(OR(I13="",O13=""),"",ABS(I13-O13))</f>
      </c>
      <c r="V13" s="37" t="n"/>
      <c r="W13" s="37" t="n"/>
      <c r="X13" s="37" t="n"/>
      <c r="Y13" s="37" t="n"/>
      <c r="Z13" s="37" t="n"/>
      <c r="AA13" s="37" t="n"/>
      <c r="AB13" s="36" t="n">
        <v>0.46</v>
      </c>
      <c r="AC13" s="36" t="n">
        <v>0.17</v>
      </c>
      <c r="AD13" s="36" t="n">
        <v>0.15</v>
      </c>
      <c r="AE13" s="36" t="n">
        <v>0.05</v>
      </c>
      <c r="AF13" s="36" t="n">
        <v>0.1</v>
      </c>
      <c r="AG13" s="36" t="n">
        <v>0.07000000000000001</v>
      </c>
      <c r="AH13" s="36">
        <f>IF(OR((IF(V13&lt;&gt;"",V13,IF(OR(D13="",J13=""),"",(D13+J13)/2)))="",(IF(W13&lt;&gt;"",W13,IF(OR(E13="",K13=""),"",(E13+K13)/2)))="",(IF(X13&lt;&gt;"",X13,IF(OR(F13="",L13=""),"",(F13+L13)/2)))="",(IF(Y13&lt;&gt;"",Y13,IF(OR(G13="",M13=""),"",(G13+M13)/2)))="",(IF(Z13&lt;&gt;"",Z13,IF(OR(H13="",N13=""),"",(H13+N13)/2)))="",(IF(AA13&lt;&gt;"",AA13,IF(OR(I13="",O13=""),"",(I13+O13)/2)))=""),"",(IF(V13&lt;&gt;"",V13,IF(OR(D13="",J13=""),"",(D13+J13)/2)))*AB13+(IF(W13&lt;&gt;"",W13,IF(OR(E13="",K13=""),"",(E13+K13)/2)))*AC13+(IF(X13&lt;&gt;"",X13,IF(OR(F13="",L13=""),"",(F13+L13)/2)))*AD13+(IF(Y13&lt;&gt;"",Y13,IF(OR(G13="",M13=""),"",(G13+M13)/2)))*AE13+(IF(Z13&lt;&gt;"",Z13,IF(OR(H13="",N13=""),"",(H13+N13)/2)))*AF13+(IF(AA13&lt;&gt;"",AA13,IF(OR(I13="",O13=""),"",(I13+O13)/2)))*AG13)</f>
      </c>
      <c r="AI13" s="36">
        <f>IF(AH13="","",INDEX({"A1","A2","A3","B1","B2","B3","C1","C2","D1","D2","E1","E2"},MAX(1,MIN(12,ROUND(AH13,0)))))</f>
      </c>
      <c r="AJ13" s="36" t="n">
        <v>3.62</v>
      </c>
      <c r="AK13" s="36" t="inlineStr">
        <is>
          <t>B1</t>
        </is>
      </c>
      <c r="AL13" s="36">
        <f>IF(AH13="","",ROUND(MAX(1,MIN(12,ROUND(AH13,0)))-4,1))</f>
      </c>
      <c r="AM13" s="36">
        <f>IF(AL13="","",IF(ABS(AL13)&lt;=1,"Yes","No"))</f>
      </c>
    </row>
    <row r="14" ht="30" customHeight="1">
      <c r="A14" s="10" t="inlineStr">
        <is>
          <t>AR-08</t>
        </is>
      </c>
      <c r="B14" s="10" t="inlineStr">
        <is>
          <t>Business Analysis</t>
        </is>
      </c>
      <c r="C14" s="10" t="inlineStr">
        <is>
          <t>Business Analysis Specialist – POD Lead</t>
        </is>
      </c>
      <c r="D14" s="36">
        <f>IF('4. Rater A'!C14="","",'4. Rater A'!C14)</f>
      </c>
      <c r="E14" s="36">
        <f>IF('4. Rater A'!D14="","",'4. Rater A'!D14)</f>
      </c>
      <c r="F14" s="36">
        <f>IF('4. Rater A'!E14="","",'4. Rater A'!E14)</f>
      </c>
      <c r="G14" s="36">
        <f>IF('4. Rater A'!F14="","",'4. Rater A'!F14)</f>
      </c>
      <c r="H14" s="36">
        <f>IF('4. Rater A'!G14="","",'4. Rater A'!G14)</f>
      </c>
      <c r="I14" s="36">
        <f>IF('4. Rater A'!H14="","",'4. Rater A'!H14)</f>
      </c>
      <c r="J14" s="36">
        <f>IF('5. Rater B'!C14="","",'5. Rater B'!C14)</f>
      </c>
      <c r="K14" s="36">
        <f>IF('5. Rater B'!D14="","",'5. Rater B'!D14)</f>
      </c>
      <c r="L14" s="36">
        <f>IF('5. Rater B'!E14="","",'5. Rater B'!E14)</f>
      </c>
      <c r="M14" s="36">
        <f>IF('5. Rater B'!F14="","",'5. Rater B'!F14)</f>
      </c>
      <c r="N14" s="36">
        <f>IF('5. Rater B'!G14="","",'5. Rater B'!G14)</f>
      </c>
      <c r="O14" s="36">
        <f>IF('5. Rater B'!H14="","",'5. Rater B'!H14)</f>
      </c>
      <c r="P14" s="36">
        <f>IF(OR(D14="",J14=""),"",ABS(D14-J14))</f>
      </c>
      <c r="Q14" s="36">
        <f>IF(OR(E14="",K14=""),"",ABS(E14-K14))</f>
      </c>
      <c r="R14" s="36">
        <f>IF(OR(F14="",L14=""),"",ABS(F14-L14))</f>
      </c>
      <c r="S14" s="36">
        <f>IF(OR(G14="",M14=""),"",ABS(G14-M14))</f>
      </c>
      <c r="T14" s="36">
        <f>IF(OR(H14="",N14=""),"",ABS(H14-N14))</f>
      </c>
      <c r="U14" s="36">
        <f>IF(OR(I14="",O14=""),"",ABS(I14-O14))</f>
      </c>
      <c r="V14" s="37" t="n"/>
      <c r="W14" s="37" t="n"/>
      <c r="X14" s="37" t="n"/>
      <c r="Y14" s="37" t="n"/>
      <c r="Z14" s="37" t="n"/>
      <c r="AA14" s="37" t="n"/>
      <c r="AB14" s="36" t="n">
        <v>0.5600000000000001</v>
      </c>
      <c r="AC14" s="36" t="n">
        <v>0.17</v>
      </c>
      <c r="AD14" s="36" t="n">
        <v>0.05</v>
      </c>
      <c r="AE14" s="36" t="n">
        <v>0.05</v>
      </c>
      <c r="AF14" s="36" t="n">
        <v>0.1</v>
      </c>
      <c r="AG14" s="36" t="n">
        <v>0.07000000000000001</v>
      </c>
      <c r="AH14" s="36">
        <f>IF(OR((IF(V14&lt;&gt;"",V14,IF(OR(D14="",J14=""),"",(D14+J14)/2)))="",(IF(W14&lt;&gt;"",W14,IF(OR(E14="",K14=""),"",(E14+K14)/2)))="",(IF(X14&lt;&gt;"",X14,IF(OR(F14="",L14=""),"",(F14+L14)/2)))="",(IF(Y14&lt;&gt;"",Y14,IF(OR(G14="",M14=""),"",(G14+M14)/2)))="",(IF(Z14&lt;&gt;"",Z14,IF(OR(H14="",N14=""),"",(H14+N14)/2)))="",(IF(AA14&lt;&gt;"",AA14,IF(OR(I14="",O14=""),"",(I14+O14)/2)))=""),"",(IF(V14&lt;&gt;"",V14,IF(OR(D14="",J14=""),"",(D14+J14)/2)))*AB14+(IF(W14&lt;&gt;"",W14,IF(OR(E14="",K14=""),"",(E14+K14)/2)))*AC14+(IF(X14&lt;&gt;"",X14,IF(OR(F14="",L14=""),"",(F14+L14)/2)))*AD14+(IF(Y14&lt;&gt;"",Y14,IF(OR(G14="",M14=""),"",(G14+M14)/2)))*AE14+(IF(Z14&lt;&gt;"",Z14,IF(OR(H14="",N14=""),"",(H14+N14)/2)))*AF14+(IF(AA14&lt;&gt;"",AA14,IF(OR(I14="",O14=""),"",(I14+O14)/2)))*AG14)</f>
      </c>
      <c r="AI14" s="36">
        <f>IF(AH14="","",INDEX({"A1","A2","A3","B1","B2","B3","C1","C2","D1","D2","E1","E2"},MAX(1,MIN(12,ROUND(AH14,0)))))</f>
      </c>
      <c r="AJ14" s="36" t="n">
        <v>3.74</v>
      </c>
      <c r="AK14" s="36" t="inlineStr">
        <is>
          <t>B1</t>
        </is>
      </c>
      <c r="AL14" s="36">
        <f>IF(AH14="","",ROUND(MAX(1,MIN(12,ROUND(AH14,0)))-4,1))</f>
      </c>
      <c r="AM14" s="36">
        <f>IF(AL14="","",IF(ABS(AL14)&lt;=1,"Yes","No"))</f>
      </c>
    </row>
    <row r="15" ht="18" customHeight="1">
      <c r="A15" s="10" t="inlineStr">
        <is>
          <t>AR-09</t>
        </is>
      </c>
      <c r="B15" s="10" t="inlineStr">
        <is>
          <t>Product Management</t>
        </is>
      </c>
      <c r="C15" s="10" t="inlineStr">
        <is>
          <t>Associate Product Manager</t>
        </is>
      </c>
      <c r="D15" s="36">
        <f>IF('4. Rater A'!C15="","",'4. Rater A'!C15)</f>
      </c>
      <c r="E15" s="36">
        <f>IF('4. Rater A'!D15="","",'4. Rater A'!D15)</f>
      </c>
      <c r="F15" s="36">
        <f>IF('4. Rater A'!E15="","",'4. Rater A'!E15)</f>
      </c>
      <c r="G15" s="36">
        <f>IF('4. Rater A'!F15="","",'4. Rater A'!F15)</f>
      </c>
      <c r="H15" s="36">
        <f>IF('4. Rater A'!G15="","",'4. Rater A'!G15)</f>
      </c>
      <c r="I15" s="36">
        <f>IF('4. Rater A'!H15="","",'4. Rater A'!H15)</f>
      </c>
      <c r="J15" s="36">
        <f>IF('5. Rater B'!C15="","",'5. Rater B'!C15)</f>
      </c>
      <c r="K15" s="36">
        <f>IF('5. Rater B'!D15="","",'5. Rater B'!D15)</f>
      </c>
      <c r="L15" s="36">
        <f>IF('5. Rater B'!E15="","",'5. Rater B'!E15)</f>
      </c>
      <c r="M15" s="36">
        <f>IF('5. Rater B'!F15="","",'5. Rater B'!F15)</f>
      </c>
      <c r="N15" s="36">
        <f>IF('5. Rater B'!G15="","",'5. Rater B'!G15)</f>
      </c>
      <c r="O15" s="36">
        <f>IF('5. Rater B'!H15="","",'5. Rater B'!H15)</f>
      </c>
      <c r="P15" s="36">
        <f>IF(OR(D15="",J15=""),"",ABS(D15-J15))</f>
      </c>
      <c r="Q15" s="36">
        <f>IF(OR(E15="",K15=""),"",ABS(E15-K15))</f>
      </c>
      <c r="R15" s="36">
        <f>IF(OR(F15="",L15=""),"",ABS(F15-L15))</f>
      </c>
      <c r="S15" s="36">
        <f>IF(OR(G15="",M15=""),"",ABS(G15-M15))</f>
      </c>
      <c r="T15" s="36">
        <f>IF(OR(H15="",N15=""),"",ABS(H15-N15))</f>
      </c>
      <c r="U15" s="36">
        <f>IF(OR(I15="",O15=""),"",ABS(I15-O15))</f>
      </c>
      <c r="V15" s="37" t="n"/>
      <c r="W15" s="37" t="n"/>
      <c r="X15" s="37" t="n"/>
      <c r="Y15" s="37" t="n"/>
      <c r="Z15" s="37" t="n"/>
      <c r="AA15" s="37" t="n"/>
      <c r="AB15" s="36" t="n">
        <v>0.46</v>
      </c>
      <c r="AC15" s="36" t="n">
        <v>0.22</v>
      </c>
      <c r="AD15" s="36" t="n">
        <v>0.1</v>
      </c>
      <c r="AE15" s="36" t="n">
        <v>0.05</v>
      </c>
      <c r="AF15" s="36" t="n">
        <v>0.1</v>
      </c>
      <c r="AG15" s="36" t="n">
        <v>0.07000000000000001</v>
      </c>
      <c r="AH15" s="36">
        <f>IF(OR((IF(V15&lt;&gt;"",V15,IF(OR(D15="",J15=""),"",(D15+J15)/2)))="",(IF(W15&lt;&gt;"",W15,IF(OR(E15="",K15=""),"",(E15+K15)/2)))="",(IF(X15&lt;&gt;"",X15,IF(OR(F15="",L15=""),"",(F15+L15)/2)))="",(IF(Y15&lt;&gt;"",Y15,IF(OR(G15="",M15=""),"",(G15+M15)/2)))="",(IF(Z15&lt;&gt;"",Z15,IF(OR(H15="",N15=""),"",(H15+N15)/2)))="",(IF(AA15&lt;&gt;"",AA15,IF(OR(I15="",O15=""),"",(I15+O15)/2)))=""),"",(IF(V15&lt;&gt;"",V15,IF(OR(D15="",J15=""),"",(D15+J15)/2)))*AB15+(IF(W15&lt;&gt;"",W15,IF(OR(E15="",K15=""),"",(E15+K15)/2)))*AC15+(IF(X15&lt;&gt;"",X15,IF(OR(F15="",L15=""),"",(F15+L15)/2)))*AD15+(IF(Y15&lt;&gt;"",Y15,IF(OR(G15="",M15=""),"",(G15+M15)/2)))*AE15+(IF(Z15&lt;&gt;"",Z15,IF(OR(H15="",N15=""),"",(H15+N15)/2)))*AF15+(IF(AA15&lt;&gt;"",AA15,IF(OR(I15="",O15=""),"",(I15+O15)/2)))*AG15)</f>
      </c>
      <c r="AI15" s="36">
        <f>IF(AH15="","",INDEX({"A1","A2","A3","B1","B2","B3","C1","C2","D1","D2","E1","E2"},MAX(1,MIN(12,ROUND(AH15,0)))))</f>
      </c>
      <c r="AJ15" s="36" t="n">
        <v>4</v>
      </c>
      <c r="AK15" s="36" t="inlineStr">
        <is>
          <t>B1</t>
        </is>
      </c>
      <c r="AL15" s="36">
        <f>IF(AH15="","",ROUND(MAX(1,MIN(12,ROUND(AH15,0)))-4,1))</f>
      </c>
      <c r="AM15" s="36">
        <f>IF(AL15="","",IF(ABS(AL15)&lt;=1,"Yes","No"))</f>
      </c>
    </row>
    <row r="16" ht="18" customHeight="1">
      <c r="A16" s="10" t="inlineStr">
        <is>
          <t>AR-10</t>
        </is>
      </c>
      <c r="B16" s="10" t="inlineStr">
        <is>
          <t>Project &amp; Program Delivery</t>
        </is>
      </c>
      <c r="C16" s="10" t="inlineStr">
        <is>
          <t>Delivery Manager</t>
        </is>
      </c>
      <c r="D16" s="36">
        <f>IF('4. Rater A'!C16="","",'4. Rater A'!C16)</f>
      </c>
      <c r="E16" s="36">
        <f>IF('4. Rater A'!D16="","",'4. Rater A'!D16)</f>
      </c>
      <c r="F16" s="36">
        <f>IF('4. Rater A'!E16="","",'4. Rater A'!E16)</f>
      </c>
      <c r="G16" s="36">
        <f>IF('4. Rater A'!F16="","",'4. Rater A'!F16)</f>
      </c>
      <c r="H16" s="36">
        <f>IF('4. Rater A'!G16="","",'4. Rater A'!G16)</f>
      </c>
      <c r="I16" s="36">
        <f>IF('4. Rater A'!H16="","",'4. Rater A'!H16)</f>
      </c>
      <c r="J16" s="36">
        <f>IF('5. Rater B'!C16="","",'5. Rater B'!C16)</f>
      </c>
      <c r="K16" s="36">
        <f>IF('5. Rater B'!D16="","",'5. Rater B'!D16)</f>
      </c>
      <c r="L16" s="36">
        <f>IF('5. Rater B'!E16="","",'5. Rater B'!E16)</f>
      </c>
      <c r="M16" s="36">
        <f>IF('5. Rater B'!F16="","",'5. Rater B'!F16)</f>
      </c>
      <c r="N16" s="36">
        <f>IF('5. Rater B'!G16="","",'5. Rater B'!G16)</f>
      </c>
      <c r="O16" s="36">
        <f>IF('5. Rater B'!H16="","",'5. Rater B'!H16)</f>
      </c>
      <c r="P16" s="36">
        <f>IF(OR(D16="",J16=""),"",ABS(D16-J16))</f>
      </c>
      <c r="Q16" s="36">
        <f>IF(OR(E16="",K16=""),"",ABS(E16-K16))</f>
      </c>
      <c r="R16" s="36">
        <f>IF(OR(F16="",L16=""),"",ABS(F16-L16))</f>
      </c>
      <c r="S16" s="36">
        <f>IF(OR(G16="",M16=""),"",ABS(G16-M16))</f>
      </c>
      <c r="T16" s="36">
        <f>IF(OR(H16="",N16=""),"",ABS(H16-N16))</f>
      </c>
      <c r="U16" s="36">
        <f>IF(OR(I16="",O16=""),"",ABS(I16-O16))</f>
      </c>
      <c r="V16" s="37" t="n"/>
      <c r="W16" s="37" t="n"/>
      <c r="X16" s="37" t="n"/>
      <c r="Y16" s="37" t="n"/>
      <c r="Z16" s="37" t="n"/>
      <c r="AA16" s="37" t="n"/>
      <c r="AB16" s="36" t="n">
        <v>0.42</v>
      </c>
      <c r="AC16" s="36" t="n">
        <v>0.18</v>
      </c>
      <c r="AD16" s="36" t="n">
        <v>0.06</v>
      </c>
      <c r="AE16" s="36" t="n">
        <v>0.15</v>
      </c>
      <c r="AF16" s="36" t="n">
        <v>0.1</v>
      </c>
      <c r="AG16" s="36" t="n">
        <v>0.09</v>
      </c>
      <c r="AH16" s="36">
        <f>IF(OR((IF(V16&lt;&gt;"",V16,IF(OR(D16="",J16=""),"",(D16+J16)/2)))="",(IF(W16&lt;&gt;"",W16,IF(OR(E16="",K16=""),"",(E16+K16)/2)))="",(IF(X16&lt;&gt;"",X16,IF(OR(F16="",L16=""),"",(F16+L16)/2)))="",(IF(Y16&lt;&gt;"",Y16,IF(OR(G16="",M16=""),"",(G16+M16)/2)))="",(IF(Z16&lt;&gt;"",Z16,IF(OR(H16="",N16=""),"",(H16+N16)/2)))="",(IF(AA16&lt;&gt;"",AA16,IF(OR(I16="",O16=""),"",(I16+O16)/2)))=""),"",(IF(V16&lt;&gt;"",V16,IF(OR(D16="",J16=""),"",(D16+J16)/2)))*AB16+(IF(W16&lt;&gt;"",W16,IF(OR(E16="",K16=""),"",(E16+K16)/2)))*AC16+(IF(X16&lt;&gt;"",X16,IF(OR(F16="",L16=""),"",(F16+L16)/2)))*AD16+(IF(Y16&lt;&gt;"",Y16,IF(OR(G16="",M16=""),"",(G16+M16)/2)))*AE16+(IF(Z16&lt;&gt;"",Z16,IF(OR(H16="",N16=""),"",(H16+N16)/2)))*AF16+(IF(AA16&lt;&gt;"",AA16,IF(OR(I16="",O16=""),"",(I16+O16)/2)))*AG16)</f>
      </c>
      <c r="AI16" s="36">
        <f>IF(AH16="","",INDEX({"A1","A2","A3","B1","B2","B3","C1","C2","D1","D2","E1","E2"},MAX(1,MIN(12,ROUND(AH16,0)))))</f>
      </c>
      <c r="AJ16" s="36" t="n">
        <v>5.2</v>
      </c>
      <c r="AK16" s="36" t="inlineStr">
        <is>
          <t>B2</t>
        </is>
      </c>
      <c r="AL16" s="36">
        <f>IF(AH16="","",ROUND(MAX(1,MIN(12,ROUND(AH16,0)))-5,1))</f>
      </c>
      <c r="AM16" s="36">
        <f>IF(AL16="","",IF(ABS(AL16)&lt;=1,"Yes","No"))</f>
      </c>
    </row>
    <row r="17" ht="30" customHeight="1">
      <c r="A17" s="10" t="inlineStr">
        <is>
          <t>AR-11</t>
        </is>
      </c>
      <c r="B17" s="10" t="inlineStr">
        <is>
          <t>Customer Success &amp; Account Management</t>
        </is>
      </c>
      <c r="C17" s="10" t="inlineStr">
        <is>
          <t>Senior Customer Success Specialist – POD Lead</t>
        </is>
      </c>
      <c r="D17" s="36">
        <f>IF('4. Rater A'!C17="","",'4. Rater A'!C17)</f>
      </c>
      <c r="E17" s="36">
        <f>IF('4. Rater A'!D17="","",'4. Rater A'!D17)</f>
      </c>
      <c r="F17" s="36">
        <f>IF('4. Rater A'!E17="","",'4. Rater A'!E17)</f>
      </c>
      <c r="G17" s="36">
        <f>IF('4. Rater A'!F17="","",'4. Rater A'!F17)</f>
      </c>
      <c r="H17" s="36">
        <f>IF('4. Rater A'!G17="","",'4. Rater A'!G17)</f>
      </c>
      <c r="I17" s="36">
        <f>IF('4. Rater A'!H17="","",'4. Rater A'!H17)</f>
      </c>
      <c r="J17" s="36">
        <f>IF('5. Rater B'!C17="","",'5. Rater B'!C17)</f>
      </c>
      <c r="K17" s="36">
        <f>IF('5. Rater B'!D17="","",'5. Rater B'!D17)</f>
      </c>
      <c r="L17" s="36">
        <f>IF('5. Rater B'!E17="","",'5. Rater B'!E17)</f>
      </c>
      <c r="M17" s="36">
        <f>IF('5. Rater B'!F17="","",'5. Rater B'!F17)</f>
      </c>
      <c r="N17" s="36">
        <f>IF('5. Rater B'!G17="","",'5. Rater B'!G17)</f>
      </c>
      <c r="O17" s="36">
        <f>IF('5. Rater B'!H17="","",'5. Rater B'!H17)</f>
      </c>
      <c r="P17" s="36">
        <f>IF(OR(D17="",J17=""),"",ABS(D17-J17))</f>
      </c>
      <c r="Q17" s="36">
        <f>IF(OR(E17="",K17=""),"",ABS(E17-K17))</f>
      </c>
      <c r="R17" s="36">
        <f>IF(OR(F17="",L17=""),"",ABS(F17-L17))</f>
      </c>
      <c r="S17" s="36">
        <f>IF(OR(G17="",M17=""),"",ABS(G17-M17))</f>
      </c>
      <c r="T17" s="36">
        <f>IF(OR(H17="",N17=""),"",ABS(H17-N17))</f>
      </c>
      <c r="U17" s="36">
        <f>IF(OR(I17="",O17=""),"",ABS(I17-O17))</f>
      </c>
      <c r="V17" s="37" t="n"/>
      <c r="W17" s="37" t="n"/>
      <c r="X17" s="37" t="n"/>
      <c r="Y17" s="37" t="n"/>
      <c r="Z17" s="37" t="n"/>
      <c r="AA17" s="37" t="n"/>
      <c r="AB17" s="36" t="n">
        <v>0.46</v>
      </c>
      <c r="AC17" s="36" t="n">
        <v>0.17</v>
      </c>
      <c r="AD17" s="36" t="n">
        <v>0.1</v>
      </c>
      <c r="AE17" s="36" t="n">
        <v>0.05</v>
      </c>
      <c r="AF17" s="36" t="n">
        <v>0.1</v>
      </c>
      <c r="AG17" s="36" t="n">
        <v>0.12</v>
      </c>
      <c r="AH17" s="36">
        <f>IF(OR((IF(V17&lt;&gt;"",V17,IF(OR(D17="",J17=""),"",(D17+J17)/2)))="",(IF(W17&lt;&gt;"",W17,IF(OR(E17="",K17=""),"",(E17+K17)/2)))="",(IF(X17&lt;&gt;"",X17,IF(OR(F17="",L17=""),"",(F17+L17)/2)))="",(IF(Y17&lt;&gt;"",Y17,IF(OR(G17="",M17=""),"",(G17+M17)/2)))="",(IF(Z17&lt;&gt;"",Z17,IF(OR(H17="",N17=""),"",(H17+N17)/2)))="",(IF(AA17&lt;&gt;"",AA17,IF(OR(I17="",O17=""),"",(I17+O17)/2)))=""),"",(IF(V17&lt;&gt;"",V17,IF(OR(D17="",J17=""),"",(D17+J17)/2)))*AB17+(IF(W17&lt;&gt;"",W17,IF(OR(E17="",K17=""),"",(E17+K17)/2)))*AC17+(IF(X17&lt;&gt;"",X17,IF(OR(F17="",L17=""),"",(F17+L17)/2)))*AD17+(IF(Y17&lt;&gt;"",Y17,IF(OR(G17="",M17=""),"",(G17+M17)/2)))*AE17+(IF(Z17&lt;&gt;"",Z17,IF(OR(H17="",N17=""),"",(H17+N17)/2)))*AF17+(IF(AA17&lt;&gt;"",AA17,IF(OR(I17="",O17=""),"",(I17+O17)/2)))*AG17)</f>
      </c>
      <c r="AI17" s="36">
        <f>IF(AH17="","",INDEX({"A1","A2","A3","B1","B2","B3","C1","C2","D1","D2","E1","E2"},MAX(1,MIN(12,ROUND(AH17,0)))))</f>
      </c>
      <c r="AJ17" s="36" t="n">
        <v>4.62</v>
      </c>
      <c r="AK17" s="36" t="inlineStr">
        <is>
          <t>B2</t>
        </is>
      </c>
      <c r="AL17" s="36">
        <f>IF(AH17="","",ROUND(MAX(1,MIN(12,ROUND(AH17,0)))-5,1))</f>
      </c>
      <c r="AM17" s="36">
        <f>IF(AL17="","",IF(ABS(AL17)&lt;=1,"Yes","No"))</f>
      </c>
    </row>
    <row r="18" ht="18" customHeight="1">
      <c r="A18" s="10" t="inlineStr">
        <is>
          <t>AR-12</t>
        </is>
      </c>
      <c r="B18" s="10" t="inlineStr">
        <is>
          <t>Product Management</t>
        </is>
      </c>
      <c r="C18" s="10" t="inlineStr">
        <is>
          <t>Product Manager</t>
        </is>
      </c>
      <c r="D18" s="36">
        <f>IF('4. Rater A'!C18="","",'4. Rater A'!C18)</f>
      </c>
      <c r="E18" s="36">
        <f>IF('4. Rater A'!D18="","",'4. Rater A'!D18)</f>
      </c>
      <c r="F18" s="36">
        <f>IF('4. Rater A'!E18="","",'4. Rater A'!E18)</f>
      </c>
      <c r="G18" s="36">
        <f>IF('4. Rater A'!F18="","",'4. Rater A'!F18)</f>
      </c>
      <c r="H18" s="36">
        <f>IF('4. Rater A'!G18="","",'4. Rater A'!G18)</f>
      </c>
      <c r="I18" s="36">
        <f>IF('4. Rater A'!H18="","",'4. Rater A'!H18)</f>
      </c>
      <c r="J18" s="36">
        <f>IF('5. Rater B'!C18="","",'5. Rater B'!C18)</f>
      </c>
      <c r="K18" s="36">
        <f>IF('5. Rater B'!D18="","",'5. Rater B'!D18)</f>
      </c>
      <c r="L18" s="36">
        <f>IF('5. Rater B'!E18="","",'5. Rater B'!E18)</f>
      </c>
      <c r="M18" s="36">
        <f>IF('5. Rater B'!F18="","",'5. Rater B'!F18)</f>
      </c>
      <c r="N18" s="36">
        <f>IF('5. Rater B'!G18="","",'5. Rater B'!G18)</f>
      </c>
      <c r="O18" s="36">
        <f>IF('5. Rater B'!H18="","",'5. Rater B'!H18)</f>
      </c>
      <c r="P18" s="36">
        <f>IF(OR(D18="",J18=""),"",ABS(D18-J18))</f>
      </c>
      <c r="Q18" s="36">
        <f>IF(OR(E18="",K18=""),"",ABS(E18-K18))</f>
      </c>
      <c r="R18" s="36">
        <f>IF(OR(F18="",L18=""),"",ABS(F18-L18))</f>
      </c>
      <c r="S18" s="36">
        <f>IF(OR(G18="",M18=""),"",ABS(G18-M18))</f>
      </c>
      <c r="T18" s="36">
        <f>IF(OR(H18="",N18=""),"",ABS(H18-N18))</f>
      </c>
      <c r="U18" s="36">
        <f>IF(OR(I18="",O18=""),"",ABS(I18-O18))</f>
      </c>
      <c r="V18" s="37" t="n"/>
      <c r="W18" s="37" t="n"/>
      <c r="X18" s="37" t="n"/>
      <c r="Y18" s="37" t="n"/>
      <c r="Z18" s="37" t="n"/>
      <c r="AA18" s="37" t="n"/>
      <c r="AB18" s="36" t="n">
        <v>0.32</v>
      </c>
      <c r="AC18" s="36" t="n">
        <v>0.23</v>
      </c>
      <c r="AD18" s="36" t="n">
        <v>0.11</v>
      </c>
      <c r="AE18" s="36" t="n">
        <v>0.15</v>
      </c>
      <c r="AF18" s="36" t="n">
        <v>0.1</v>
      </c>
      <c r="AG18" s="36" t="n">
        <v>0.09</v>
      </c>
      <c r="AH18" s="36">
        <f>IF(OR((IF(V18&lt;&gt;"",V18,IF(OR(D18="",J18=""),"",(D18+J18)/2)))="",(IF(W18&lt;&gt;"",W18,IF(OR(E18="",K18=""),"",(E18+K18)/2)))="",(IF(X18&lt;&gt;"",X18,IF(OR(F18="",L18=""),"",(F18+L18)/2)))="",(IF(Y18&lt;&gt;"",Y18,IF(OR(G18="",M18=""),"",(G18+M18)/2)))="",(IF(Z18&lt;&gt;"",Z18,IF(OR(H18="",N18=""),"",(H18+N18)/2)))="",(IF(AA18&lt;&gt;"",AA18,IF(OR(I18="",O18=""),"",(I18+O18)/2)))=""),"",(IF(V18&lt;&gt;"",V18,IF(OR(D18="",J18=""),"",(D18+J18)/2)))*AB18+(IF(W18&lt;&gt;"",W18,IF(OR(E18="",K18=""),"",(E18+K18)/2)))*AC18+(IF(X18&lt;&gt;"",X18,IF(OR(F18="",L18=""),"",(F18+L18)/2)))*AD18+(IF(Y18&lt;&gt;"",Y18,IF(OR(G18="",M18=""),"",(G18+M18)/2)))*AE18+(IF(Z18&lt;&gt;"",Z18,IF(OR(H18="",N18=""),"",(H18+N18)/2)))*AF18+(IF(AA18&lt;&gt;"",AA18,IF(OR(I18="",O18=""),"",(I18+O18)/2)))*AG18)</f>
      </c>
      <c r="AI18" s="36">
        <f>IF(AH18="","",INDEX({"A1","A2","A3","B1","B2","B3","C1","C2","D1","D2","E1","E2"},MAX(1,MIN(12,ROUND(AH18,0)))))</f>
      </c>
      <c r="AJ18" s="36" t="n">
        <v>5.32</v>
      </c>
      <c r="AK18" s="36" t="inlineStr">
        <is>
          <t>B2</t>
        </is>
      </c>
      <c r="AL18" s="36">
        <f>IF(AH18="","",ROUND(MAX(1,MIN(12,ROUND(AH18,0)))-5,1))</f>
      </c>
      <c r="AM18" s="36">
        <f>IF(AL18="","",IF(ABS(AL18)&lt;=1,"Yes","No"))</f>
      </c>
    </row>
    <row r="19" ht="30" customHeight="1">
      <c r="A19" s="10" t="inlineStr">
        <is>
          <t>AR-13</t>
        </is>
      </c>
      <c r="B19" s="10" t="inlineStr">
        <is>
          <t>Solution &amp; Technical Architecture</t>
        </is>
      </c>
      <c r="C19" s="10" t="inlineStr">
        <is>
          <t>Associate Technical Architect</t>
        </is>
      </c>
      <c r="D19" s="36">
        <f>IF('4. Rater A'!C19="","",'4. Rater A'!C19)</f>
      </c>
      <c r="E19" s="36">
        <f>IF('4. Rater A'!D19="","",'4. Rater A'!D19)</f>
      </c>
      <c r="F19" s="36">
        <f>IF('4. Rater A'!E19="","",'4. Rater A'!E19)</f>
      </c>
      <c r="G19" s="36">
        <f>IF('4. Rater A'!F19="","",'4. Rater A'!F19)</f>
      </c>
      <c r="H19" s="36">
        <f>IF('4. Rater A'!G19="","",'4. Rater A'!G19)</f>
      </c>
      <c r="I19" s="36">
        <f>IF('4. Rater A'!H19="","",'4. Rater A'!H19)</f>
      </c>
      <c r="J19" s="36">
        <f>IF('5. Rater B'!C19="","",'5. Rater B'!C19)</f>
      </c>
      <c r="K19" s="36">
        <f>IF('5. Rater B'!D19="","",'5. Rater B'!D19)</f>
      </c>
      <c r="L19" s="36">
        <f>IF('5. Rater B'!E19="","",'5. Rater B'!E19)</f>
      </c>
      <c r="M19" s="36">
        <f>IF('5. Rater B'!F19="","",'5. Rater B'!F19)</f>
      </c>
      <c r="N19" s="36">
        <f>IF('5. Rater B'!G19="","",'5. Rater B'!G19)</f>
      </c>
      <c r="O19" s="36">
        <f>IF('5. Rater B'!H19="","",'5. Rater B'!H19)</f>
      </c>
      <c r="P19" s="36">
        <f>IF(OR(D19="",J19=""),"",ABS(D19-J19))</f>
      </c>
      <c r="Q19" s="36">
        <f>IF(OR(E19="",K19=""),"",ABS(E19-K19))</f>
      </c>
      <c r="R19" s="36">
        <f>IF(OR(F19="",L19=""),"",ABS(F19-L19))</f>
      </c>
      <c r="S19" s="36">
        <f>IF(OR(G19="",M19=""),"",ABS(G19-M19))</f>
      </c>
      <c r="T19" s="36">
        <f>IF(OR(H19="",N19=""),"",ABS(H19-N19))</f>
      </c>
      <c r="U19" s="36">
        <f>IF(OR(I19="",O19=""),"",ABS(I19-O19))</f>
      </c>
      <c r="V19" s="37" t="n"/>
      <c r="W19" s="37" t="n"/>
      <c r="X19" s="37" t="n"/>
      <c r="Y19" s="37" t="n"/>
      <c r="Z19" s="37" t="n"/>
      <c r="AA19" s="37" t="n"/>
      <c r="AB19" s="36" t="n">
        <v>0.5600000000000001</v>
      </c>
      <c r="AC19" s="36" t="n">
        <v>0.17</v>
      </c>
      <c r="AD19" s="36" t="n">
        <v>0.05</v>
      </c>
      <c r="AE19" s="36" t="n">
        <v>0.05</v>
      </c>
      <c r="AF19" s="36" t="n">
        <v>0.1</v>
      </c>
      <c r="AG19" s="36" t="n">
        <v>0.07000000000000001</v>
      </c>
      <c r="AH19" s="36">
        <f>IF(OR((IF(V19&lt;&gt;"",V19,IF(OR(D19="",J19=""),"",(D19+J19)/2)))="",(IF(W19&lt;&gt;"",W19,IF(OR(E19="",K19=""),"",(E19+K19)/2)))="",(IF(X19&lt;&gt;"",X19,IF(OR(F19="",L19=""),"",(F19+L19)/2)))="",(IF(Y19&lt;&gt;"",Y19,IF(OR(G19="",M19=""),"",(G19+M19)/2)))="",(IF(Z19&lt;&gt;"",Z19,IF(OR(H19="",N19=""),"",(H19+N19)/2)))="",(IF(AA19&lt;&gt;"",AA19,IF(OR(I19="",O19=""),"",(I19+O19)/2)))=""),"",(IF(V19&lt;&gt;"",V19,IF(OR(D19="",J19=""),"",(D19+J19)/2)))*AB19+(IF(W19&lt;&gt;"",W19,IF(OR(E19="",K19=""),"",(E19+K19)/2)))*AC19+(IF(X19&lt;&gt;"",X19,IF(OR(F19="",L19=""),"",(F19+L19)/2)))*AD19+(IF(Y19&lt;&gt;"",Y19,IF(OR(G19="",M19=""),"",(G19+M19)/2)))*AE19+(IF(Z19&lt;&gt;"",Z19,IF(OR(H19="",N19=""),"",(H19+N19)/2)))*AF19+(IF(AA19&lt;&gt;"",AA19,IF(OR(I19="",O19=""),"",(I19+O19)/2)))*AG19)</f>
      </c>
      <c r="AI19" s="36">
        <f>IF(AH19="","",INDEX({"A1","A2","A3","B1","B2","B3","C1","C2","D1","D2","E1","E2"},MAX(1,MIN(12,ROUND(AH19,0)))))</f>
      </c>
      <c r="AJ19" s="36" t="n">
        <v>6.3</v>
      </c>
      <c r="AK19" s="36" t="inlineStr">
        <is>
          <t>B3</t>
        </is>
      </c>
      <c r="AL19" s="36">
        <f>IF(AH19="","",ROUND(MAX(1,MIN(12,ROUND(AH19,0)))-6,1))</f>
      </c>
      <c r="AM19" s="36">
        <f>IF(AL19="","",IF(ABS(AL19)&lt;=1,"Yes","No"))</f>
      </c>
    </row>
    <row r="20" ht="30" customHeight="1">
      <c r="A20" s="10" t="inlineStr">
        <is>
          <t>AR-14</t>
        </is>
      </c>
      <c r="B20" s="10" t="inlineStr">
        <is>
          <t>HR Transformation &amp; OD</t>
        </is>
      </c>
      <c r="C20" s="10" t="inlineStr">
        <is>
          <t>Lead HR Specialist – Transformation &amp; OD</t>
        </is>
      </c>
      <c r="D20" s="36">
        <f>IF('4. Rater A'!C20="","",'4. Rater A'!C20)</f>
      </c>
      <c r="E20" s="36">
        <f>IF('4. Rater A'!D20="","",'4. Rater A'!D20)</f>
      </c>
      <c r="F20" s="36">
        <f>IF('4. Rater A'!E20="","",'4. Rater A'!E20)</f>
      </c>
      <c r="G20" s="36">
        <f>IF('4. Rater A'!F20="","",'4. Rater A'!F20)</f>
      </c>
      <c r="H20" s="36">
        <f>IF('4. Rater A'!G20="","",'4. Rater A'!G20)</f>
      </c>
      <c r="I20" s="36">
        <f>IF('4. Rater A'!H20="","",'4. Rater A'!H20)</f>
      </c>
      <c r="J20" s="36">
        <f>IF('5. Rater B'!C20="","",'5. Rater B'!C20)</f>
      </c>
      <c r="K20" s="36">
        <f>IF('5. Rater B'!D20="","",'5. Rater B'!D20)</f>
      </c>
      <c r="L20" s="36">
        <f>IF('5. Rater B'!E20="","",'5. Rater B'!E20)</f>
      </c>
      <c r="M20" s="36">
        <f>IF('5. Rater B'!F20="","",'5. Rater B'!F20)</f>
      </c>
      <c r="N20" s="36">
        <f>IF('5. Rater B'!G20="","",'5. Rater B'!G20)</f>
      </c>
      <c r="O20" s="36">
        <f>IF('5. Rater B'!H20="","",'5. Rater B'!H20)</f>
      </c>
      <c r="P20" s="36">
        <f>IF(OR(D20="",J20=""),"",ABS(D20-J20))</f>
      </c>
      <c r="Q20" s="36">
        <f>IF(OR(E20="",K20=""),"",ABS(E20-K20))</f>
      </c>
      <c r="R20" s="36">
        <f>IF(OR(F20="",L20=""),"",ABS(F20-L20))</f>
      </c>
      <c r="S20" s="36">
        <f>IF(OR(G20="",M20=""),"",ABS(G20-M20))</f>
      </c>
      <c r="T20" s="36">
        <f>IF(OR(H20="",N20=""),"",ABS(H20-N20))</f>
      </c>
      <c r="U20" s="36">
        <f>IF(OR(I20="",O20=""),"",ABS(I20-O20))</f>
      </c>
      <c r="V20" s="37" t="n"/>
      <c r="W20" s="37" t="n"/>
      <c r="X20" s="37" t="n"/>
      <c r="Y20" s="37" t="n"/>
      <c r="Z20" s="37" t="n"/>
      <c r="AA20" s="37" t="n"/>
      <c r="AB20" s="36" t="n">
        <v>0.46</v>
      </c>
      <c r="AC20" s="36" t="n">
        <v>0.17</v>
      </c>
      <c r="AD20" s="36" t="n">
        <v>0.1</v>
      </c>
      <c r="AE20" s="36" t="n">
        <v>0.05</v>
      </c>
      <c r="AF20" s="36" t="n">
        <v>0.15</v>
      </c>
      <c r="AG20" s="36" t="n">
        <v>0.07000000000000001</v>
      </c>
      <c r="AH20" s="36">
        <f>IF(OR((IF(V20&lt;&gt;"",V20,IF(OR(D20="",J20=""),"",(D20+J20)/2)))="",(IF(W20&lt;&gt;"",W20,IF(OR(E20="",K20=""),"",(E20+K20)/2)))="",(IF(X20&lt;&gt;"",X20,IF(OR(F20="",L20=""),"",(F20+L20)/2)))="",(IF(Y20&lt;&gt;"",Y20,IF(OR(G20="",M20=""),"",(G20+M20)/2)))="",(IF(Z20&lt;&gt;"",Z20,IF(OR(H20="",N20=""),"",(H20+N20)/2)))="",(IF(AA20&lt;&gt;"",AA20,IF(OR(I20="",O20=""),"",(I20+O20)/2)))=""),"",(IF(V20&lt;&gt;"",V20,IF(OR(D20="",J20=""),"",(D20+J20)/2)))*AB20+(IF(W20&lt;&gt;"",W20,IF(OR(E20="",K20=""),"",(E20+K20)/2)))*AC20+(IF(X20&lt;&gt;"",X20,IF(OR(F20="",L20=""),"",(F20+L20)/2)))*AD20+(IF(Y20&lt;&gt;"",Y20,IF(OR(G20="",M20=""),"",(G20+M20)/2)))*AE20+(IF(Z20&lt;&gt;"",Z20,IF(OR(H20="",N20=""),"",(H20+N20)/2)))*AF20+(IF(AA20&lt;&gt;"",AA20,IF(OR(I20="",O20=""),"",(I20+O20)/2)))*AG20)</f>
      </c>
      <c r="AI20" s="36">
        <f>IF(AH20="","",INDEX({"A1","A2","A3","B1","B2","B3","C1","C2","D1","D2","E1","E2"},MAX(1,MIN(12,ROUND(AH20,0)))))</f>
      </c>
      <c r="AJ20" s="36" t="n">
        <v>5.73</v>
      </c>
      <c r="AK20" s="36" t="inlineStr">
        <is>
          <t>B3</t>
        </is>
      </c>
      <c r="AL20" s="36">
        <f>IF(AH20="","",ROUND(MAX(1,MIN(12,ROUND(AH20,0)))-6,1))</f>
      </c>
      <c r="AM20" s="36">
        <f>IF(AL20="","",IF(ABS(AL20)&lt;=1,"Yes","No"))</f>
      </c>
    </row>
    <row r="21" ht="18" customHeight="1">
      <c r="A21" s="10" t="inlineStr">
        <is>
          <t>AR-15</t>
        </is>
      </c>
      <c r="B21" s="10" t="inlineStr">
        <is>
          <t>Marketing Leadership</t>
        </is>
      </c>
      <c r="C21" s="10" t="inlineStr">
        <is>
          <t>Senior Marketing Manager</t>
        </is>
      </c>
      <c r="D21" s="36">
        <f>IF('4. Rater A'!C21="","",'4. Rater A'!C21)</f>
      </c>
      <c r="E21" s="36">
        <f>IF('4. Rater A'!D21="","",'4. Rater A'!D21)</f>
      </c>
      <c r="F21" s="36">
        <f>IF('4. Rater A'!E21="","",'4. Rater A'!E21)</f>
      </c>
      <c r="G21" s="36">
        <f>IF('4. Rater A'!F21="","",'4. Rater A'!F21)</f>
      </c>
      <c r="H21" s="36">
        <f>IF('4. Rater A'!G21="","",'4. Rater A'!G21)</f>
      </c>
      <c r="I21" s="36">
        <f>IF('4. Rater A'!H21="","",'4. Rater A'!H21)</f>
      </c>
      <c r="J21" s="36">
        <f>IF('5. Rater B'!C21="","",'5. Rater B'!C21)</f>
      </c>
      <c r="K21" s="36">
        <f>IF('5. Rater B'!D21="","",'5. Rater B'!D21)</f>
      </c>
      <c r="L21" s="36">
        <f>IF('5. Rater B'!E21="","",'5. Rater B'!E21)</f>
      </c>
      <c r="M21" s="36">
        <f>IF('5. Rater B'!F21="","",'5. Rater B'!F21)</f>
      </c>
      <c r="N21" s="36">
        <f>IF('5. Rater B'!G21="","",'5. Rater B'!G21)</f>
      </c>
      <c r="O21" s="36">
        <f>IF('5. Rater B'!H21="","",'5. Rater B'!H21)</f>
      </c>
      <c r="P21" s="36">
        <f>IF(OR(D21="",J21=""),"",ABS(D21-J21))</f>
      </c>
      <c r="Q21" s="36">
        <f>IF(OR(E21="",K21=""),"",ABS(E21-K21))</f>
      </c>
      <c r="R21" s="36">
        <f>IF(OR(F21="",L21=""),"",ABS(F21-L21))</f>
      </c>
      <c r="S21" s="36">
        <f>IF(OR(G21="",M21=""),"",ABS(G21-M21))</f>
      </c>
      <c r="T21" s="36">
        <f>IF(OR(H21="",N21=""),"",ABS(H21-N21))</f>
      </c>
      <c r="U21" s="36">
        <f>IF(OR(I21="",O21=""),"",ABS(I21-O21))</f>
      </c>
      <c r="V21" s="37" t="n"/>
      <c r="W21" s="37" t="n"/>
      <c r="X21" s="37" t="n"/>
      <c r="Y21" s="37" t="n"/>
      <c r="Z21" s="37" t="n"/>
      <c r="AA21" s="37" t="n"/>
      <c r="AB21" s="36" t="n">
        <v>0.32</v>
      </c>
      <c r="AC21" s="36" t="n">
        <v>0.23</v>
      </c>
      <c r="AD21" s="36" t="n">
        <v>0.06</v>
      </c>
      <c r="AE21" s="36" t="n">
        <v>0.15</v>
      </c>
      <c r="AF21" s="36" t="n">
        <v>0.1</v>
      </c>
      <c r="AG21" s="36" t="n">
        <v>0.14</v>
      </c>
      <c r="AH21" s="36">
        <f>IF(OR((IF(V21&lt;&gt;"",V21,IF(OR(D21="",J21=""),"",(D21+J21)/2)))="",(IF(W21&lt;&gt;"",W21,IF(OR(E21="",K21=""),"",(E21+K21)/2)))="",(IF(X21&lt;&gt;"",X21,IF(OR(F21="",L21=""),"",(F21+L21)/2)))="",(IF(Y21&lt;&gt;"",Y21,IF(OR(G21="",M21=""),"",(G21+M21)/2)))="",(IF(Z21&lt;&gt;"",Z21,IF(OR(H21="",N21=""),"",(H21+N21)/2)))="",(IF(AA21&lt;&gt;"",AA21,IF(OR(I21="",O21=""),"",(I21+O21)/2)))=""),"",(IF(V21&lt;&gt;"",V21,IF(OR(D21="",J21=""),"",(D21+J21)/2)))*AB21+(IF(W21&lt;&gt;"",W21,IF(OR(E21="",K21=""),"",(E21+K21)/2)))*AC21+(IF(X21&lt;&gt;"",X21,IF(OR(F21="",L21=""),"",(F21+L21)/2)))*AD21+(IF(Y21&lt;&gt;"",Y21,IF(OR(G21="",M21=""),"",(G21+M21)/2)))*AE21+(IF(Z21&lt;&gt;"",Z21,IF(OR(H21="",N21=""),"",(H21+N21)/2)))*AF21+(IF(AA21&lt;&gt;"",AA21,IF(OR(I21="",O21=""),"",(I21+O21)/2)))*AG21)</f>
      </c>
      <c r="AI21" s="36">
        <f>IF(AH21="","",INDEX({"A1","A2","A3","B1","B2","B3","C1","C2","D1","D2","E1","E2"},MAX(1,MIN(12,ROUND(AH21,0)))))</f>
      </c>
      <c r="AJ21" s="36" t="n">
        <v>6</v>
      </c>
      <c r="AK21" s="36" t="inlineStr">
        <is>
          <t>B3</t>
        </is>
      </c>
      <c r="AL21" s="36">
        <f>IF(AH21="","",ROUND(MAX(1,MIN(12,ROUND(AH21,0)))-6,1))</f>
      </c>
      <c r="AM21" s="36">
        <f>IF(AL21="","",IF(ABS(AL21)&lt;=1,"Yes","No"))</f>
      </c>
    </row>
    <row r="22" ht="43" customHeight="1">
      <c r="A22" s="10" t="inlineStr">
        <is>
          <t>AR-16</t>
        </is>
      </c>
      <c r="B22" s="10" t="inlineStr">
        <is>
          <t>Solution &amp; Technical Architecture</t>
        </is>
      </c>
      <c r="C22" s="10" t="inlineStr">
        <is>
          <t>Practice Lead – Solution &amp; Technical Architecture · Player-Coach</t>
        </is>
      </c>
      <c r="D22" s="36">
        <f>IF('4. Rater A'!C22="","",'4. Rater A'!C22)</f>
      </c>
      <c r="E22" s="36">
        <f>IF('4. Rater A'!D22="","",'4. Rater A'!D22)</f>
      </c>
      <c r="F22" s="36">
        <f>IF('4. Rater A'!E22="","",'4. Rater A'!E22)</f>
      </c>
      <c r="G22" s="36">
        <f>IF('4. Rater A'!F22="","",'4. Rater A'!F22)</f>
      </c>
      <c r="H22" s="36">
        <f>IF('4. Rater A'!G22="","",'4. Rater A'!G22)</f>
      </c>
      <c r="I22" s="36">
        <f>IF('4. Rater A'!H22="","",'4. Rater A'!H22)</f>
      </c>
      <c r="J22" s="36">
        <f>IF('5. Rater B'!C22="","",'5. Rater B'!C22)</f>
      </c>
      <c r="K22" s="36">
        <f>IF('5. Rater B'!D22="","",'5. Rater B'!D22)</f>
      </c>
      <c r="L22" s="36">
        <f>IF('5. Rater B'!E22="","",'5. Rater B'!E22)</f>
      </c>
      <c r="M22" s="36">
        <f>IF('5. Rater B'!F22="","",'5. Rater B'!F22)</f>
      </c>
      <c r="N22" s="36">
        <f>IF('5. Rater B'!G22="","",'5. Rater B'!G22)</f>
      </c>
      <c r="O22" s="36">
        <f>IF('5. Rater B'!H22="","",'5. Rater B'!H22)</f>
      </c>
      <c r="P22" s="36">
        <f>IF(OR(D22="",J22=""),"",ABS(D22-J22))</f>
      </c>
      <c r="Q22" s="36">
        <f>IF(OR(E22="",K22=""),"",ABS(E22-K22))</f>
      </c>
      <c r="R22" s="36">
        <f>IF(OR(F22="",L22=""),"",ABS(F22-L22))</f>
      </c>
      <c r="S22" s="36">
        <f>IF(OR(G22="",M22=""),"",ABS(G22-M22))</f>
      </c>
      <c r="T22" s="36">
        <f>IF(OR(H22="",N22=""),"",ABS(H22-N22))</f>
      </c>
      <c r="U22" s="36">
        <f>IF(OR(I22="",O22=""),"",ABS(I22-O22))</f>
      </c>
      <c r="V22" s="37" t="n"/>
      <c r="W22" s="37" t="n"/>
      <c r="X22" s="37" t="n"/>
      <c r="Y22" s="37" t="n"/>
      <c r="Z22" s="37" t="n"/>
      <c r="AA22" s="37" t="n"/>
      <c r="AB22" s="36" t="n">
        <v>0.49</v>
      </c>
      <c r="AC22" s="36" t="n">
        <v>0.18</v>
      </c>
      <c r="AD22" s="36" t="n">
        <v>0.05</v>
      </c>
      <c r="AE22" s="36" t="n">
        <v>0.1</v>
      </c>
      <c r="AF22" s="36" t="n">
        <v>0.1</v>
      </c>
      <c r="AG22" s="36" t="n">
        <v>0.08</v>
      </c>
      <c r="AH22" s="36">
        <f>IF(OR((IF(V22&lt;&gt;"",V22,IF(OR(D22="",J22=""),"",(D22+J22)/2)))="",(IF(W22&lt;&gt;"",W22,IF(OR(E22="",K22=""),"",(E22+K22)/2)))="",(IF(X22&lt;&gt;"",X22,IF(OR(F22="",L22=""),"",(F22+L22)/2)))="",(IF(Y22&lt;&gt;"",Y22,IF(OR(G22="",M22=""),"",(G22+M22)/2)))="",(IF(Z22&lt;&gt;"",Z22,IF(OR(H22="",N22=""),"",(H22+N22)/2)))="",(IF(AA22&lt;&gt;"",AA22,IF(OR(I22="",O22=""),"",(I22+O22)/2)))=""),"",(IF(V22&lt;&gt;"",V22,IF(OR(D22="",J22=""),"",(D22+J22)/2)))*AB22+(IF(W22&lt;&gt;"",W22,IF(OR(E22="",K22=""),"",(E22+K22)/2)))*AC22+(IF(X22&lt;&gt;"",X22,IF(OR(F22="",L22=""),"",(F22+L22)/2)))*AD22+(IF(Y22&lt;&gt;"",Y22,IF(OR(G22="",M22=""),"",(G22+M22)/2)))*AE22+(IF(Z22&lt;&gt;"",Z22,IF(OR(H22="",N22=""),"",(H22+N22)/2)))*AF22+(IF(AA22&lt;&gt;"",AA22,IF(OR(I22="",O22=""),"",(I22+O22)/2)))*AG22)</f>
      </c>
      <c r="AI22" s="36">
        <f>IF(AH22="","",INDEX({"A1","A2","A3","B1","B2","B3","C1","C2","D1","D2","E1","E2"},MAX(1,MIN(12,ROUND(AH22,0)))))</f>
      </c>
      <c r="AJ22" s="36" t="n">
        <v>6.54</v>
      </c>
      <c r="AK22" s="36" t="inlineStr">
        <is>
          <t>B+</t>
        </is>
      </c>
      <c r="AL22" s="36">
        <f>IF(AH22="","",ROUND(MAX(1,MIN(12,ROUND(AH22,0)))-6.5,1))</f>
      </c>
      <c r="AM22" s="36">
        <f>IF(AL22="","",IF(ABS(AL22)&lt;=1,"Yes","No"))</f>
      </c>
    </row>
    <row r="23" ht="18" customHeight="1">
      <c r="A23" s="10" t="inlineStr">
        <is>
          <t>AR-17</t>
        </is>
      </c>
      <c r="B23" s="10" t="inlineStr">
        <is>
          <t>Sales Leadership</t>
        </is>
      </c>
      <c r="C23" s="10" t="inlineStr">
        <is>
          <t>Principal – Sales</t>
        </is>
      </c>
      <c r="D23" s="36">
        <f>IF('4. Rater A'!C23="","",'4. Rater A'!C23)</f>
      </c>
      <c r="E23" s="36">
        <f>IF('4. Rater A'!D23="","",'4. Rater A'!D23)</f>
      </c>
      <c r="F23" s="36">
        <f>IF('4. Rater A'!E23="","",'4. Rater A'!E23)</f>
      </c>
      <c r="G23" s="36">
        <f>IF('4. Rater A'!F23="","",'4. Rater A'!F23)</f>
      </c>
      <c r="H23" s="36">
        <f>IF('4. Rater A'!G23="","",'4. Rater A'!G23)</f>
      </c>
      <c r="I23" s="36">
        <f>IF('4. Rater A'!H23="","",'4. Rater A'!H23)</f>
      </c>
      <c r="J23" s="36">
        <f>IF('5. Rater B'!C23="","",'5. Rater B'!C23)</f>
      </c>
      <c r="K23" s="36">
        <f>IF('5. Rater B'!D23="","",'5. Rater B'!D23)</f>
      </c>
      <c r="L23" s="36">
        <f>IF('5. Rater B'!E23="","",'5. Rater B'!E23)</f>
      </c>
      <c r="M23" s="36">
        <f>IF('5. Rater B'!F23="","",'5. Rater B'!F23)</f>
      </c>
      <c r="N23" s="36">
        <f>IF('5. Rater B'!G23="","",'5. Rater B'!G23)</f>
      </c>
      <c r="O23" s="36">
        <f>IF('5. Rater B'!H23="","",'5. Rater B'!H23)</f>
      </c>
      <c r="P23" s="36">
        <f>IF(OR(D23="",J23=""),"",ABS(D23-J23))</f>
      </c>
      <c r="Q23" s="36">
        <f>IF(OR(E23="",K23=""),"",ABS(E23-K23))</f>
      </c>
      <c r="R23" s="36">
        <f>IF(OR(F23="",L23=""),"",ABS(F23-L23))</f>
      </c>
      <c r="S23" s="36">
        <f>IF(OR(G23="",M23=""),"",ABS(G23-M23))</f>
      </c>
      <c r="T23" s="36">
        <f>IF(OR(H23="",N23=""),"",ABS(H23-N23))</f>
      </c>
      <c r="U23" s="36">
        <f>IF(OR(I23="",O23=""),"",ABS(I23-O23))</f>
      </c>
      <c r="V23" s="37" t="n"/>
      <c r="W23" s="37" t="n"/>
      <c r="X23" s="37" t="n"/>
      <c r="Y23" s="37" t="n"/>
      <c r="Z23" s="37" t="n"/>
      <c r="AA23" s="37" t="n"/>
      <c r="AB23" s="36" t="n">
        <v>0.49</v>
      </c>
      <c r="AC23" s="36" t="n">
        <v>0.23</v>
      </c>
      <c r="AD23" s="36" t="n">
        <v>0.05</v>
      </c>
      <c r="AE23" s="36" t="n">
        <v>0.05</v>
      </c>
      <c r="AF23" s="36" t="n">
        <v>0.05</v>
      </c>
      <c r="AG23" s="36" t="n">
        <v>0.13</v>
      </c>
      <c r="AH23" s="36">
        <f>IF(OR((IF(V23&lt;&gt;"",V23,IF(OR(D23="",J23=""),"",(D23+J23)/2)))="",(IF(W23&lt;&gt;"",W23,IF(OR(E23="",K23=""),"",(E23+K23)/2)))="",(IF(X23&lt;&gt;"",X23,IF(OR(F23="",L23=""),"",(F23+L23)/2)))="",(IF(Y23&lt;&gt;"",Y23,IF(OR(G23="",M23=""),"",(G23+M23)/2)))="",(IF(Z23&lt;&gt;"",Z23,IF(OR(H23="",N23=""),"",(H23+N23)/2)))="",(IF(AA23&lt;&gt;"",AA23,IF(OR(I23="",O23=""),"",(I23+O23)/2)))=""),"",(IF(V23&lt;&gt;"",V23,IF(OR(D23="",J23=""),"",(D23+J23)/2)))*AB23+(IF(W23&lt;&gt;"",W23,IF(OR(E23="",K23=""),"",(E23+K23)/2)))*AC23+(IF(X23&lt;&gt;"",X23,IF(OR(F23="",L23=""),"",(F23+L23)/2)))*AD23+(IF(Y23&lt;&gt;"",Y23,IF(OR(G23="",M23=""),"",(G23+M23)/2)))*AE23+(IF(Z23&lt;&gt;"",Z23,IF(OR(H23="",N23=""),"",(H23+N23)/2)))*AF23+(IF(AA23&lt;&gt;"",AA23,IF(OR(I23="",O23=""),"",(I23+O23)/2)))*AG23)</f>
      </c>
      <c r="AI23" s="36">
        <f>IF(AH23="","",INDEX({"A1","A2","A3","B1","B2","B3","C1","C2","D1","D2","E1","E2"},MAX(1,MIN(12,ROUND(AH23,0)))))</f>
      </c>
      <c r="AJ23" s="36" t="n">
        <v>8.119999999999999</v>
      </c>
      <c r="AK23" s="36" t="inlineStr">
        <is>
          <t>C1</t>
        </is>
      </c>
      <c r="AL23" s="36">
        <f>IF(AH23="","",ROUND(MAX(1,MIN(12,ROUND(AH23,0)))-7,1))</f>
      </c>
      <c r="AM23" s="36">
        <f>IF(AL23="","",IF(ABS(AL23)&lt;=1,"Yes","No"))</f>
      </c>
    </row>
    <row r="24" ht="30" customHeight="1">
      <c r="A24" s="10" t="inlineStr">
        <is>
          <t>AR-18</t>
        </is>
      </c>
      <c r="B24" s="10" t="inlineStr">
        <is>
          <t>Finance Leadership</t>
        </is>
      </c>
      <c r="C24" s="10" t="inlineStr">
        <is>
          <t>Associate Head – Finance &amp; Accounts</t>
        </is>
      </c>
      <c r="D24" s="36">
        <f>IF('4. Rater A'!C24="","",'4. Rater A'!C24)</f>
      </c>
      <c r="E24" s="36">
        <f>IF('4. Rater A'!D24="","",'4. Rater A'!D24)</f>
      </c>
      <c r="F24" s="36">
        <f>IF('4. Rater A'!E24="","",'4. Rater A'!E24)</f>
      </c>
      <c r="G24" s="36">
        <f>IF('4. Rater A'!F24="","",'4. Rater A'!F24)</f>
      </c>
      <c r="H24" s="36">
        <f>IF('4. Rater A'!G24="","",'4. Rater A'!G24)</f>
      </c>
      <c r="I24" s="36">
        <f>IF('4. Rater A'!H24="","",'4. Rater A'!H24)</f>
      </c>
      <c r="J24" s="36">
        <f>IF('5. Rater B'!C24="","",'5. Rater B'!C24)</f>
      </c>
      <c r="K24" s="36">
        <f>IF('5. Rater B'!D24="","",'5. Rater B'!D24)</f>
      </c>
      <c r="L24" s="36">
        <f>IF('5. Rater B'!E24="","",'5. Rater B'!E24)</f>
      </c>
      <c r="M24" s="36">
        <f>IF('5. Rater B'!F24="","",'5. Rater B'!F24)</f>
      </c>
      <c r="N24" s="36">
        <f>IF('5. Rater B'!G24="","",'5. Rater B'!G24)</f>
      </c>
      <c r="O24" s="36">
        <f>IF('5. Rater B'!H24="","",'5. Rater B'!H24)</f>
      </c>
      <c r="P24" s="36">
        <f>IF(OR(D24="",J24=""),"",ABS(D24-J24))</f>
      </c>
      <c r="Q24" s="36">
        <f>IF(OR(E24="",K24=""),"",ABS(E24-K24))</f>
      </c>
      <c r="R24" s="36">
        <f>IF(OR(F24="",L24=""),"",ABS(F24-L24))</f>
      </c>
      <c r="S24" s="36">
        <f>IF(OR(G24="",M24=""),"",ABS(G24-M24))</f>
      </c>
      <c r="T24" s="36">
        <f>IF(OR(H24="",N24=""),"",ABS(H24-N24))</f>
      </c>
      <c r="U24" s="36">
        <f>IF(OR(I24="",O24=""),"",ABS(I24-O24))</f>
      </c>
      <c r="V24" s="37" t="n"/>
      <c r="W24" s="37" t="n"/>
      <c r="X24" s="37" t="n"/>
      <c r="Y24" s="37" t="n"/>
      <c r="Z24" s="37" t="n"/>
      <c r="AA24" s="37" t="n"/>
      <c r="AB24" s="36" t="n">
        <v>0.38</v>
      </c>
      <c r="AC24" s="36" t="n">
        <v>0.18</v>
      </c>
      <c r="AD24" s="36" t="n">
        <v>0.11</v>
      </c>
      <c r="AE24" s="36" t="n">
        <v>0.15</v>
      </c>
      <c r="AF24" s="36" t="n">
        <v>0.1</v>
      </c>
      <c r="AG24" s="36" t="n">
        <v>0.08</v>
      </c>
      <c r="AH24" s="36">
        <f>IF(OR((IF(V24&lt;&gt;"",V24,IF(OR(D24="",J24=""),"",(D24+J24)/2)))="",(IF(W24&lt;&gt;"",W24,IF(OR(E24="",K24=""),"",(E24+K24)/2)))="",(IF(X24&lt;&gt;"",X24,IF(OR(F24="",L24=""),"",(F24+L24)/2)))="",(IF(Y24&lt;&gt;"",Y24,IF(OR(G24="",M24=""),"",(G24+M24)/2)))="",(IF(Z24&lt;&gt;"",Z24,IF(OR(H24="",N24=""),"",(H24+N24)/2)))="",(IF(AA24&lt;&gt;"",AA24,IF(OR(I24="",O24=""),"",(I24+O24)/2)))=""),"",(IF(V24&lt;&gt;"",V24,IF(OR(D24="",J24=""),"",(D24+J24)/2)))*AB24+(IF(W24&lt;&gt;"",W24,IF(OR(E24="",K24=""),"",(E24+K24)/2)))*AC24+(IF(X24&lt;&gt;"",X24,IF(OR(F24="",L24=""),"",(F24+L24)/2)))*AD24+(IF(Y24&lt;&gt;"",Y24,IF(OR(G24="",M24=""),"",(G24+M24)/2)))*AE24+(IF(Z24&lt;&gt;"",Z24,IF(OR(H24="",N24=""),"",(H24+N24)/2)))*AF24+(IF(AA24&lt;&gt;"",AA24,IF(OR(I24="",O24=""),"",(I24+O24)/2)))*AG24)</f>
      </c>
      <c r="AI24" s="36">
        <f>IF(AH24="","",INDEX({"A1","A2","A3","B1","B2","B3","C1","C2","D1","D2","E1","E2"},MAX(1,MIN(12,ROUND(AH24,0)))))</f>
      </c>
      <c r="AJ24" s="36" t="n">
        <v>7.37</v>
      </c>
      <c r="AK24" s="36" t="inlineStr">
        <is>
          <t>C1</t>
        </is>
      </c>
      <c r="AL24" s="36">
        <f>IF(AH24="","",ROUND(MAX(1,MIN(12,ROUND(AH24,0)))-7,1))</f>
      </c>
      <c r="AM24" s="36">
        <f>IF(AL24="","",IF(ABS(AL24)&lt;=1,"Yes","No"))</f>
      </c>
    </row>
    <row r="25" ht="30" customHeight="1">
      <c r="A25" s="10" t="inlineStr">
        <is>
          <t>AR-19</t>
        </is>
      </c>
      <c r="B25" s="10" t="inlineStr">
        <is>
          <t>Company Secretarial &amp; Legal</t>
        </is>
      </c>
      <c r="C25" s="10" t="inlineStr">
        <is>
          <t>Company Secretary – POD Lead</t>
        </is>
      </c>
      <c r="D25" s="36">
        <f>IF('4. Rater A'!C25="","",'4. Rater A'!C25)</f>
      </c>
      <c r="E25" s="36">
        <f>IF('4. Rater A'!D25="","",'4. Rater A'!D25)</f>
      </c>
      <c r="F25" s="36">
        <f>IF('4. Rater A'!E25="","",'4. Rater A'!E25)</f>
      </c>
      <c r="G25" s="36">
        <f>IF('4. Rater A'!F25="","",'4. Rater A'!F25)</f>
      </c>
      <c r="H25" s="36">
        <f>IF('4. Rater A'!G25="","",'4. Rater A'!G25)</f>
      </c>
      <c r="I25" s="36">
        <f>IF('4. Rater A'!H25="","",'4. Rater A'!H25)</f>
      </c>
      <c r="J25" s="36">
        <f>IF('5. Rater B'!C25="","",'5. Rater B'!C25)</f>
      </c>
      <c r="K25" s="36">
        <f>IF('5. Rater B'!D25="","",'5. Rater B'!D25)</f>
      </c>
      <c r="L25" s="36">
        <f>IF('5. Rater B'!E25="","",'5. Rater B'!E25)</f>
      </c>
      <c r="M25" s="36">
        <f>IF('5. Rater B'!F25="","",'5. Rater B'!F25)</f>
      </c>
      <c r="N25" s="36">
        <f>IF('5. Rater B'!G25="","",'5. Rater B'!G25)</f>
      </c>
      <c r="O25" s="36">
        <f>IF('5. Rater B'!H25="","",'5. Rater B'!H25)</f>
      </c>
      <c r="P25" s="36">
        <f>IF(OR(D25="",J25=""),"",ABS(D25-J25))</f>
      </c>
      <c r="Q25" s="36">
        <f>IF(OR(E25="",K25=""),"",ABS(E25-K25))</f>
      </c>
      <c r="R25" s="36">
        <f>IF(OR(F25="",L25=""),"",ABS(F25-L25))</f>
      </c>
      <c r="S25" s="36">
        <f>IF(OR(G25="",M25=""),"",ABS(G25-M25))</f>
      </c>
      <c r="T25" s="36">
        <f>IF(OR(H25="",N25=""),"",ABS(H25-N25))</f>
      </c>
      <c r="U25" s="36">
        <f>IF(OR(I25="",O25=""),"",ABS(I25-O25))</f>
      </c>
      <c r="V25" s="37" t="n"/>
      <c r="W25" s="37" t="n"/>
      <c r="X25" s="37" t="n"/>
      <c r="Y25" s="37" t="n"/>
      <c r="Z25" s="37" t="n"/>
      <c r="AA25" s="37" t="n"/>
      <c r="AB25" s="36" t="n">
        <v>0.49</v>
      </c>
      <c r="AC25" s="36" t="n">
        <v>0.18</v>
      </c>
      <c r="AD25" s="36" t="n">
        <v>0.1</v>
      </c>
      <c r="AE25" s="36" t="n">
        <v>0.05</v>
      </c>
      <c r="AF25" s="36" t="n">
        <v>0.1</v>
      </c>
      <c r="AG25" s="36" t="n">
        <v>0.08</v>
      </c>
      <c r="AH25" s="36">
        <f>IF(OR((IF(V25&lt;&gt;"",V25,IF(OR(D25="",J25=""),"",(D25+J25)/2)))="",(IF(W25&lt;&gt;"",W25,IF(OR(E25="",K25=""),"",(E25+K25)/2)))="",(IF(X25&lt;&gt;"",X25,IF(OR(F25="",L25=""),"",(F25+L25)/2)))="",(IF(Y25&lt;&gt;"",Y25,IF(OR(G25="",M25=""),"",(G25+M25)/2)))="",(IF(Z25&lt;&gt;"",Z25,IF(OR(H25="",N25=""),"",(H25+N25)/2)))="",(IF(AA25&lt;&gt;"",AA25,IF(OR(I25="",O25=""),"",(I25+O25)/2)))=""),"",(IF(V25&lt;&gt;"",V25,IF(OR(D25="",J25=""),"",(D25+J25)/2)))*AB25+(IF(W25&lt;&gt;"",W25,IF(OR(E25="",K25=""),"",(E25+K25)/2)))*AC25+(IF(X25&lt;&gt;"",X25,IF(OR(F25="",L25=""),"",(F25+L25)/2)))*AD25+(IF(Y25&lt;&gt;"",Y25,IF(OR(G25="",M25=""),"",(G25+M25)/2)))*AE25+(IF(Z25&lt;&gt;"",Z25,IF(OR(H25="",N25=""),"",(H25+N25)/2)))*AF25+(IF(AA25&lt;&gt;"",AA25,IF(OR(I25="",O25=""),"",(I25+O25)/2)))*AG25)</f>
      </c>
      <c r="AI25" s="36">
        <f>IF(AH25="","",INDEX({"A1","A2","A3","B1","B2","B3","C1","C2","D1","D2","E1","E2"},MAX(1,MIN(12,ROUND(AH25,0)))))</f>
      </c>
      <c r="AJ25" s="36" t="n">
        <v>6.93</v>
      </c>
      <c r="AK25" s="36" t="inlineStr">
        <is>
          <t>C1</t>
        </is>
      </c>
      <c r="AL25" s="36">
        <f>IF(AH25="","",ROUND(MAX(1,MIN(12,ROUND(AH25,0)))-7,1))</f>
      </c>
      <c r="AM25" s="36">
        <f>IF(AL25="","",IF(ABS(AL25)&lt;=1,"Yes","No"))</f>
      </c>
    </row>
    <row r="26" ht="18" customHeight="1">
      <c r="A26" s="10" t="inlineStr">
        <is>
          <t>AR-20</t>
        </is>
      </c>
      <c r="B26" s="10" t="inlineStr">
        <is>
          <t>Delivery Leadership</t>
        </is>
      </c>
      <c r="C26" s="10" t="inlineStr">
        <is>
          <t>Head – Delivery</t>
        </is>
      </c>
      <c r="D26" s="36">
        <f>IF('4. Rater A'!C26="","",'4. Rater A'!C26)</f>
      </c>
      <c r="E26" s="36">
        <f>IF('4. Rater A'!D26="","",'4. Rater A'!D26)</f>
      </c>
      <c r="F26" s="36">
        <f>IF('4. Rater A'!E26="","",'4. Rater A'!E26)</f>
      </c>
      <c r="G26" s="36">
        <f>IF('4. Rater A'!F26="","",'4. Rater A'!F26)</f>
      </c>
      <c r="H26" s="36">
        <f>IF('4. Rater A'!G26="","",'4. Rater A'!G26)</f>
      </c>
      <c r="I26" s="36">
        <f>IF('4. Rater A'!H26="","",'4. Rater A'!H26)</f>
      </c>
      <c r="J26" s="36">
        <f>IF('5. Rater B'!C26="","",'5. Rater B'!C26)</f>
      </c>
      <c r="K26" s="36">
        <f>IF('5. Rater B'!D26="","",'5. Rater B'!D26)</f>
      </c>
      <c r="L26" s="36">
        <f>IF('5. Rater B'!E26="","",'5. Rater B'!E26)</f>
      </c>
      <c r="M26" s="36">
        <f>IF('5. Rater B'!F26="","",'5. Rater B'!F26)</f>
      </c>
      <c r="N26" s="36">
        <f>IF('5. Rater B'!G26="","",'5. Rater B'!G26)</f>
      </c>
      <c r="O26" s="36">
        <f>IF('5. Rater B'!H26="","",'5. Rater B'!H26)</f>
      </c>
      <c r="P26" s="36">
        <f>IF(OR(D26="",J26=""),"",ABS(D26-J26))</f>
      </c>
      <c r="Q26" s="36">
        <f>IF(OR(E26="",K26=""),"",ABS(E26-K26))</f>
      </c>
      <c r="R26" s="36">
        <f>IF(OR(F26="",L26=""),"",ABS(F26-L26))</f>
      </c>
      <c r="S26" s="36">
        <f>IF(OR(G26="",M26=""),"",ABS(G26-M26))</f>
      </c>
      <c r="T26" s="36">
        <f>IF(OR(H26="",N26=""),"",ABS(H26-N26))</f>
      </c>
      <c r="U26" s="36">
        <f>IF(OR(I26="",O26=""),"",ABS(I26-O26))</f>
      </c>
      <c r="V26" s="37" t="n"/>
      <c r="W26" s="37" t="n"/>
      <c r="X26" s="37" t="n"/>
      <c r="Y26" s="37" t="n"/>
      <c r="Z26" s="37" t="n"/>
      <c r="AA26" s="37" t="n"/>
      <c r="AB26" s="36" t="n">
        <v>0.48</v>
      </c>
      <c r="AC26" s="36" t="n">
        <v>0.18</v>
      </c>
      <c r="AD26" s="36" t="n">
        <v>0.06</v>
      </c>
      <c r="AE26" s="36" t="n">
        <v>0.15</v>
      </c>
      <c r="AF26" s="36" t="n">
        <v>0.05</v>
      </c>
      <c r="AG26" s="36" t="n">
        <v>0.08</v>
      </c>
      <c r="AH26" s="36">
        <f>IF(OR((IF(V26&lt;&gt;"",V26,IF(OR(D26="",J26=""),"",(D26+J26)/2)))="",(IF(W26&lt;&gt;"",W26,IF(OR(E26="",K26=""),"",(E26+K26)/2)))="",(IF(X26&lt;&gt;"",X26,IF(OR(F26="",L26=""),"",(F26+L26)/2)))="",(IF(Y26&lt;&gt;"",Y26,IF(OR(G26="",M26=""),"",(G26+M26)/2)))="",(IF(Z26&lt;&gt;"",Z26,IF(OR(H26="",N26=""),"",(H26+N26)/2)))="",(IF(AA26&lt;&gt;"",AA26,IF(OR(I26="",O26=""),"",(I26+O26)/2)))=""),"",(IF(V26&lt;&gt;"",V26,IF(OR(D26="",J26=""),"",(D26+J26)/2)))*AB26+(IF(W26&lt;&gt;"",W26,IF(OR(E26="",K26=""),"",(E26+K26)/2)))*AC26+(IF(X26&lt;&gt;"",X26,IF(OR(F26="",L26=""),"",(F26+L26)/2)))*AD26+(IF(Y26&lt;&gt;"",Y26,IF(OR(G26="",M26=""),"",(G26+M26)/2)))*AE26+(IF(Z26&lt;&gt;"",Z26,IF(OR(H26="",N26=""),"",(H26+N26)/2)))*AF26+(IF(AA26&lt;&gt;"",AA26,IF(OR(I26="",O26=""),"",(I26+O26)/2)))*AG26)</f>
      </c>
      <c r="AI26" s="36">
        <f>IF(AH26="","",INDEX({"A1","A2","A3","B1","B2","B3","C1","C2","D1","D2","E1","E2"},MAX(1,MIN(12,ROUND(AH26,0)))))</f>
      </c>
      <c r="AJ26" s="36" t="n">
        <v>8.18</v>
      </c>
      <c r="AK26" s="36" t="inlineStr">
        <is>
          <t>C2</t>
        </is>
      </c>
      <c r="AL26" s="36">
        <f>IF(AH26="","",ROUND(MAX(1,MIN(12,ROUND(AH26,0)))-8,1))</f>
      </c>
      <c r="AM26" s="36">
        <f>IF(AL26="","",IF(ABS(AL26)&lt;=1,"Yes","No"))</f>
      </c>
    </row>
    <row r="27" ht="18" customHeight="1">
      <c r="A27" s="10" t="inlineStr">
        <is>
          <t>AR-21</t>
        </is>
      </c>
      <c r="B27" s="10" t="inlineStr">
        <is>
          <t>Sales Leadership</t>
        </is>
      </c>
      <c r="C27" s="10" t="inlineStr">
        <is>
          <t>Head – Sales</t>
        </is>
      </c>
      <c r="D27" s="36">
        <f>IF('4. Rater A'!C27="","",'4. Rater A'!C27)</f>
      </c>
      <c r="E27" s="36">
        <f>IF('4. Rater A'!D27="","",'4. Rater A'!D27)</f>
      </c>
      <c r="F27" s="36">
        <f>IF('4. Rater A'!E27="","",'4. Rater A'!E27)</f>
      </c>
      <c r="G27" s="36">
        <f>IF('4. Rater A'!F27="","",'4. Rater A'!F27)</f>
      </c>
      <c r="H27" s="36">
        <f>IF('4. Rater A'!G27="","",'4. Rater A'!G27)</f>
      </c>
      <c r="I27" s="36">
        <f>IF('4. Rater A'!H27="","",'4. Rater A'!H27)</f>
      </c>
      <c r="J27" s="36">
        <f>IF('5. Rater B'!C27="","",'5. Rater B'!C27)</f>
      </c>
      <c r="K27" s="36">
        <f>IF('5. Rater B'!D27="","",'5. Rater B'!D27)</f>
      </c>
      <c r="L27" s="36">
        <f>IF('5. Rater B'!E27="","",'5. Rater B'!E27)</f>
      </c>
      <c r="M27" s="36">
        <f>IF('5. Rater B'!F27="","",'5. Rater B'!F27)</f>
      </c>
      <c r="N27" s="36">
        <f>IF('5. Rater B'!G27="","",'5. Rater B'!G27)</f>
      </c>
      <c r="O27" s="36">
        <f>IF('5. Rater B'!H27="","",'5. Rater B'!H27)</f>
      </c>
      <c r="P27" s="36">
        <f>IF(OR(D27="",J27=""),"",ABS(D27-J27))</f>
      </c>
      <c r="Q27" s="36">
        <f>IF(OR(E27="",K27=""),"",ABS(E27-K27))</f>
      </c>
      <c r="R27" s="36">
        <f>IF(OR(F27="",L27=""),"",ABS(F27-L27))</f>
      </c>
      <c r="S27" s="36">
        <f>IF(OR(G27="",M27=""),"",ABS(G27-M27))</f>
      </c>
      <c r="T27" s="36">
        <f>IF(OR(H27="",N27=""),"",ABS(H27-N27))</f>
      </c>
      <c r="U27" s="36">
        <f>IF(OR(I27="",O27=""),"",ABS(I27-O27))</f>
      </c>
      <c r="V27" s="37" t="n"/>
      <c r="W27" s="37" t="n"/>
      <c r="X27" s="37" t="n"/>
      <c r="Y27" s="37" t="n"/>
      <c r="Z27" s="37" t="n"/>
      <c r="AA27" s="37" t="n"/>
      <c r="AB27" s="36" t="n">
        <v>0.38</v>
      </c>
      <c r="AC27" s="36" t="n">
        <v>0.23</v>
      </c>
      <c r="AD27" s="36" t="n">
        <v>0.06</v>
      </c>
      <c r="AE27" s="36" t="n">
        <v>0.15</v>
      </c>
      <c r="AF27" s="36" t="n">
        <v>0.05</v>
      </c>
      <c r="AG27" s="36" t="n">
        <v>0.13</v>
      </c>
      <c r="AH27" s="36">
        <f>IF(OR((IF(V27&lt;&gt;"",V27,IF(OR(D27="",J27=""),"",(D27+J27)/2)))="",(IF(W27&lt;&gt;"",W27,IF(OR(E27="",K27=""),"",(E27+K27)/2)))="",(IF(X27&lt;&gt;"",X27,IF(OR(F27="",L27=""),"",(F27+L27)/2)))="",(IF(Y27&lt;&gt;"",Y27,IF(OR(G27="",M27=""),"",(G27+M27)/2)))="",(IF(Z27&lt;&gt;"",Z27,IF(OR(H27="",N27=""),"",(H27+N27)/2)))="",(IF(AA27&lt;&gt;"",AA27,IF(OR(I27="",O27=""),"",(I27+O27)/2)))=""),"",(IF(V27&lt;&gt;"",V27,IF(OR(D27="",J27=""),"",(D27+J27)/2)))*AB27+(IF(W27&lt;&gt;"",W27,IF(OR(E27="",K27=""),"",(E27+K27)/2)))*AC27+(IF(X27&lt;&gt;"",X27,IF(OR(F27="",L27=""),"",(F27+L27)/2)))*AD27+(IF(Y27&lt;&gt;"",Y27,IF(OR(G27="",M27=""),"",(G27+M27)/2)))*AE27+(IF(Z27&lt;&gt;"",Z27,IF(OR(H27="",N27=""),"",(H27+N27)/2)))*AF27+(IF(AA27&lt;&gt;"",AA27,IF(OR(I27="",O27=""),"",(I27+O27)/2)))*AG27)</f>
      </c>
      <c r="AI27" s="36">
        <f>IF(AH27="","",INDEX({"A1","A2","A3","B1","B2","B3","C1","C2","D1","D2","E1","E2"},MAX(1,MIN(12,ROUND(AH27,0)))))</f>
      </c>
      <c r="AJ27" s="36" t="n">
        <v>7.93</v>
      </c>
      <c r="AK27" s="36" t="inlineStr">
        <is>
          <t>C2</t>
        </is>
      </c>
      <c r="AL27" s="36">
        <f>IF(AH27="","",ROUND(MAX(1,MIN(12,ROUND(AH27,0)))-8,1))</f>
      </c>
      <c r="AM27" s="36">
        <f>IF(AL27="","",IF(ABS(AL27)&lt;=1,"Yes","No"))</f>
      </c>
    </row>
    <row r="28" ht="30" customHeight="1">
      <c r="A28" s="10" t="inlineStr">
        <is>
          <t>AR-22</t>
        </is>
      </c>
      <c r="B28" s="10" t="inlineStr">
        <is>
          <t>Business &amp; Functional Leadership</t>
        </is>
      </c>
      <c r="C28" s="10" t="inlineStr">
        <is>
          <t>Business Head – iDEAL</t>
        </is>
      </c>
      <c r="D28" s="36">
        <f>IF('4. Rater A'!C28="","",'4. Rater A'!C28)</f>
      </c>
      <c r="E28" s="36">
        <f>IF('4. Rater A'!D28="","",'4. Rater A'!D28)</f>
      </c>
      <c r="F28" s="36">
        <f>IF('4. Rater A'!E28="","",'4. Rater A'!E28)</f>
      </c>
      <c r="G28" s="36">
        <f>IF('4. Rater A'!F28="","",'4. Rater A'!F28)</f>
      </c>
      <c r="H28" s="36">
        <f>IF('4. Rater A'!G28="","",'4. Rater A'!G28)</f>
      </c>
      <c r="I28" s="36">
        <f>IF('4. Rater A'!H28="","",'4. Rater A'!H28)</f>
      </c>
      <c r="J28" s="36">
        <f>IF('5. Rater B'!C28="","",'5. Rater B'!C28)</f>
      </c>
      <c r="K28" s="36">
        <f>IF('5. Rater B'!D28="","",'5. Rater B'!D28)</f>
      </c>
      <c r="L28" s="36">
        <f>IF('5. Rater B'!E28="","",'5. Rater B'!E28)</f>
      </c>
      <c r="M28" s="36">
        <f>IF('5. Rater B'!F28="","",'5. Rater B'!F28)</f>
      </c>
      <c r="N28" s="36">
        <f>IF('5. Rater B'!G28="","",'5. Rater B'!G28)</f>
      </c>
      <c r="O28" s="36">
        <f>IF('5. Rater B'!H28="","",'5. Rater B'!H28)</f>
      </c>
      <c r="P28" s="36">
        <f>IF(OR(D28="",J28=""),"",ABS(D28-J28))</f>
      </c>
      <c r="Q28" s="36">
        <f>IF(OR(E28="",K28=""),"",ABS(E28-K28))</f>
      </c>
      <c r="R28" s="36">
        <f>IF(OR(F28="",L28=""),"",ABS(F28-L28))</f>
      </c>
      <c r="S28" s="36">
        <f>IF(OR(G28="",M28=""),"",ABS(G28-M28))</f>
      </c>
      <c r="T28" s="36">
        <f>IF(OR(H28="",N28=""),"",ABS(H28-N28))</f>
      </c>
      <c r="U28" s="36">
        <f>IF(OR(I28="",O28=""),"",ABS(I28-O28))</f>
      </c>
      <c r="V28" s="37" t="n"/>
      <c r="W28" s="37" t="n"/>
      <c r="X28" s="37" t="n"/>
      <c r="Y28" s="37" t="n"/>
      <c r="Z28" s="37" t="n"/>
      <c r="AA28" s="37" t="n"/>
      <c r="AB28" s="36" t="n">
        <v>0.37</v>
      </c>
      <c r="AC28" s="36" t="n">
        <v>0.19</v>
      </c>
      <c r="AD28" s="36" t="n">
        <v>0.11</v>
      </c>
      <c r="AE28" s="36" t="n">
        <v>0.2</v>
      </c>
      <c r="AF28" s="36" t="n">
        <v>0.05</v>
      </c>
      <c r="AG28" s="36" t="n">
        <v>0.08</v>
      </c>
      <c r="AH28" s="36">
        <f>IF(OR((IF(V28&lt;&gt;"",V28,IF(OR(D28="",J28=""),"",(D28+J28)/2)))="",(IF(W28&lt;&gt;"",W28,IF(OR(E28="",K28=""),"",(E28+K28)/2)))="",(IF(X28&lt;&gt;"",X28,IF(OR(F28="",L28=""),"",(F28+L28)/2)))="",(IF(Y28&lt;&gt;"",Y28,IF(OR(G28="",M28=""),"",(G28+M28)/2)))="",(IF(Z28&lt;&gt;"",Z28,IF(OR(H28="",N28=""),"",(H28+N28)/2)))="",(IF(AA28&lt;&gt;"",AA28,IF(OR(I28="",O28=""),"",(I28+O28)/2)))=""),"",(IF(V28&lt;&gt;"",V28,IF(OR(D28="",J28=""),"",(D28+J28)/2)))*AB28+(IF(W28&lt;&gt;"",W28,IF(OR(E28="",K28=""),"",(E28+K28)/2)))*AC28+(IF(X28&lt;&gt;"",X28,IF(OR(F28="",L28=""),"",(F28+L28)/2)))*AD28+(IF(Y28&lt;&gt;"",Y28,IF(OR(G28="",M28=""),"",(G28+M28)/2)))*AE28+(IF(Z28&lt;&gt;"",Z28,IF(OR(H28="",N28=""),"",(H28+N28)/2)))*AF28+(IF(AA28&lt;&gt;"",AA28,IF(OR(I28="",O28=""),"",(I28+O28)/2)))*AG28)</f>
      </c>
      <c r="AI28" s="36">
        <f>IF(AH28="","",INDEX({"A1","A2","A3","B1","B2","B3","C1","C2","D1","D2","E1","E2"},MAX(1,MIN(12,ROUND(AH28,0)))))</f>
      </c>
      <c r="AJ28" s="36" t="n">
        <v>8.640000000000001</v>
      </c>
      <c r="AK28" s="36" t="inlineStr">
        <is>
          <t>D1</t>
        </is>
      </c>
      <c r="AL28" s="36">
        <f>IF(AH28="","",ROUND(MAX(1,MIN(12,ROUND(AH28,0)))-9,1))</f>
      </c>
      <c r="AM28" s="36">
        <f>IF(AL28="","",IF(ABS(AL28)&lt;=1,"Yes","No"))</f>
      </c>
    </row>
    <row r="29" ht="30" customHeight="1">
      <c r="A29" s="10" t="inlineStr">
        <is>
          <t>AR-23</t>
        </is>
      </c>
      <c r="B29" s="10" t="inlineStr">
        <is>
          <t>Business &amp; Functional Leadership</t>
        </is>
      </c>
      <c r="C29" s="10" t="inlineStr">
        <is>
          <t>Business Head</t>
        </is>
      </c>
      <c r="D29" s="36">
        <f>IF('4. Rater A'!C29="","",'4. Rater A'!C29)</f>
      </c>
      <c r="E29" s="36">
        <f>IF('4. Rater A'!D29="","",'4. Rater A'!D29)</f>
      </c>
      <c r="F29" s="36">
        <f>IF('4. Rater A'!E29="","",'4. Rater A'!E29)</f>
      </c>
      <c r="G29" s="36">
        <f>IF('4. Rater A'!F29="","",'4. Rater A'!F29)</f>
      </c>
      <c r="H29" s="36">
        <f>IF('4. Rater A'!G29="","",'4. Rater A'!G29)</f>
      </c>
      <c r="I29" s="36">
        <f>IF('4. Rater A'!H29="","",'4. Rater A'!H29)</f>
      </c>
      <c r="J29" s="36">
        <f>IF('5. Rater B'!C29="","",'5. Rater B'!C29)</f>
      </c>
      <c r="K29" s="36">
        <f>IF('5. Rater B'!D29="","",'5. Rater B'!D29)</f>
      </c>
      <c r="L29" s="36">
        <f>IF('5. Rater B'!E29="","",'5. Rater B'!E29)</f>
      </c>
      <c r="M29" s="36">
        <f>IF('5. Rater B'!F29="","",'5. Rater B'!F29)</f>
      </c>
      <c r="N29" s="36">
        <f>IF('5. Rater B'!G29="","",'5. Rater B'!G29)</f>
      </c>
      <c r="O29" s="36">
        <f>IF('5. Rater B'!H29="","",'5. Rater B'!H29)</f>
      </c>
      <c r="P29" s="36">
        <f>IF(OR(D29="",J29=""),"",ABS(D29-J29))</f>
      </c>
      <c r="Q29" s="36">
        <f>IF(OR(E29="",K29=""),"",ABS(E29-K29))</f>
      </c>
      <c r="R29" s="36">
        <f>IF(OR(F29="",L29=""),"",ABS(F29-L29))</f>
      </c>
      <c r="S29" s="36">
        <f>IF(OR(G29="",M29=""),"",ABS(G29-M29))</f>
      </c>
      <c r="T29" s="36">
        <f>IF(OR(H29="",N29=""),"",ABS(H29-N29))</f>
      </c>
      <c r="U29" s="36">
        <f>IF(OR(I29="",O29=""),"",ABS(I29-O29))</f>
      </c>
      <c r="V29" s="37" t="n"/>
      <c r="W29" s="37" t="n"/>
      <c r="X29" s="37" t="n"/>
      <c r="Y29" s="37" t="n"/>
      <c r="Z29" s="37" t="n"/>
      <c r="AA29" s="37" t="n"/>
      <c r="AB29" s="36" t="n">
        <v>0.37</v>
      </c>
      <c r="AC29" s="36" t="n">
        <v>0.19</v>
      </c>
      <c r="AD29" s="36" t="n">
        <v>0.11</v>
      </c>
      <c r="AE29" s="36" t="n">
        <v>0.2</v>
      </c>
      <c r="AF29" s="36" t="n">
        <v>0.05</v>
      </c>
      <c r="AG29" s="36" t="n">
        <v>0.08</v>
      </c>
      <c r="AH29" s="36">
        <f>IF(OR((IF(V29&lt;&gt;"",V29,IF(OR(D29="",J29=""),"",(D29+J29)/2)))="",(IF(W29&lt;&gt;"",W29,IF(OR(E29="",K29=""),"",(E29+K29)/2)))="",(IF(X29&lt;&gt;"",X29,IF(OR(F29="",L29=""),"",(F29+L29)/2)))="",(IF(Y29&lt;&gt;"",Y29,IF(OR(G29="",M29=""),"",(G29+M29)/2)))="",(IF(Z29&lt;&gt;"",Z29,IF(OR(H29="",N29=""),"",(H29+N29)/2)))="",(IF(AA29&lt;&gt;"",AA29,IF(OR(I29="",O29=""),"",(I29+O29)/2)))=""),"",(IF(V29&lt;&gt;"",V29,IF(OR(D29="",J29=""),"",(D29+J29)/2)))*AB29+(IF(W29&lt;&gt;"",W29,IF(OR(E29="",K29=""),"",(E29+K29)/2)))*AC29+(IF(X29&lt;&gt;"",X29,IF(OR(F29="",L29=""),"",(F29+L29)/2)))*AD29+(IF(Y29&lt;&gt;"",Y29,IF(OR(G29="",M29=""),"",(G29+M29)/2)))*AE29+(IF(Z29&lt;&gt;"",Z29,IF(OR(H29="",N29=""),"",(H29+N29)/2)))*AF29+(IF(AA29&lt;&gt;"",AA29,IF(OR(I29="",O29=""),"",(I29+O29)/2)))*AG29)</f>
      </c>
      <c r="AI29" s="36">
        <f>IF(AH29="","",INDEX({"A1","A2","A3","B1","B2","B3","C1","C2","D1","D2","E1","E2"},MAX(1,MIN(12,ROUND(AH29,0)))))</f>
      </c>
      <c r="AJ29" s="36" t="n">
        <v>9.029999999999999</v>
      </c>
      <c r="AK29" s="36" t="inlineStr">
        <is>
          <t>D2</t>
        </is>
      </c>
      <c r="AL29" s="36">
        <f>IF(AH29="","",ROUND(MAX(1,MIN(12,ROUND(AH29,0)))-10,1))</f>
      </c>
      <c r="AM29" s="36">
        <f>IF(AL29="","",IF(ABS(AL29)&lt;=1,"Yes","No"))</f>
      </c>
    </row>
  </sheetData>
  <mergeCells count="7">
    <mergeCell ref="A1:AM1"/>
    <mergeCell ref="P4:AB4"/>
    <mergeCell ref="K4:L4"/>
    <mergeCell ref="A3:AM3"/>
    <mergeCell ref="H4:I4"/>
    <mergeCell ref="A2:AM2"/>
    <mergeCell ref="A4:C4"/>
  </mergeCells>
  <conditionalFormatting sqref="P7:U29">
    <cfRule type="cellIs" priority="1" operator="greaterThan" dxfId="0">
      <formula>1</formula>
    </cfRule>
  </conditionalFormatting>
  <conditionalFormatting sqref="AM7:AM29">
    <cfRule type="expression" priority="2" dxfId="1">
      <formula>AM7="No"</formula>
    </cfRule>
    <cfRule type="expression" priority="3" dxfId="2">
      <formula>AM7="Yes"</formula>
    </cfRule>
  </conditionalFormatting>
  <dataValidations count="1">
    <dataValidation sqref="V7:AA29" showDropDown="0" showInputMessage="0" showErrorMessage="0" allowBlank="1" type="decimal" operator="between">
      <formula1>1</formula1>
      <formula2>12</formula2>
    </dataValidation>
  </dataValidations>
  <hyperlinks>
    <hyperlink xmlns:r="http://schemas.openxmlformats.org/officeDocument/2006/relationships" ref="AN1" r:id="rId1"/>
  </hyperlinks>
  <pageMargins left="0.4" right="0.4" top="0.5" bottom="0.5" header="0.5" footer="0.5"/>
  <pageSetup orientation="landscape" paperSize="8" fitToHeight="0" fitToWidth="1"/>
  <headerFooter>
    <oddHeader/>
    <oddFooter>&amp;LIRIS · Job Architecture &amp; Job Design · Final v1.12 · October 2026 · Internal —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IRIS Job Architecture — Calibration Panel Pack</dc:title>
  <dcterms:created xmlns:dcterms="http://purl.org/dc/terms/" xmlns:xsi="http://www.w3.org/2001/XMLSchema-instance" xsi:type="dcterms:W3CDTF">2026-10-12T06:10:08Z</dcterms:created>
  <dcterms:modified xmlns:dcterms="http://purl.org/dc/terms/" xmlns:xsi="http://www.w3.org/2001/XMLSchema-instance" xsi:type="dcterms:W3CDTF">2026-10-12T06:13:01Z</dcterms:modified>
</cp:coreProperties>
</file>