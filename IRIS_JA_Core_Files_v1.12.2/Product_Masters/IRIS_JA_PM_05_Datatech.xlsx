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9.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19.xml" ContentType="application/vnd.openxmlformats-officedocument.spreadsheetml.worksheet+xml"/>
  <Override PartName="/xl/tables/table8.xml" ContentType="application/vnd.openxmlformats-officedocument.spreadsheetml.table+xml"/>
  <Override PartName="/xl/worksheets/sheet20.xml" ContentType="application/vnd.openxmlformats-officedocument.spreadsheetml.worksheet+xml"/>
  <Override PartName="/xl/tables/table9.xml" ContentType="application/vnd.openxmlformats-officedocument.spreadsheetml.table+xml"/>
  <Override PartName="/xl/worksheets/sheet21.xml" ContentType="application/vnd.openxmlformats-officedocument.spreadsheetml.worksheet+xml"/>
  <Override PartName="/xl/tables/table10.xml" ContentType="application/vnd.openxmlformats-officedocument.spreadsheetml.table+xml"/>
  <Override PartName="/xl/worksheets/sheet22.xml" ContentType="application/vnd.openxmlformats-officedocument.spreadsheetml.worksheet+xml"/>
  <Override PartName="/xl/tables/table11.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tables/table12.xml" ContentType="application/vnd.openxmlformats-officedocument.spreadsheetml.table+xml"/>
  <Override PartName="/xl/worksheets/sheet25.xml" ContentType="application/vnd.openxmlformats-officedocument.spreadsheetml.worksheet+xml"/>
  <Override PartName="/xl/comments/comment6.xml" ContentType="application/vnd.openxmlformats-officedocument.spreadsheetml.comments+xml"/>
  <Override PartName="/xl/tables/table13.xml" ContentType="application/vnd.openxmlformats-officedocument.spreadsheetml.table+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Contents" sheetId="2" state="visible" r:id="rId2"/>
    <sheet xmlns:r="http://schemas.openxmlformats.org/officeDocument/2006/relationships" name="1. Overview" sheetId="3" state="visible" r:id="rId3"/>
    <sheet xmlns:r="http://schemas.openxmlformats.org/officeDocument/2006/relationships" name="1a. Placements" sheetId="4" state="visible" r:id="rId4"/>
    <sheet xmlns:r="http://schemas.openxmlformats.org/officeDocument/2006/relationships" name="1b. Person Card" sheetId="5" state="visible" r:id="rId5"/>
    <sheet xmlns:r="http://schemas.openxmlformats.org/officeDocument/2006/relationships" name="1d. Weightage Matrix" sheetId="6" state="visible" r:id="rId6"/>
    <sheet xmlns:r="http://schemas.openxmlformats.org/officeDocument/2006/relationships" name="1e. Weight Benchmark" sheetId="7" state="visible" r:id="rId7"/>
    <sheet xmlns:r="http://schemas.openxmlformats.org/officeDocument/2006/relationships" name="2. Talent Mapping" sheetId="8" state="visible" r:id="rId8"/>
    <sheet xmlns:r="http://schemas.openxmlformats.org/officeDocument/2006/relationships" name="3. Raw Data &amp; Market Standards" sheetId="9" state="visible" r:id="rId9"/>
    <sheet xmlns:r="http://schemas.openxmlformats.org/officeDocument/2006/relationships" name="4. Role Competency Framework" sheetId="10" state="visible" r:id="rId10"/>
    <sheet xmlns:r="http://schemas.openxmlformats.org/officeDocument/2006/relationships" name="5. Capability Framework" sheetId="11" state="visible" r:id="rId11"/>
    <sheet xmlns:r="http://schemas.openxmlformats.org/officeDocument/2006/relationships" name="6. Role Catalogue" sheetId="12" state="visible" r:id="rId12"/>
    <sheet xmlns:r="http://schemas.openxmlformats.org/officeDocument/2006/relationships" name="7. Role Requirements" sheetId="13" state="visible" r:id="rId13"/>
    <sheet xmlns:r="http://schemas.openxmlformats.org/officeDocument/2006/relationships" name="8. Talent, Learning &amp; Mobility" sheetId="14" state="visible" r:id="rId14"/>
    <sheet xmlns:r="http://schemas.openxmlformats.org/officeDocument/2006/relationships" name="9. Calibration &amp; Decisions" sheetId="15" state="visible" r:id="rId15"/>
    <sheet xmlns:r="http://schemas.openxmlformats.org/officeDocument/2006/relationships" name="10. Framework &amp; Logic" sheetId="16" state="visible" r:id="rId16"/>
    <sheet xmlns:r="http://schemas.openxmlformats.org/officeDocument/2006/relationships" name="11. References &amp; Benchmarks" sheetId="17" state="visible" r:id="rId17"/>
    <sheet xmlns:r="http://schemas.openxmlformats.org/officeDocument/2006/relationships" name="12. Org Health" sheetId="18" state="visible" r:id="rId18"/>
    <sheet xmlns:r="http://schemas.openxmlformats.org/officeDocument/2006/relationships" name="13. Weight Sensitivity" sheetId="19" state="visible" r:id="rId19"/>
    <sheet xmlns:r="http://schemas.openxmlformats.org/officeDocument/2006/relationships" name="14. A3 Deep-Dive" sheetId="20" state="visible" r:id="rId20"/>
    <sheet xmlns:r="http://schemas.openxmlformats.org/officeDocument/2006/relationships" name="15. Succession" sheetId="21" state="visible" r:id="rId21"/>
    <sheet xmlns:r="http://schemas.openxmlformats.org/officeDocument/2006/relationships" name="15a. Critical Roles at Risk" sheetId="22" state="visible" r:id="rId22"/>
    <sheet xmlns:r="http://schemas.openxmlformats.org/officeDocument/2006/relationships" name="16. Role Definitions" sheetId="23" state="visible" r:id="rId23"/>
    <sheet xmlns:r="http://schemas.openxmlformats.org/officeDocument/2006/relationships" name="17. Data Gaps" sheetId="24" state="visible" r:id="rId24"/>
    <sheet xmlns:r="http://schemas.openxmlformats.org/officeDocument/2006/relationships" name="18. Career Ladder" sheetId="25" state="visible" r:id="rId25"/>
    <sheet xmlns:r="http://schemas.openxmlformats.org/officeDocument/2006/relationships" name="Card Lists" sheetId="26" state="hidden" r:id="rId26"/>
  </sheets>
  <definedNames>
    <definedName name="PC_Products">'Card Lists'!$A$1:$A$1</definedName>
    <definedName name="PC_D_1">'Card Lists'!$B$1:$B$8</definedName>
    <definedName name="PC_N_1">'Card Lists'!$D$1:$D$8</definedName>
    <definedName name="PC_I_1">'Card Lists'!$E$1:$E$8</definedName>
    <definedName name="PC_N_2">'Card Lists'!$D$9:$D$9</definedName>
    <definedName name="PC_I_2">'Card Lists'!$E$9:$E$9</definedName>
    <definedName name="PC_N_3">'Card Lists'!$D$10:$D$14</definedName>
    <definedName name="PC_I_3">'Card Lists'!$E$10:$E$14</definedName>
    <definedName name="PC_N_4">'Card Lists'!$D$15:$D$16</definedName>
    <definedName name="PC_I_4">'Card Lists'!$E$15:$E$16</definedName>
    <definedName name="PC_N_5">'Card Lists'!$D$17:$D$21</definedName>
    <definedName name="PC_I_5">'Card Lists'!$E$17:$E$21</definedName>
    <definedName name="PC_N_6">'Card Lists'!$D$22:$D$23</definedName>
    <definedName name="PC_I_6">'Card Lists'!$E$22:$E$23</definedName>
    <definedName name="PC_N_7">'Card Lists'!$D$24:$D$24</definedName>
    <definedName name="PC_I_7">'Card Lists'!$E$24:$E$24</definedName>
    <definedName name="PC_N_8">'Card Lists'!$D$25:$D$34</definedName>
    <definedName name="PC_I_8">'Card Lists'!$E$25:$E$34</definedName>
    <definedName name="PC_Keys">'Card Lists'!$F$1:$F$8</definedName>
    <definedName name="PC_NK">'Card Lists'!$H$1:$H$34</definedName>
    <definedName name="PC_NKIds">'Card Lists'!$I$1:$I$34</definedName>
    <definedName name="PC_NKRow">'Card Lists'!$J$1:$J$34</definedName>
    <definedName name="PC_ProdF">OFFSET('Card Lists'!$M$1,0,0,MAX(1,'Card Lists'!$L$1),1)</definedName>
    <definedName name="PC_DeptF">OFFSET('Card Lists'!$O$1,0,0,MAX(1,'Card Lists'!$N$8),1)</definedName>
    <definedName name="PC_NameF">OFFSET('Card Lists'!$Q$1,0,0,MAX(1,'Card Lists'!$P$34),1)</definedName>
    <definedName name="WM_EXP_AB">'1d. Weightage Matrix'!$B$6</definedName>
    <definedName name="WM_EXP_CE">'1d. Weightage Matrix'!$B$7</definedName>
    <definedName name="WM_C">'1d. Weightage Matrix'!$N$17:$N$29</definedName>
    <definedName name="WM_AU">'1d. Weightage Matrix'!$O$17:$O$29</definedName>
    <definedName name="WM_AC">'1d. Weightage Matrix'!$P$17:$P$29</definedName>
    <definedName name="WM_L">'1d. Weightage Matrix'!$Q$17:$Q$29</definedName>
    <definedName name="WM_E">'1d. Weightage Matrix'!$R$17:$R$29</definedName>
    <definedName name="WM_BI">'1d. Weightage Matrix'!$S$17:$S$29</definedName>
    <definedName name="WM_KEY">'1d. Weightage Matrix'!$A$17:$A$29</definedName>
    <definedName name="_xlnm.Print_Titles" localSheetId="3">'1a. Placements'!$5:$6</definedName>
    <definedName name="_xlnm.Print_Area" localSheetId="4">'1b. Person Card'!$A$1:$H$58</definedName>
    <definedName name="_xlnm.Print_Titles" localSheetId="5">'1d. Weightage Matrix'!$15:$16</definedName>
    <definedName name="_xlnm.Print_Titles" localSheetId="7">'2. Talent Mapping'!$5:$6</definedName>
    <definedName name="_xlnm.Print_Titles" localSheetId="8">'3. Raw Data &amp; Market Standards'!$5:$6</definedName>
    <definedName name="_xlnm._FilterDatabase" localSheetId="11" hidden="1">'6. Role Catalogue'!$A$6:$AY$41</definedName>
    <definedName name="_xlnm.Print_Titles" localSheetId="11">'6. Role Catalogue'!$5:$6</definedName>
    <definedName name="_xlnm.Print_Titles" localSheetId="13">'8. Talent, Learning &amp; Mobility'!$5:$6</definedName>
    <definedName name="_xlnm.Print_Titles" localSheetId="17">'12. Org Health'!$5:$6</definedName>
    <definedName name="_xlnm.Print_Titles" localSheetId="18">'13. Weight Sensitivity'!$39:$40</definedName>
    <definedName name="_xlnm.Print_Titles" localSheetId="19">'14. A3 Deep-Dive'!$5:$6</definedName>
    <definedName name="_xlnm.Print_Titles" localSheetId="20">'15. Succession'!$4:$5</definedName>
    <definedName name="_xlnm.Print_Titles" localSheetId="21">'15a. Critical Roles at Risk'!$4:$5</definedName>
    <definedName name="_xlnm.Print_Titles" localSheetId="23">'17. Data Gaps'!$4:$5</definedName>
    <definedName name="_xlnm.Print_Titles" localSheetId="24">'18. Career Ladder'!$5:$6</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dd-mmm-yyyy"/>
  </numFmts>
  <fonts count="44">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b val="1"/>
      <color rgb="00FFFFFF"/>
      <sz val="9"/>
    </font>
    <font>
      <name val="Calibri"/>
      <b val="1"/>
      <color rgb="001F3864"/>
      <sz val="18"/>
    </font>
    <font>
      <name val="Calibri"/>
      <i val="1"/>
      <color rgb="00595959"/>
      <sz val="10"/>
    </font>
    <font>
      <name val="Calibri"/>
      <b val="1"/>
      <color rgb="00FFFFFF"/>
      <sz val="10"/>
    </font>
    <font>
      <name val="Calibri"/>
      <b val="1"/>
      <sz val="10"/>
    </font>
    <font>
      <name val="Calibri"/>
      <sz val="10"/>
    </font>
    <font>
      <name val="Calibri"/>
      <b val="1"/>
      <color rgb="009C0006"/>
      <sz val="10"/>
    </font>
    <font>
      <name val="Calibri"/>
      <b val="1"/>
      <color rgb="001F3864"/>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7F6000"/>
      <sz val="10"/>
    </font>
    <font>
      <name val="Calibri"/>
      <b val="1"/>
      <color rgb="00404040"/>
      <sz val="10"/>
    </font>
    <font>
      <name val="Calibri"/>
      <color rgb="009C0006"/>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i val="1"/>
      <sz val="10"/>
    </font>
    <font>
      <name val="Calibri"/>
      <color rgb="009C5700"/>
      <sz val="10"/>
    </font>
    <font>
      <name val="Calibri"/>
      <b val="1"/>
      <color rgb="00C00000"/>
      <sz val="10"/>
    </font>
    <font>
      <name val="Calibri"/>
      <color rgb="00006100"/>
      <sz val="10"/>
    </font>
    <font>
      <name val="Calibri"/>
      <color rgb="001F4E79"/>
      <sz val="10"/>
    </font>
    <font>
      <name val="Calibri"/>
      <b val="1"/>
      <color rgb="001F3864"/>
      <sz val="11"/>
    </font>
    <font>
      <name val="Calibri"/>
      <b val="1"/>
      <sz val="11"/>
    </font>
    <font>
      <name val="Calibri"/>
      <b val="1"/>
      <color rgb="00595959"/>
      <sz val="10"/>
    </font>
    <font>
      <name val="Calibri"/>
      <sz val="11"/>
    </font>
    <font>
      <name val="Calibri"/>
      <b val="1"/>
      <color rgb="001F3864"/>
      <sz val="14"/>
    </font>
    <font>
      <name val="Calibri"/>
      <b val="1"/>
      <color rgb="00404040"/>
      <sz val="11"/>
    </font>
    <font>
      <name val="Consolas"/>
      <color rgb="002E75B6"/>
      <sz val="10"/>
    </font>
    <font>
      <name val="Calibri"/>
      <b val="1"/>
      <sz val="12"/>
    </font>
    <font>
      <name val="Calibri"/>
      <b val="1"/>
      <color rgb="000563C1"/>
      <sz val="11"/>
      <u val="single"/>
    </font>
    <font>
      <name val="Calibri"/>
      <b val="1"/>
      <color rgb="000563C1"/>
      <sz val="10"/>
      <u val="single"/>
    </font>
  </fonts>
  <fills count="37">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E2EFDA"/>
      </patternFill>
    </fill>
    <fill>
      <patternFill patternType="solid">
        <fgColor rgb="00F8CBAD"/>
      </patternFill>
    </fill>
    <fill>
      <patternFill patternType="solid">
        <fgColor rgb="00DDEBF7"/>
      </patternFill>
    </fill>
    <fill>
      <patternFill patternType="solid">
        <fgColor rgb="00C6E0B4"/>
      </patternFill>
    </fill>
    <fill>
      <patternFill patternType="solid">
        <fgColor rgb="00D0E8E5"/>
      </patternFill>
    </fill>
    <fill>
      <patternFill patternType="solid">
        <fgColor rgb="00A9D08E"/>
      </patternFill>
    </fill>
    <fill>
      <patternFill patternType="solid">
        <fgColor rgb="00E4DFEC"/>
      </patternFill>
    </fill>
    <fill>
      <patternFill patternType="solid">
        <fgColor rgb="00E8DCC8"/>
      </patternFill>
    </fill>
    <fill>
      <patternFill patternType="solid">
        <fgColor rgb="00EDEDED"/>
      </patternFill>
    </fill>
    <fill>
      <patternFill patternType="solid">
        <fgColor rgb="00FFC7CE"/>
      </patternFill>
    </fill>
    <fill>
      <patternFill patternType="solid">
        <fgColor rgb="00C6EFCE"/>
      </patternFill>
    </fill>
    <fill>
      <patternFill patternType="solid">
        <fgColor rgb="00FFEB9C"/>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375623"/>
      </patternFill>
    </fill>
    <fill>
      <patternFill patternType="solid">
        <fgColor rgb="00843C0C"/>
      </patternFill>
    </fill>
    <fill>
      <patternFill patternType="solid">
        <fgColor rgb="003A3838"/>
      </patternFill>
    </fill>
    <fill>
      <patternFill patternType="solid">
        <fgColor rgb="00595959"/>
      </patternFill>
    </fill>
    <fill>
      <patternFill patternType="solid">
        <fgColor rgb="00EEF6EA"/>
      </patternFill>
    </fill>
    <fill>
      <patternFill patternType="solid">
        <fgColor rgb="00EAF3FB"/>
      </patternFill>
    </fill>
    <fill>
      <patternFill patternType="solid">
        <fgColor rgb="00EAF2E6"/>
      </patternFill>
    </fill>
    <fill>
      <patternFill patternType="solid">
        <fgColor rgb="00F4EEF9"/>
      </patternFill>
    </fill>
    <fill>
      <patternFill patternType="solid">
        <fgColor rgb="00F8F4E6"/>
      </patternFill>
    </fill>
    <fill>
      <patternFill patternType="solid">
        <fgColor rgb="00F8EDE7"/>
      </patternFill>
    </fill>
    <fill>
      <patternFill patternType="solid">
        <fgColor rgb="00FCF1EA"/>
      </patternFill>
    </fill>
    <fill>
      <patternFill patternType="solid">
        <fgColor rgb="00EEF2F9"/>
      </patternFill>
    </fill>
    <fill>
      <patternFill patternType="solid">
        <fgColor rgb="00FFFFFF"/>
      </patternFill>
    </fill>
    <fill>
      <patternFill patternType="solid">
        <fgColor rgb="00808080"/>
      </patternFill>
    </fill>
  </fills>
  <borders count="24">
    <border>
      <left/>
      <right/>
      <top/>
      <bottom/>
      <diagonal/>
    </border>
    <border>
      <left style="thin">
        <color rgb="00BFBFBF"/>
      </left>
      <right style="thin">
        <color rgb="00BFBFBF"/>
      </right>
      <top style="thin">
        <color rgb="00BFBFBF"/>
      </top>
      <bottom style="thin">
        <color rgb="00BFBFBF"/>
      </bottom>
    </border>
    <border>
      <left style="medium">
        <color rgb="00548235"/>
      </left>
      <right style="thin">
        <color rgb="00BFBFBF"/>
      </right>
      <top style="thin">
        <color rgb="00BFBFBF"/>
      </top>
      <bottom style="thin">
        <color rgb="00BFBFBF"/>
      </bottom>
    </border>
    <border>
      <left style="medium">
        <color rgb="002E75B6"/>
      </left>
      <right style="thin">
        <color rgb="00BFBFBF"/>
      </right>
      <top style="thin">
        <color rgb="00BFBFBF"/>
      </top>
      <bottom style="thin">
        <color rgb="00BFBFBF"/>
      </bottom>
    </border>
    <border>
      <left style="medium">
        <color rgb="00375623"/>
      </left>
      <right style="thin">
        <color rgb="00BFBFBF"/>
      </right>
      <top style="thin">
        <color rgb="00BFBFBF"/>
      </top>
      <bottom style="thin">
        <color rgb="00BFBFBF"/>
      </bottom>
    </border>
    <border>
      <left style="medium">
        <color rgb="007030A0"/>
      </left>
      <right style="thin">
        <color rgb="00BFBFBF"/>
      </right>
      <top style="thin">
        <color rgb="00BFBFBF"/>
      </top>
      <bottom style="thin">
        <color rgb="00BFBFBF"/>
      </bottom>
    </border>
    <border>
      <left style="medium">
        <color rgb="003A3838"/>
      </left>
      <right style="thin">
        <color rgb="00BFBFBF"/>
      </right>
      <top style="thin">
        <color rgb="00BFBFBF"/>
      </top>
      <bottom style="thin">
        <color rgb="00BFBFBF"/>
      </bottom>
    </border>
    <border>
      <left style="medium">
        <color rgb="00806000"/>
      </left>
      <right style="thin">
        <color rgb="00BFBFBF"/>
      </right>
      <top style="thin">
        <color rgb="00BFBFBF"/>
      </top>
      <bottom style="thin">
        <color rgb="00BFBFBF"/>
      </bottom>
    </border>
    <border>
      <left style="medium">
        <color rgb="001F3864"/>
      </left>
      <right style="thin">
        <color rgb="00BFBFBF"/>
      </right>
      <top style="thin">
        <color rgb="00BFBFBF"/>
      </top>
      <bottom style="thin">
        <color rgb="00BFBFBF"/>
      </bottom>
    </border>
    <border>
      <left style="medium">
        <color rgb="00843C0C"/>
      </left>
      <right style="thin">
        <color rgb="00BFBFBF"/>
      </right>
      <top style="thin">
        <color rgb="00BFBFBF"/>
      </top>
      <bottom style="thin">
        <color rgb="00BFBFBF"/>
      </bottom>
    </border>
    <border>
      <left style="medium">
        <color rgb="00C55A11"/>
      </left>
      <right style="thin">
        <color rgb="00BFBFBF"/>
      </right>
      <top style="thin">
        <color rgb="00BFBFBF"/>
      </top>
      <bottom style="thin">
        <color rgb="00BFBFBF"/>
      </bottom>
    </border>
    <border>
      <left style="medium">
        <color rgb="00595959"/>
      </left>
      <right style="thin">
        <color rgb="00BFBFBF"/>
      </right>
      <top style="thin">
        <color rgb="00BFBFBF"/>
      </top>
      <bottom style="thin">
        <color rgb="00BFBFBF"/>
      </bottom>
    </border>
    <border>
      <left style="medium">
        <color rgb="00548235"/>
      </left>
      <right/>
      <top/>
      <bottom/>
    </border>
    <border>
      <left style="medium">
        <color rgb="007030A0"/>
      </left>
      <right/>
      <top/>
      <bottom/>
    </border>
    <border>
      <left style="medium">
        <color rgb="00375623"/>
      </left>
      <right/>
      <top/>
      <bottom/>
    </border>
    <border>
      <left style="medium">
        <color rgb="00843C0C"/>
      </left>
      <right/>
      <top/>
      <bottom/>
    </border>
    <border>
      <left style="medium">
        <color rgb="001F3864"/>
      </left>
      <right/>
      <top/>
      <bottom/>
    </border>
    <border>
      <left style="medium">
        <color rgb="002E75B6"/>
      </left>
      <right/>
      <top/>
      <bottom/>
    </border>
    <border>
      <left style="medium">
        <color rgb="00C55A11"/>
      </left>
      <right/>
      <top/>
      <bottom/>
    </border>
    <border>
      <left style="medium">
        <color rgb="00806000"/>
      </left>
      <right/>
      <top/>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45">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4" borderId="1" applyAlignment="1" pivotButton="0" quotePrefix="0" xfId="0">
      <alignment horizontal="center" vertical="top" wrapText="1"/>
    </xf>
    <xf numFmtId="0" fontId="0" fillId="4" borderId="1" pivotButton="0" quotePrefix="0" xfId="0"/>
    <xf numFmtId="0" fontId="6" fillId="5" borderId="1" applyAlignment="1" pivotButton="0" quotePrefix="0" xfId="0">
      <alignment horizontal="center" vertical="top" wrapText="1"/>
    </xf>
    <xf numFmtId="0" fontId="0" fillId="5" borderId="1" pivotButton="0" quotePrefix="0" xfId="0"/>
    <xf numFmtId="0" fontId="7" fillId="0" borderId="0" applyAlignment="1" pivotButton="0" quotePrefix="0" xfId="0">
      <alignment vertical="top" wrapText="1"/>
    </xf>
    <xf numFmtId="0" fontId="8" fillId="4" borderId="1" applyAlignment="1" pivotButton="0" quotePrefix="0" xfId="0">
      <alignment horizontal="center" vertical="top" wrapText="1"/>
    </xf>
    <xf numFmtId="0" fontId="9" fillId="0" borderId="1" applyAlignment="1" pivotButton="0" quotePrefix="0" xfId="0">
      <alignment vertical="top" wrapText="1"/>
    </xf>
    <xf numFmtId="0" fontId="0" fillId="0" borderId="1" pivotButton="0" quotePrefix="0" xfId="0"/>
    <xf numFmtId="0" fontId="10" fillId="0" borderId="1" applyAlignment="1" pivotButton="0" quotePrefix="0" xfId="0">
      <alignment horizontal="center" vertical="top" wrapText="1"/>
    </xf>
    <xf numFmtId="0" fontId="10" fillId="0" borderId="1" applyAlignment="1" pivotButton="0" quotePrefix="0" xfId="0">
      <alignment vertical="top" wrapText="1"/>
    </xf>
    <xf numFmtId="0" fontId="9" fillId="0" borderId="0" applyAlignment="1" pivotButton="0" quotePrefix="0" xfId="0">
      <alignment vertical="top" wrapText="1"/>
    </xf>
    <xf numFmtId="0" fontId="10" fillId="6" borderId="1" applyAlignment="1" pivotButton="0" quotePrefix="0" xfId="0">
      <alignment vertical="top" wrapText="1"/>
    </xf>
    <xf numFmtId="0" fontId="0" fillId="6" borderId="1" pivotButton="0" quotePrefix="0" xfId="0"/>
    <xf numFmtId="0" fontId="10" fillId="6" borderId="1" applyAlignment="1" pivotButton="0" quotePrefix="0" xfId="0">
      <alignment horizontal="center" vertical="top" wrapText="1"/>
    </xf>
    <xf numFmtId="0" fontId="10" fillId="7" borderId="1" applyAlignment="1" pivotButton="0" quotePrefix="0" xfId="0">
      <alignment vertical="top" wrapText="1"/>
    </xf>
    <xf numFmtId="0" fontId="0" fillId="7" borderId="1" pivotButton="0" quotePrefix="0" xfId="0"/>
    <xf numFmtId="0" fontId="10" fillId="7" borderId="1" applyAlignment="1" pivotButton="0" quotePrefix="0" xfId="0">
      <alignment horizontal="center" vertical="top" wrapText="1"/>
    </xf>
    <xf numFmtId="0" fontId="9" fillId="8" borderId="1" applyAlignment="1" pivotButton="0" quotePrefix="0" xfId="0">
      <alignment vertical="top" wrapText="1"/>
    </xf>
    <xf numFmtId="0" fontId="0" fillId="8" borderId="1" pivotButton="0" quotePrefix="0" xfId="0"/>
    <xf numFmtId="0" fontId="10" fillId="8" borderId="1" applyAlignment="1" pivotButton="0" quotePrefix="0" xfId="0">
      <alignment horizontal="center" vertical="top" wrapText="1"/>
    </xf>
    <xf numFmtId="0" fontId="9" fillId="6" borderId="1" applyAlignment="1" pivotButton="0" quotePrefix="0" xfId="0">
      <alignment vertical="top" wrapText="1"/>
    </xf>
    <xf numFmtId="0" fontId="9" fillId="9" borderId="1" applyAlignment="1" pivotButton="0" quotePrefix="0" xfId="0">
      <alignment vertical="top" wrapText="1"/>
    </xf>
    <xf numFmtId="0" fontId="0" fillId="9" borderId="1" pivotButton="0" quotePrefix="0" xfId="0"/>
    <xf numFmtId="0" fontId="10" fillId="9" borderId="1" applyAlignment="1" pivotButton="0" quotePrefix="0" xfId="0">
      <alignment horizontal="center" vertical="top" wrapText="1"/>
    </xf>
    <xf numFmtId="0" fontId="9" fillId="10" borderId="1" applyAlignment="1" pivotButton="0" quotePrefix="0" xfId="0">
      <alignment vertical="top" wrapText="1"/>
    </xf>
    <xf numFmtId="0" fontId="0" fillId="10" borderId="1" pivotButton="0" quotePrefix="0" xfId="0"/>
    <xf numFmtId="0" fontId="10" fillId="10" borderId="1" applyAlignment="1" pivotButton="0" quotePrefix="0" xfId="0">
      <alignment horizontal="center" vertical="top" wrapText="1"/>
    </xf>
    <xf numFmtId="0" fontId="9" fillId="11" borderId="1" applyAlignment="1" pivotButton="0" quotePrefix="0" xfId="0">
      <alignment vertical="top" wrapText="1"/>
    </xf>
    <xf numFmtId="0" fontId="0" fillId="11" borderId="1" pivotButton="0" quotePrefix="0" xfId="0"/>
    <xf numFmtId="0" fontId="10" fillId="11" borderId="1" applyAlignment="1" pivotButton="0" quotePrefix="0" xfId="0">
      <alignment horizontal="center" vertical="top" wrapText="1"/>
    </xf>
    <xf numFmtId="0" fontId="9" fillId="12" borderId="1" applyAlignment="1" pivotButton="0" quotePrefix="0" xfId="0">
      <alignment vertical="top" wrapText="1"/>
    </xf>
    <xf numFmtId="0" fontId="0" fillId="12" borderId="1" pivotButton="0" quotePrefix="0" xfId="0"/>
    <xf numFmtId="0" fontId="10" fillId="12" borderId="1" applyAlignment="1" pivotButton="0" quotePrefix="0" xfId="0">
      <alignment horizontal="center" vertical="top" wrapText="1"/>
    </xf>
    <xf numFmtId="0" fontId="9" fillId="13" borderId="1" applyAlignment="1" pivotButton="0" quotePrefix="0" xfId="0">
      <alignment vertical="top" wrapText="1"/>
    </xf>
    <xf numFmtId="0" fontId="0" fillId="13" borderId="1" pivotButton="0" quotePrefix="0" xfId="0"/>
    <xf numFmtId="0" fontId="10" fillId="13" borderId="1" applyAlignment="1" pivotButton="0" quotePrefix="0" xfId="0">
      <alignment horizontal="center" vertical="top" wrapText="1"/>
    </xf>
    <xf numFmtId="0" fontId="9" fillId="14" borderId="1" applyAlignment="1" pivotButton="0" quotePrefix="0" xfId="0">
      <alignment vertical="top" wrapText="1"/>
    </xf>
    <xf numFmtId="0" fontId="0" fillId="14" borderId="1" pivotButton="0" quotePrefix="0" xfId="0"/>
    <xf numFmtId="0" fontId="10" fillId="14" borderId="1" applyAlignment="1" pivotButton="0" quotePrefix="0" xfId="0">
      <alignment horizontal="center" vertical="top" wrapText="1"/>
    </xf>
    <xf numFmtId="0" fontId="9" fillId="5" borderId="1" applyAlignment="1" pivotButton="0" quotePrefix="0" xfId="0">
      <alignment vertical="top" wrapText="1"/>
    </xf>
    <xf numFmtId="0" fontId="10" fillId="5" borderId="1" applyAlignment="1" pivotButton="0" quotePrefix="0" xfId="0">
      <alignment horizontal="center" vertical="top" wrapText="1"/>
    </xf>
    <xf numFmtId="0" fontId="11" fillId="15" borderId="1" applyAlignment="1" pivotButton="0" quotePrefix="0" xfId="0">
      <alignment vertical="top" wrapText="1"/>
    </xf>
    <xf numFmtId="0" fontId="12" fillId="3" borderId="1" applyAlignment="1" pivotButton="0" quotePrefix="0" xfId="0">
      <alignment vertical="center" indent="1"/>
    </xf>
    <xf numFmtId="0" fontId="0" fillId="3" borderId="1" pivotButton="0" quotePrefix="0" xfId="0"/>
    <xf numFmtId="0" fontId="13" fillId="7" borderId="1" applyAlignment="1" pivotButton="0" quotePrefix="0" xfId="0">
      <alignment vertical="center" indent="1"/>
    </xf>
    <xf numFmtId="0" fontId="14" fillId="16" borderId="1" applyAlignment="1" pivotButton="0" quotePrefix="0" xfId="0">
      <alignment vertical="center" indent="1"/>
    </xf>
    <xf numFmtId="0" fontId="0" fillId="16" borderId="1" pivotButton="0" quotePrefix="0" xfId="0"/>
    <xf numFmtId="0" fontId="15" fillId="17" borderId="1" applyAlignment="1" pivotButton="0" quotePrefix="0" xfId="0">
      <alignment vertical="center" indent="1"/>
    </xf>
    <xf numFmtId="0" fontId="0" fillId="17" borderId="1" pivotButton="0" quotePrefix="0" xfId="0"/>
    <xf numFmtId="0" fontId="16" fillId="8" borderId="1" applyAlignment="1" pivotButton="0" quotePrefix="0" xfId="0">
      <alignment vertical="center" indent="1"/>
    </xf>
    <xf numFmtId="0" fontId="17" fillId="9" borderId="1" applyAlignment="1" pivotButton="0" quotePrefix="0" xfId="0">
      <alignment vertical="center" indent="1"/>
    </xf>
    <xf numFmtId="0" fontId="11" fillId="15" borderId="1" applyAlignment="1" pivotButton="0" quotePrefix="0" xfId="0">
      <alignment vertical="center" indent="1"/>
    </xf>
    <xf numFmtId="0" fontId="0" fillId="15" borderId="1" pivotButton="0" quotePrefix="0" xfId="0"/>
    <xf numFmtId="0" fontId="18" fillId="18" borderId="1" applyAlignment="1" pivotButton="0" quotePrefix="0" xfId="0">
      <alignment vertical="center" indent="1"/>
    </xf>
    <xf numFmtId="0" fontId="0" fillId="18" borderId="1" pivotButton="0" quotePrefix="0" xfId="0"/>
    <xf numFmtId="0" fontId="21" fillId="3" borderId="0" applyAlignment="1" pivotButton="0" quotePrefix="0" xfId="0">
      <alignment horizontal="center" vertical="center" wrapText="1"/>
    </xf>
    <xf numFmtId="0" fontId="22" fillId="7" borderId="0" applyAlignment="1" pivotButton="0" quotePrefix="0" xfId="0">
      <alignment horizontal="center" vertical="center" wrapText="1"/>
    </xf>
    <xf numFmtId="0" fontId="0" fillId="7" borderId="0" pivotButton="0" quotePrefix="0" xfId="0"/>
    <xf numFmtId="0" fontId="23" fillId="16" borderId="0" applyAlignment="1" pivotButton="0" quotePrefix="0" xfId="0">
      <alignment horizontal="center" vertical="center" wrapText="1"/>
    </xf>
    <xf numFmtId="0" fontId="24" fillId="17" borderId="0" applyAlignment="1" pivotButton="0" quotePrefix="0" xfId="0">
      <alignment horizontal="center" vertical="center" wrapText="1"/>
    </xf>
    <xf numFmtId="0" fontId="25" fillId="8"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15" borderId="0" applyAlignment="1" pivotButton="0" quotePrefix="0" xfId="0">
      <alignment horizontal="center" vertical="center" wrapText="1"/>
    </xf>
    <xf numFmtId="0" fontId="0" fillId="15" borderId="0" pivotButton="0" quotePrefix="0" xfId="0"/>
    <xf numFmtId="0" fontId="28" fillId="18" borderId="0" applyAlignment="1" pivotButton="0" quotePrefix="0" xfId="0">
      <alignment horizontal="center" vertical="center" wrapText="1"/>
    </xf>
    <xf numFmtId="0" fontId="0" fillId="18"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0" fillId="4" borderId="0" pivotButton="0" quotePrefix="0" xfId="0"/>
    <xf numFmtId="0" fontId="4" fillId="19" borderId="0" applyAlignment="1" pivotButton="0" quotePrefix="0" xfId="0">
      <alignment vertical="center" wrapText="1"/>
    </xf>
    <xf numFmtId="0" fontId="4" fillId="20" borderId="0" applyAlignment="1" pivotButton="0" quotePrefix="0" xfId="0">
      <alignment vertical="center" wrapText="1"/>
    </xf>
    <xf numFmtId="0" fontId="0" fillId="20" borderId="0" pivotButton="0" quotePrefix="0" xfId="0"/>
    <xf numFmtId="0" fontId="4" fillId="21" borderId="0" applyAlignment="1" pivotButton="0" quotePrefix="0" xfId="0">
      <alignment vertical="center" wrapText="1"/>
    </xf>
    <xf numFmtId="0" fontId="0" fillId="21" borderId="0" pivotButton="0" quotePrefix="0" xfId="0"/>
    <xf numFmtId="0" fontId="4" fillId="22" borderId="0" applyAlignment="1" pivotButton="0" quotePrefix="0" xfId="0">
      <alignment vertical="center" wrapText="1"/>
    </xf>
    <xf numFmtId="0" fontId="0" fillId="22" borderId="0" pivotButton="0" quotePrefix="0" xfId="0"/>
    <xf numFmtId="0" fontId="4" fillId="23" borderId="0" applyAlignment="1" pivotButton="0" quotePrefix="0" xfId="0">
      <alignment vertical="center" wrapText="1"/>
    </xf>
    <xf numFmtId="0" fontId="0" fillId="23" borderId="0" pivotButton="0" quotePrefix="0" xfId="0"/>
    <xf numFmtId="0" fontId="4" fillId="24" borderId="0" applyAlignment="1" pivotButton="0" quotePrefix="0" xfId="0">
      <alignment vertical="center" wrapText="1"/>
    </xf>
    <xf numFmtId="0" fontId="0" fillId="24" borderId="0" pivotButton="0" quotePrefix="0" xfId="0"/>
    <xf numFmtId="0" fontId="4" fillId="25" borderId="0" applyAlignment="1" pivotButton="0" quotePrefix="0" xfId="0">
      <alignment vertical="center" wrapText="1"/>
    </xf>
    <xf numFmtId="0" fontId="0" fillId="25" borderId="0" pivotButton="0" quotePrefix="0" xfId="0"/>
    <xf numFmtId="0" fontId="4" fillId="26" borderId="0" applyAlignment="1" pivotButton="0" quotePrefix="0" xfId="0">
      <alignment vertical="center" wrapText="1"/>
    </xf>
    <xf numFmtId="0" fontId="0" fillId="26" borderId="0" pivotButton="0" quotePrefix="0" xfId="0"/>
    <xf numFmtId="0" fontId="8" fillId="2" borderId="8" applyAlignment="1" pivotButton="0" quotePrefix="0" xfId="0">
      <alignment horizontal="center" vertical="top" wrapText="1"/>
    </xf>
    <xf numFmtId="0" fontId="8" fillId="2" borderId="1" applyAlignment="1" pivotButton="0" quotePrefix="0" xfId="0">
      <alignment horizontal="center" vertical="top" wrapText="1"/>
    </xf>
    <xf numFmtId="0" fontId="8" fillId="4" borderId="3" applyAlignment="1" pivotButton="0" quotePrefix="0" xfId="0">
      <alignment horizontal="center" vertical="top" wrapText="1"/>
    </xf>
    <xf numFmtId="0" fontId="8" fillId="19" borderId="2" applyAlignment="1" pivotButton="0" quotePrefix="0" xfId="0">
      <alignment horizontal="center" vertical="top" wrapText="1"/>
    </xf>
    <xf numFmtId="0" fontId="8" fillId="20" borderId="5" applyAlignment="1" pivotButton="0" quotePrefix="0" xfId="0">
      <alignment horizontal="center" vertical="top" wrapText="1"/>
    </xf>
    <xf numFmtId="0" fontId="8" fillId="20" borderId="1" applyAlignment="1" pivotButton="0" quotePrefix="0" xfId="0">
      <alignment horizontal="center" vertical="top" wrapText="1"/>
    </xf>
    <xf numFmtId="0" fontId="8" fillId="21" borderId="10" applyAlignment="1" pivotButton="0" quotePrefix="0" xfId="0">
      <alignment horizontal="center" vertical="top" wrapText="1"/>
    </xf>
    <xf numFmtId="0" fontId="8" fillId="21" borderId="1" applyAlignment="1" pivotButton="0" quotePrefix="0" xfId="0">
      <alignment horizontal="center" vertical="top" wrapText="1"/>
    </xf>
    <xf numFmtId="0" fontId="8" fillId="22" borderId="7" applyAlignment="1" pivotButton="0" quotePrefix="0" xfId="0">
      <alignment horizontal="center" vertical="top" wrapText="1"/>
    </xf>
    <xf numFmtId="0" fontId="8" fillId="22" borderId="1" applyAlignment="1" pivotButton="0" quotePrefix="0" xfId="0">
      <alignment horizontal="center" vertical="top" wrapText="1"/>
    </xf>
    <xf numFmtId="0" fontId="8" fillId="23" borderId="4" applyAlignment="1" pivotButton="0" quotePrefix="0" xfId="0">
      <alignment horizontal="center" vertical="top" wrapText="1"/>
    </xf>
    <xf numFmtId="0" fontId="8" fillId="23" borderId="1" applyAlignment="1" pivotButton="0" quotePrefix="0" xfId="0">
      <alignment horizontal="center" vertical="top" wrapText="1"/>
    </xf>
    <xf numFmtId="0" fontId="8" fillId="24" borderId="9" applyAlignment="1" pivotButton="0" quotePrefix="0" xfId="0">
      <alignment horizontal="center" vertical="top" wrapText="1"/>
    </xf>
    <xf numFmtId="0" fontId="8" fillId="24" borderId="1" applyAlignment="1" pivotButton="0" quotePrefix="0" xfId="0">
      <alignment horizontal="center" vertical="top" wrapText="1"/>
    </xf>
    <xf numFmtId="0" fontId="8" fillId="25" borderId="6" applyAlignment="1" pivotButton="0" quotePrefix="0" xfId="0">
      <alignment horizontal="center" vertical="top" wrapText="1"/>
    </xf>
    <xf numFmtId="0" fontId="8" fillId="25" borderId="1" applyAlignment="1" pivotButton="0" quotePrefix="0" xfId="0">
      <alignment horizontal="center" vertical="top" wrapText="1"/>
    </xf>
    <xf numFmtId="0" fontId="8" fillId="26" borderId="11" applyAlignment="1" pivotButton="0" quotePrefix="0" xfId="0">
      <alignment horizontal="center" vertical="top" wrapText="1"/>
    </xf>
    <xf numFmtId="0" fontId="8" fillId="26" borderId="1" applyAlignment="1" pivotButton="0" quotePrefix="0" xfId="0">
      <alignment horizontal="center" vertical="top" wrapText="1"/>
    </xf>
    <xf numFmtId="0" fontId="10" fillId="34" borderId="8" applyAlignment="1" pivotButton="0" quotePrefix="0" xfId="0">
      <alignment vertical="top" wrapText="1"/>
    </xf>
    <xf numFmtId="0" fontId="9" fillId="34" borderId="1" applyAlignment="1" pivotButton="0" quotePrefix="0" xfId="0">
      <alignment vertical="top" wrapText="1"/>
    </xf>
    <xf numFmtId="0" fontId="10" fillId="34" borderId="1" applyAlignment="1" pivotButton="0" quotePrefix="0" xfId="0">
      <alignment vertical="top" wrapText="1"/>
    </xf>
    <xf numFmtId="0" fontId="10" fillId="34" borderId="1" applyAlignment="1" pivotButton="0" quotePrefix="0" xfId="0">
      <alignment horizontal="center" vertical="top" wrapText="1"/>
    </xf>
    <xf numFmtId="0" fontId="13" fillId="7" borderId="3" applyAlignment="1" pivotButton="0" quotePrefix="0" xfId="0">
      <alignment vertical="top" wrapText="1"/>
    </xf>
    <xf numFmtId="0" fontId="13" fillId="7" borderId="1" applyAlignment="1" pivotButton="0" quotePrefix="0" xfId="0">
      <alignment vertical="top" wrapText="1"/>
    </xf>
    <xf numFmtId="0" fontId="10" fillId="28" borderId="1" applyAlignment="1" pivotButton="0" quotePrefix="0" xfId="0">
      <alignment vertical="top" wrapText="1"/>
    </xf>
    <xf numFmtId="0" fontId="9" fillId="6" borderId="1" applyAlignment="1" pivotButton="0" quotePrefix="0" xfId="0">
      <alignment horizontal="center" vertical="top" wrapText="1"/>
    </xf>
    <xf numFmtId="0" fontId="19" fillId="5" borderId="1" applyAlignment="1" pivotButton="0" quotePrefix="0" xfId="0">
      <alignment vertical="top" wrapText="1"/>
    </xf>
    <xf numFmtId="0" fontId="10" fillId="27" borderId="2" applyAlignment="1" pivotButton="0" quotePrefix="0" xfId="0">
      <alignment vertical="top" wrapText="1"/>
    </xf>
    <xf numFmtId="0" fontId="10" fillId="30" borderId="5" applyAlignment="1" pivotButton="0" quotePrefix="0" xfId="0">
      <alignment vertical="top" wrapText="1"/>
    </xf>
    <xf numFmtId="0" fontId="10" fillId="18" borderId="1" applyAlignment="1" pivotButton="0" quotePrefix="0" xfId="0">
      <alignment vertical="top" wrapText="1"/>
    </xf>
    <xf numFmtId="0" fontId="10" fillId="33" borderId="10" applyAlignment="1" pivotButton="0" quotePrefix="0" xfId="0">
      <alignment vertical="top" wrapText="1"/>
    </xf>
    <xf numFmtId="0" fontId="10" fillId="33" borderId="1" applyAlignment="1" pivotButton="0" quotePrefix="0" xfId="0">
      <alignment vertical="top" wrapText="1"/>
    </xf>
    <xf numFmtId="0" fontId="10" fillId="31" borderId="7" applyAlignment="1" pivotButton="0" quotePrefix="0" xfId="0">
      <alignment vertical="top" wrapText="1"/>
    </xf>
    <xf numFmtId="164" fontId="10" fillId="31" borderId="1" applyAlignment="1" pivotButton="0" quotePrefix="0" xfId="0">
      <alignment horizontal="center" vertical="top" wrapText="1"/>
    </xf>
    <xf numFmtId="9" fontId="10" fillId="31" borderId="1" applyAlignment="1" pivotButton="0" quotePrefix="0" xfId="0">
      <alignment horizontal="center" vertical="top" wrapText="1"/>
    </xf>
    <xf numFmtId="2" fontId="10" fillId="31" borderId="1" applyAlignment="1" pivotButton="0" quotePrefix="0" xfId="0">
      <alignment horizontal="center" vertical="top" wrapText="1"/>
    </xf>
    <xf numFmtId="164" fontId="10" fillId="18" borderId="1" applyAlignment="1" pivotButton="0" quotePrefix="0" xfId="0">
      <alignment horizontal="center" vertical="top" wrapText="1"/>
    </xf>
    <xf numFmtId="0" fontId="10" fillId="31" borderId="1" applyAlignment="1" pivotButton="0" quotePrefix="0" xfId="0">
      <alignment horizontal="center" vertical="top" wrapText="1"/>
    </xf>
    <xf numFmtId="0" fontId="10" fillId="29" borderId="4" applyAlignment="1" pivotButton="0" quotePrefix="0" xfId="0">
      <alignment vertical="top" wrapText="1"/>
    </xf>
    <xf numFmtId="0" fontId="10" fillId="29" borderId="1" applyAlignment="1" pivotButton="0" quotePrefix="0" xfId="0">
      <alignment vertical="top" wrapText="1"/>
    </xf>
    <xf numFmtId="0" fontId="10" fillId="32" borderId="9" applyAlignment="1" pivotButton="0" quotePrefix="0" xfId="0">
      <alignment vertical="top" wrapText="1"/>
    </xf>
    <xf numFmtId="0" fontId="10" fillId="32" borderId="1" applyAlignment="1" pivotButton="0" quotePrefix="0" xfId="0">
      <alignment vertical="top" wrapText="1"/>
    </xf>
    <xf numFmtId="0" fontId="10" fillId="5" borderId="6" applyAlignment="1" pivotButton="0" quotePrefix="0" xfId="0">
      <alignment vertical="top" wrapText="1"/>
    </xf>
    <xf numFmtId="0" fontId="10" fillId="5" borderId="1" applyAlignment="1" pivotButton="0" quotePrefix="0" xfId="0">
      <alignment vertical="top" wrapText="1"/>
    </xf>
    <xf numFmtId="0" fontId="10" fillId="14" borderId="11" applyAlignment="1" pivotButton="0" quotePrefix="0" xfId="0">
      <alignment vertical="top" wrapText="1"/>
    </xf>
    <xf numFmtId="0" fontId="10" fillId="14" borderId="1" applyAlignment="1" pivotButton="0" quotePrefix="0" xfId="0">
      <alignment vertical="top" wrapText="1"/>
    </xf>
    <xf numFmtId="0" fontId="10" fillId="18" borderId="8" applyAlignment="1" pivotButton="0" quotePrefix="0" xfId="0">
      <alignment vertical="top" wrapText="1"/>
    </xf>
    <xf numFmtId="0" fontId="13" fillId="7" borderId="1" applyAlignment="1" pivotButton="0" quotePrefix="0" xfId="0">
      <alignment horizontal="center" vertical="top" wrapText="1"/>
    </xf>
    <xf numFmtId="0" fontId="15" fillId="17" borderId="1" applyAlignment="1" pivotButton="0" quotePrefix="0" xfId="0">
      <alignment vertical="top" wrapText="1"/>
    </xf>
    <xf numFmtId="0" fontId="10" fillId="8" borderId="1" applyAlignment="1" pivotButton="0" quotePrefix="0" xfId="0">
      <alignment vertical="top" wrapText="1"/>
    </xf>
    <xf numFmtId="0" fontId="14" fillId="16" borderId="1" applyAlignment="1" pivotButton="0" quotePrefix="0" xfId="0">
      <alignment vertical="top" wrapText="1"/>
    </xf>
    <xf numFmtId="0" fontId="10" fillId="28" borderId="3" applyAlignment="1" pivotButton="0" quotePrefix="0" xfId="0">
      <alignment vertical="top" wrapText="1"/>
    </xf>
    <xf numFmtId="0" fontId="16" fillId="8" borderId="1" applyAlignment="1" pivotButton="0" quotePrefix="0" xfId="0">
      <alignment vertical="top" wrapText="1"/>
    </xf>
    <xf numFmtId="0" fontId="9" fillId="8" borderId="1" applyAlignment="1" pivotButton="0" quotePrefix="0" xfId="0">
      <alignment horizontal="center" vertical="top" wrapText="1"/>
    </xf>
    <xf numFmtId="0" fontId="20" fillId="15" borderId="1" applyAlignment="1" pivotButton="0" quotePrefix="0" xfId="0">
      <alignment vertical="top" wrapText="1"/>
    </xf>
    <xf numFmtId="0" fontId="10" fillId="12" borderId="1" applyAlignment="1" pivotButton="0" quotePrefix="0" xfId="0">
      <alignment vertical="top" wrapText="1"/>
    </xf>
    <xf numFmtId="0" fontId="20" fillId="15" borderId="9" applyAlignment="1" pivotButton="0" quotePrefix="0" xfId="0">
      <alignment vertical="top" wrapText="1"/>
    </xf>
    <xf numFmtId="0" fontId="20" fillId="15" borderId="6" applyAlignment="1" pivotButton="0" quotePrefix="0" xfId="0">
      <alignment vertical="top" wrapText="1"/>
    </xf>
    <xf numFmtId="0" fontId="11" fillId="15" borderId="1" applyAlignment="1" pivotButton="0" quotePrefix="0" xfId="0">
      <alignment horizontal="center" vertical="top" wrapText="1"/>
    </xf>
    <xf numFmtId="0" fontId="9" fillId="14" borderId="1" applyAlignment="1" pivotButton="0" quotePrefix="0" xfId="0">
      <alignment horizontal="center" vertical="top" wrapText="1"/>
    </xf>
    <xf numFmtId="0" fontId="10" fillId="10" borderId="1" applyAlignment="1" pivotButton="0" quotePrefix="0" xfId="0">
      <alignment vertical="top" wrapText="1"/>
    </xf>
    <xf numFmtId="0" fontId="0" fillId="16" borderId="0" pivotButton="0" quotePrefix="0" xfId="0"/>
    <xf numFmtId="0" fontId="0" fillId="17" borderId="0" pivotButton="0" quotePrefix="0" xfId="0"/>
    <xf numFmtId="0" fontId="0" fillId="9" borderId="0" pivotButton="0" quotePrefix="0" xfId="0"/>
    <xf numFmtId="0" fontId="0" fillId="19" borderId="0" pivotButton="0" quotePrefix="0" xfId="0"/>
    <xf numFmtId="0" fontId="8" fillId="19" borderId="1" applyAlignment="1" pivotButton="0" quotePrefix="0" xfId="0">
      <alignment horizontal="center" vertical="top" wrapText="1"/>
    </xf>
    <xf numFmtId="0" fontId="10" fillId="27" borderId="12" applyAlignment="1" pivotButton="0" quotePrefix="0" xfId="0">
      <alignment vertical="top"/>
    </xf>
    <xf numFmtId="0" fontId="10" fillId="27" borderId="0" applyAlignment="1" pivotButton="0" quotePrefix="0" xfId="0">
      <alignment vertical="top"/>
    </xf>
    <xf numFmtId="165" fontId="10" fillId="27" borderId="0" applyAlignment="1" pivotButton="0" quotePrefix="0" xfId="0">
      <alignment vertical="top"/>
    </xf>
    <xf numFmtId="0" fontId="4" fillId="4" borderId="0" pivotButton="0" quotePrefix="0" xfId="0"/>
    <xf numFmtId="0" fontId="10" fillId="8" borderId="8" applyAlignment="1" pivotButton="0" quotePrefix="0" xfId="0">
      <alignment horizontal="center" vertical="top" wrapText="1"/>
    </xf>
    <xf numFmtId="0" fontId="10" fillId="28" borderId="3" applyAlignment="1" pivotButton="0" quotePrefix="0" xfId="0">
      <alignment horizontal="center" vertical="top" wrapText="1"/>
    </xf>
    <xf numFmtId="0" fontId="10" fillId="28" borderId="1" applyAlignment="1" pivotButton="0" quotePrefix="0" xfId="0">
      <alignment horizontal="center" vertical="top" wrapText="1"/>
    </xf>
    <xf numFmtId="0" fontId="10" fillId="27" borderId="1" applyAlignment="1" pivotButton="0" quotePrefix="0" xfId="0">
      <alignment vertical="top" wrapText="1"/>
    </xf>
    <xf numFmtId="0" fontId="10" fillId="30" borderId="1" applyAlignment="1" pivotButton="0" quotePrefix="0" xfId="0">
      <alignment vertical="top" wrapText="1"/>
    </xf>
    <xf numFmtId="0" fontId="10" fillId="6" borderId="8" applyAlignment="1" pivotButton="0" quotePrefix="0" xfId="0">
      <alignment horizontal="center" vertical="top" wrapText="1"/>
    </xf>
    <xf numFmtId="0" fontId="10" fillId="10" borderId="8" applyAlignment="1" pivotButton="0" quotePrefix="0" xfId="0">
      <alignment horizontal="center" vertical="top" wrapText="1"/>
    </xf>
    <xf numFmtId="0" fontId="10" fillId="12" borderId="8" applyAlignment="1" pivotButton="0" quotePrefix="0" xfId="0">
      <alignment horizontal="center" vertical="top" wrapText="1"/>
    </xf>
    <xf numFmtId="0" fontId="10" fillId="14" borderId="8" applyAlignment="1" pivotButton="0" quotePrefix="0" xfId="0">
      <alignment horizontal="center" vertical="top" wrapText="1"/>
    </xf>
    <xf numFmtId="0" fontId="9" fillId="0" borderId="1" applyAlignment="1" pivotButton="0" quotePrefix="0" xfId="0">
      <alignment horizontal="center" vertical="top" wrapText="1"/>
    </xf>
    <xf numFmtId="0" fontId="29" fillId="0" borderId="0" applyAlignment="1" pivotButton="0" quotePrefix="0" xfId="0">
      <alignment vertical="top" wrapText="1"/>
    </xf>
    <xf numFmtId="0" fontId="4" fillId="4" borderId="0" applyAlignment="1" pivotButton="0" quotePrefix="0" xfId="0">
      <alignment vertical="center"/>
    </xf>
    <xf numFmtId="0" fontId="10" fillId="35" borderId="1" applyAlignment="1" pivotButton="0" quotePrefix="0" xfId="0">
      <alignment vertical="top" wrapText="1"/>
    </xf>
    <xf numFmtId="0" fontId="10" fillId="35" borderId="1" applyAlignment="1" pivotButton="0" quotePrefix="0" xfId="0">
      <alignment horizontal="center" vertical="top" wrapText="1"/>
    </xf>
    <xf numFmtId="0" fontId="9" fillId="34" borderId="8" applyAlignment="1" pivotButton="0" quotePrefix="0" xfId="0">
      <alignment horizontal="center" vertical="top" wrapText="1"/>
    </xf>
    <xf numFmtId="0" fontId="10" fillId="31" borderId="7" applyAlignment="1" pivotButton="0" quotePrefix="0" xfId="0">
      <alignment horizontal="center" vertical="top" wrapText="1"/>
    </xf>
    <xf numFmtId="0" fontId="10" fillId="31" borderId="1" applyAlignment="1" pivotButton="0" quotePrefix="0" xfId="0">
      <alignment vertical="top" wrapText="1"/>
    </xf>
    <xf numFmtId="0" fontId="10" fillId="8" borderId="6" applyAlignment="1" pivotButton="0" quotePrefix="0" xfId="0">
      <alignment vertical="top" wrapText="1"/>
    </xf>
    <xf numFmtId="0" fontId="9" fillId="10" borderId="1" applyAlignment="1" pivotButton="0" quotePrefix="0" xfId="0">
      <alignment horizontal="center" vertical="top" wrapText="1"/>
    </xf>
    <xf numFmtId="0" fontId="10" fillId="6" borderId="6" applyAlignment="1" pivotButton="0" quotePrefix="0" xfId="0">
      <alignment vertical="top" wrapText="1"/>
    </xf>
    <xf numFmtId="0" fontId="9" fillId="12" borderId="1" applyAlignment="1" pivotButton="0" quotePrefix="0" xfId="0">
      <alignment horizontal="center" vertical="top" wrapText="1"/>
    </xf>
    <xf numFmtId="0" fontId="10" fillId="27" borderId="2" applyAlignment="1" pivotButton="0" quotePrefix="0" xfId="0">
      <alignment horizontal="center" vertical="top" wrapText="1"/>
    </xf>
    <xf numFmtId="0" fontId="10" fillId="30" borderId="5" applyAlignment="1" pivotButton="0" quotePrefix="0" xfId="0">
      <alignment horizontal="center" vertical="top" wrapText="1"/>
    </xf>
    <xf numFmtId="9" fontId="10" fillId="30" borderId="1" applyAlignment="1" pivotButton="0" quotePrefix="0" xfId="0">
      <alignment horizontal="center" vertical="top" wrapText="1"/>
    </xf>
    <xf numFmtId="0" fontId="10" fillId="29" borderId="4" applyAlignment="1" pivotButton="0" quotePrefix="0" xfId="0">
      <alignment horizontal="center" vertical="top" wrapText="1"/>
    </xf>
    <xf numFmtId="0" fontId="10" fillId="29" borderId="1" applyAlignment="1" pivotButton="0" quotePrefix="0" xfId="0">
      <alignment horizontal="center" vertical="top" wrapText="1"/>
    </xf>
    <xf numFmtId="0" fontId="0" fillId="34" borderId="16" pivotButton="0" quotePrefix="0" xfId="0"/>
    <xf numFmtId="0" fontId="0" fillId="34" borderId="0" pivotButton="0" quotePrefix="0" xfId="0"/>
    <xf numFmtId="0" fontId="0" fillId="28" borderId="17" pivotButton="0" quotePrefix="0" xfId="0"/>
    <xf numFmtId="0" fontId="0" fillId="28" borderId="0" pivotButton="0" quotePrefix="0" xfId="0"/>
    <xf numFmtId="0" fontId="0" fillId="27" borderId="12" pivotButton="0" quotePrefix="0" xfId="0"/>
    <xf numFmtId="0" fontId="0" fillId="27" borderId="0" pivotButton="0" quotePrefix="0" xfId="0"/>
    <xf numFmtId="0" fontId="0" fillId="30" borderId="13" pivotButton="0" quotePrefix="0" xfId="0"/>
    <xf numFmtId="0" fontId="0" fillId="30" borderId="0" pivotButton="0" quotePrefix="0" xfId="0"/>
    <xf numFmtId="0" fontId="0" fillId="33" borderId="18" pivotButton="0" quotePrefix="0" xfId="0"/>
    <xf numFmtId="0" fontId="0" fillId="33" borderId="0" pivotButton="0" quotePrefix="0" xfId="0"/>
    <xf numFmtId="0" fontId="0" fillId="31" borderId="19" pivotButton="0" quotePrefix="0" xfId="0"/>
    <xf numFmtId="0" fontId="0" fillId="29" borderId="14" pivotButton="0" quotePrefix="0" xfId="0"/>
    <xf numFmtId="0" fontId="0" fillId="29" borderId="0" pivotButton="0" quotePrefix="0" xfId="0"/>
    <xf numFmtId="0" fontId="0" fillId="32" borderId="15" pivotButton="0" quotePrefix="0" xfId="0"/>
    <xf numFmtId="0" fontId="0" fillId="32" borderId="0" pivotButton="0" quotePrefix="0" xfId="0"/>
    <xf numFmtId="0" fontId="0" fillId="8" borderId="0" pivotButton="0" quotePrefix="0" xfId="0"/>
    <xf numFmtId="9" fontId="10" fillId="0" borderId="1" applyAlignment="1" pivotButton="0" quotePrefix="0" xfId="0">
      <alignment horizontal="center" vertical="top" wrapText="1"/>
    </xf>
    <xf numFmtId="0" fontId="10" fillId="9" borderId="1" applyAlignment="1" pivotButton="0" quotePrefix="0" xfId="0">
      <alignment vertical="top" wrapText="1"/>
    </xf>
    <xf numFmtId="0" fontId="10" fillId="11" borderId="1" applyAlignment="1" pivotButton="0" quotePrefix="0" xfId="0">
      <alignment vertical="top" wrapText="1"/>
    </xf>
    <xf numFmtId="0" fontId="10" fillId="13" borderId="1" applyAlignment="1" pivotButton="0" quotePrefix="0" xfId="0">
      <alignment vertical="top" wrapText="1"/>
    </xf>
    <xf numFmtId="0" fontId="10" fillId="0" borderId="0" applyAlignment="1" pivotButton="0" quotePrefix="0" xfId="0">
      <alignment vertical="top" wrapText="1"/>
    </xf>
    <xf numFmtId="0" fontId="9" fillId="3" borderId="1" applyAlignment="1" pivotButton="0" quotePrefix="0" xfId="0">
      <alignment vertical="top" wrapText="1"/>
    </xf>
    <xf numFmtId="0" fontId="0" fillId="0" borderId="23" pivotButton="0" quotePrefix="0" xfId="0"/>
    <xf numFmtId="0" fontId="0" fillId="0" borderId="22" pivotButton="0" quotePrefix="0" xfId="0"/>
    <xf numFmtId="0" fontId="10" fillId="3" borderId="1" applyAlignment="1" pivotButton="0" quotePrefix="0" xfId="0">
      <alignment horizontal="center" vertical="top" wrapText="1"/>
    </xf>
    <xf numFmtId="0" fontId="10" fillId="0" borderId="1" applyAlignment="1" pivotButton="0" quotePrefix="0" xfId="0">
      <alignment vertical="top"/>
    </xf>
    <xf numFmtId="0" fontId="30" fillId="17" borderId="1" applyAlignment="1" pivotButton="0" quotePrefix="0" xfId="0">
      <alignment horizontal="center" vertical="top" wrapText="1"/>
    </xf>
    <xf numFmtId="0" fontId="31" fillId="0" borderId="1" applyAlignment="1" pivotButton="0" quotePrefix="0" xfId="0">
      <alignment vertical="top"/>
    </xf>
    <xf numFmtId="0" fontId="32" fillId="16" borderId="1" applyAlignment="1" pivotButton="0" quotePrefix="0" xfId="0">
      <alignment horizontal="center" vertical="top" wrapText="1"/>
    </xf>
    <xf numFmtId="0" fontId="33" fillId="8" borderId="1" applyAlignment="1" pivotButton="0" quotePrefix="0" xfId="0">
      <alignment horizontal="center" vertical="top" wrapText="1"/>
    </xf>
    <xf numFmtId="0" fontId="34" fillId="3" borderId="0" applyAlignment="1" pivotButton="0" quotePrefix="0" xfId="0">
      <alignment vertical="top" wrapText="1"/>
    </xf>
    <xf numFmtId="0" fontId="35" fillId="18" borderId="0" applyAlignment="1" pivotButton="0" quotePrefix="0" xfId="0">
      <alignment vertical="top" wrapText="1"/>
    </xf>
    <xf numFmtId="0" fontId="36" fillId="0" borderId="0" applyAlignment="1" pivotButton="0" quotePrefix="0" xfId="0">
      <alignment horizontal="right" vertical="center"/>
    </xf>
    <xf numFmtId="0" fontId="37" fillId="35" borderId="1" applyAlignment="1" pivotButton="0" quotePrefix="0" xfId="0">
      <alignment vertical="top" wrapText="1"/>
    </xf>
    <xf numFmtId="0" fontId="34"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 fillId="2" borderId="0" applyAlignment="1" pivotButton="0" quotePrefix="0" xfId="0">
      <alignment vertical="center" indent="1"/>
    </xf>
    <xf numFmtId="0" fontId="9" fillId="5" borderId="0" applyAlignment="1" pivotButton="0" quotePrefix="0" xfId="0">
      <alignment vertical="top" wrapText="1"/>
    </xf>
    <xf numFmtId="0" fontId="8" fillId="4" borderId="0" applyAlignment="1" pivotButton="0" quotePrefix="0" xfId="0">
      <alignment vertical="top" wrapText="1"/>
    </xf>
    <xf numFmtId="0" fontId="10" fillId="0" borderId="0" applyAlignment="1" pivotButton="0" quotePrefix="0" xfId="0">
      <alignment horizontal="center" vertical="top" wrapText="1"/>
    </xf>
    <xf numFmtId="0" fontId="40" fillId="0" borderId="0" applyAlignment="1" pivotButton="0" quotePrefix="0" xfId="0">
      <alignment vertical="top" wrapText="1"/>
    </xf>
    <xf numFmtId="9" fontId="10" fillId="0" borderId="0" applyAlignment="1" pivotButton="0" quotePrefix="0" xfId="0">
      <alignment horizontal="center" vertical="top" wrapText="1"/>
    </xf>
    <xf numFmtId="2" fontId="10" fillId="0" borderId="0" applyAlignment="1" pivotButton="0" quotePrefix="0" xfId="0">
      <alignment horizontal="center" vertical="top" wrapText="1"/>
    </xf>
    <xf numFmtId="0" fontId="9" fillId="3" borderId="0" applyAlignment="1" pivotButton="0" quotePrefix="0" xfId="0">
      <alignment vertical="top" wrapText="1"/>
    </xf>
    <xf numFmtId="2" fontId="9" fillId="3" borderId="0" applyAlignment="1" pivotButton="0" quotePrefix="0" xfId="0">
      <alignment horizontal="center" vertical="top" wrapText="1"/>
    </xf>
    <xf numFmtId="0" fontId="9" fillId="3" borderId="0" applyAlignment="1" pivotButton="0" quotePrefix="0" xfId="0">
      <alignment horizontal="center" vertical="top" wrapText="1"/>
    </xf>
    <xf numFmtId="0" fontId="41" fillId="18" borderId="1" applyAlignment="1" pivotButton="0" quotePrefix="0" xfId="0">
      <alignment horizontal="center" vertical="top" wrapText="1"/>
    </xf>
    <xf numFmtId="0" fontId="8" fillId="36" borderId="1" applyAlignment="1" pivotButton="0" quotePrefix="0" xfId="0">
      <alignment horizontal="center" vertical="top" wrapText="1"/>
    </xf>
    <xf numFmtId="164" fontId="9" fillId="0" borderId="1" applyAlignment="1" pivotButton="0" quotePrefix="0" xfId="0">
      <alignment horizontal="center" vertical="top" wrapText="1"/>
    </xf>
    <xf numFmtId="9" fontId="10" fillId="14" borderId="1" applyAlignment="1" pivotButton="0" quotePrefix="0" xfId="0">
      <alignment horizontal="center" vertical="top" wrapText="1"/>
    </xf>
    <xf numFmtId="164" fontId="10" fillId="0" borderId="1" applyAlignment="1" pivotButton="0" quotePrefix="0" xfId="0">
      <alignment vertical="top" wrapText="1"/>
    </xf>
    <xf numFmtId="0" fontId="8" fillId="4" borderId="1" applyAlignment="1" pivotButton="0" quotePrefix="0" xfId="0">
      <alignment vertical="top" wrapText="1"/>
    </xf>
    <xf numFmtId="0" fontId="10" fillId="18" borderId="1" applyAlignment="1" pivotButton="0" quotePrefix="0" xfId="0">
      <alignment horizontal="center" vertical="top" wrapText="1"/>
    </xf>
    <xf numFmtId="0" fontId="43" fillId="0" borderId="0" applyAlignment="1" pivotButton="0" quotePrefix="0" xfId="0">
      <alignment vertical="center"/>
    </xf>
    <xf numFmtId="0" fontId="0" fillId="0" borderId="1" applyAlignment="1" pivotButton="0" quotePrefix="0" xfId="0">
      <alignment horizontal="center" vertical="top"/>
    </xf>
    <xf numFmtId="0" fontId="42" fillId="0" borderId="1" applyAlignment="1" pivotButton="0" quotePrefix="0" xfId="0">
      <alignment vertical="top"/>
    </xf>
    <xf numFmtId="166" fontId="10" fillId="2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Overview'!B163</f>
            </strRef>
          </tx>
          <spPr>
            <a:solidFill xmlns:a="http://schemas.openxmlformats.org/drawingml/2006/main">
              <a:srgbClr val="2E75B6"/>
            </a:solidFill>
            <a:ln xmlns:a="http://schemas.openxmlformats.org/drawingml/2006/main">
              <a:solidFill>
                <a:srgbClr val="2E75B6"/>
              </a:solidFill>
              <a:prstDash val="solid"/>
            </a:ln>
          </spPr>
          <cat>
            <numRef>
              <f>'1. Overview'!$A$164:$A$170</f>
            </numRef>
          </cat>
          <val>
            <numRef>
              <f>'1. Overview'!$B$164:$B$170</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Ratings</a:t>
            </a:r>
          </a:p>
        </rich>
      </tx>
    </title>
    <plotArea>
      <barChart>
        <barDir val="bar"/>
        <grouping val="clustered"/>
        <ser>
          <idx val="0"/>
          <order val="0"/>
          <tx>
            <strRef>
              <f>'1b. Person Card'!B31</f>
            </strRef>
          </tx>
          <spPr>
            <a:solidFill xmlns:a="http://schemas.openxmlformats.org/drawingml/2006/main">
              <a:srgbClr val="2E75B6"/>
            </a:solidFill>
            <a:ln xmlns:a="http://schemas.openxmlformats.org/drawingml/2006/main">
              <a:prstDash val="solid"/>
            </a:ln>
          </spPr>
          <cat>
            <numRef>
              <f>'1b. Person Card'!$A$32:$A$37</f>
            </numRef>
          </cat>
          <val>
            <numRef>
              <f>'1b. Person Card'!$B$32:$B$37</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2"/>
          <min val="0"/>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Business line: CARBON, iFile, iDEAL, Datatech, Consume or Corporate.</t>
      </text>
    </comment>
    <comment ref="D6" authorId="0" shapeId="0">
      <text>
        <t>Department in the Employee Master.</t>
      </text>
    </comment>
    <comment ref="E6" authorId="0" shapeId="0">
      <text>
        <t>The discipline, the same across businesses.</t>
      </text>
    </comment>
    <comment ref="G6" authorId="0" shapeId="0">
      <text>
        <t>Title held today · Employee Master.</t>
      </text>
    </comment>
    <comment ref="H6" authorId="0" shapeId="0">
      <text>
        <t>New title: level marker + role noun · title rules N1–N5.</t>
      </text>
    </comment>
    <comment ref="I6" authorId="0" shapeId="0">
      <text>
        <t>Level in the current structure, or 'Not in current mapping files'.</t>
      </text>
    </comment>
    <comment ref="J6" authorId="0" shapeId="0">
      <text>
        <t>Level on the new ladder · A1–E2, B+ / C+ Player-Coach steps, X1–X3 consultants after the rules.</t>
      </text>
    </comment>
    <comment ref="K6" authorId="0" shapeId="0">
      <text>
        <t>Individual Contributor, POD Lead, People Manager, Player-Coach or Consultant.</t>
      </text>
    </comment>
    <comment ref="L6" authorId="0" shapeId="0">
      <text>
        <t>Up, same, down · pay and title protected for one cycle or newly mapped.</t>
      </text>
    </comment>
    <comment ref="M6" authorId="0" shapeId="0">
      <text>
        <t>Weighted score = Σ rating × weight, on the 1–12 level scale. Not performance, not pay.</t>
      </text>
    </comment>
    <comment ref="N6" authorId="0" shapeId="0">
      <text>
        <t>Complexity &amp; Expertise rating: how hard the work is.</t>
      </text>
    </comment>
    <comment ref="O6" authorId="0" shapeId="0">
      <text>
        <t>Autonomy &amp; Decision rating: how freely the person decides.</t>
      </text>
    </comment>
    <comment ref="P6" authorId="0" shapeId="0">
      <text>
        <t>Accountability &amp; Impact rating: what the role answers for.</t>
      </text>
    </comment>
    <comment ref="Q6" authorId="0" shapeId="0">
      <text>
        <t>Leadership &amp; Strategy rating: how much the role leads others.</t>
      </text>
    </comment>
    <comment ref="R6" authorId="0" shapeId="0">
      <text>
        <t>Experience &amp; Qualification rating: the experience and qualification the role needs.</t>
      </text>
    </comment>
    <comment ref="T6" authorId="0" shapeId="0">
      <text>
        <t>'The score decided the level', or the rule that held or moved it · R4–R10; Framework &amp; Model Master.</t>
      </text>
    </comment>
    <comment ref="U6" authorId="0" shapeId="0">
      <text>
        <t>Close call, near a gate, input needed, or a protected move down.</t>
      </text>
    </comment>
    <comment ref="V6" authorId="0" shapeId="0">
      <text>
        <t>High / Medium / Low: how much evidence stands behind the placement.</t>
      </text>
    </comment>
  </commentList>
</comments>
</file>

<file path=xl/comments/comment2.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comments/comment3.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From the Employee Master reporting line.</t>
      </text>
    </comment>
    <comment ref="H6" authorId="0" shapeId="0">
      <text>
        <t>Title held today · Employee Master.</t>
      </text>
    </comment>
    <comment ref="I6" authorId="0" shapeId="0">
      <text>
        <t>New title: level marker + role noun · title rules N1–N5.</t>
      </text>
    </comment>
    <comment ref="J6" authorId="0" shapeId="0">
      <text>
        <t>The discipline, the same across businesses.</t>
      </text>
    </comment>
    <comment ref="L6" authorId="0" shapeId="0">
      <text>
        <t>Level in the current structure, or 'Not in current mapping files'.</t>
      </text>
    </comment>
    <comment ref="M6" authorId="0" shapeId="0">
      <text>
        <t>Level on the new ladder · A1–E2, B+ / C+ Player-Coach steps, X1–X3 consultants after the rules.</t>
      </text>
    </comment>
    <comment ref="N6" authorId="0" shapeId="0">
      <text>
        <t>The generic title of the level on the person's track.</t>
      </text>
    </comment>
    <comment ref="O6" authorId="0" shapeId="0">
      <text>
        <t>A practitioner · B specialist / manager · C principal / head · D business leadership · E enterprise leadership.</t>
      </text>
    </comment>
    <comment ref="P6" authorId="0" shapeId="0">
      <text>
        <t>Individual Contributor, POD Lead, People Manager, Player-Coach or Consultant.</t>
      </text>
    </comment>
    <comment ref="Q6" authorId="0" shapeId="0">
      <text>
        <t>Up, same, down · pay and title protected for one cycle or newly mapped.</t>
      </text>
    </comment>
    <comment ref="R6" authorId="0" shapeId="0">
      <text>
        <t>What the role does, its key responsibilities, deliverables, decision rights, skills, tools and the competencies it requires — from the role catalogue: catalogue text plus counted themes from role-holders' survey answers · only where 3+ answered, never one person's words.</t>
      </text>
    </comment>
    <comment ref="AS6" authorId="0" shapeId="0">
      <text>
        <t>The score rounded to the nearest level ·.5 rounds up, before the rules.</t>
      </text>
    </comment>
    <comment ref="AT6" authorId="0" shapeId="0">
      <text>
        <t>The base weights for the band and track, and the tilt for the type of work.</t>
      </text>
    </comment>
    <comment ref="AU6" authorId="0" shapeId="0">
      <text>
        <t>Each rating × weight = points; the points add up to the score.</t>
      </text>
    </comment>
    <comment ref="BF6" authorId="0" shapeId="0">
      <text>
        <t>High / Medium / Low: how much evidence stands behind the placement.</t>
      </text>
    </comment>
    <comment ref="BG6" authorId="0" shapeId="0">
      <text>
        <t>Facts the business head or HR must confirm before sign-off.</t>
      </text>
    </comment>
    <comment ref="BN6" authorId="0" shapeId="0">
      <text>
        <t>Agree / Change / Discuss — the manager's view of the placement.</t>
      </text>
    </comment>
    <comment ref="BP6" authorId="0" shapeId="0">
      <text>
        <t>Approved / Changed / On hold.</t>
      </text>
    </comment>
    <comment ref="BQ6" authorId="0" shapeId="0">
      <text>
        <t>The level after calibration; enter only when it differs from FINAL LEVEL or once approved.</t>
      </text>
    </comment>
  </commentList>
</comments>
</file>

<file path=xl/comments/comment4.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The discipline, the same across businesses.</t>
      </text>
    </comment>
    <comment ref="AK6" authorId="0" shapeId="0">
      <text>
        <t>Department in the Employee Master.</t>
      </text>
    </comment>
    <comment ref="AR6" authorId="0" shapeId="0">
      <text>
        <t>Open → In discussion → Agreed / Changed / Escalated → Closed.</t>
      </text>
    </comment>
  </commentList>
</comments>
</file>

<file path=xl/comments/comment5.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Individual Contributor, POD Lead, People Manager, Player-Coach or Consultant.</t>
      </text>
    </comment>
  </commentList>
</comments>
</file>

<file path=xl/comments/comment6.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162</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30</row>
      <rowOff>0</rowOff>
    </from>
    <ext cx="396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1a__Placements" displayName="T_1a__Placements" ref="A6:V40" headerRowCount="1">
  <autoFilter ref="A6:V40"/>
  <tableColumns count="22">
    <tableColumn id="1" name="Emp ID"/>
    <tableColumn id="2" name="Employee name"/>
    <tableColumn id="3" name="Business"/>
    <tableColumn id="4" name="Department"/>
    <tableColumn id="5" name="Job family"/>
    <tableColumn id="6" name="Sub-family"/>
    <tableColumn id="7" name="Current designation"/>
    <tableColumn id="8" name="Final designation"/>
    <tableColumn id="9" name="Current level"/>
    <tableColumn id="10" name="FINAL LEVEL"/>
    <tableColumn id="11" name="Track"/>
    <tableColumn id="12" name="Change"/>
    <tableColumn id="13" name="Score"/>
    <tableColumn id="14" name="Complexity"/>
    <tableColumn id="15" name="Autonomy"/>
    <tableColumn id="16" name="Accountability"/>
    <tableColumn id="17" name="Leadership"/>
    <tableColumn id="18" name="Exp &amp; Qual"/>
    <tableColumn id="19" name="Bus. Impact"/>
    <tableColumn id="20" name="What set the level"/>
    <tableColumn id="21" name="Flags"/>
    <tableColumn id="22" name="Confidence"/>
  </tableColumns>
  <tableStyleInfo name="TableStyleLight1" showRowStripes="1" showColumnStripes="0"/>
</table>
</file>

<file path=xl/tables/table2.xml><?xml version="1.0" encoding="utf-8"?>
<table xmlns="http://schemas.openxmlformats.org/spreadsheetml/2006/main" id="2" name="T_1d__Weightage_Matrix" displayName="T_1d__Weightage_Matrix" ref="A16:T29" headerRowCount="1">
  <autoFilter ref="A16:T29"/>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ables/table3.xml><?xml version="1.0" encoding="utf-8"?>
<table xmlns="http://schemas.openxmlformats.org/spreadsheetml/2006/main" id="3" name="T_2__Talent_Mapping" displayName="T_2__Talent_Mapping" ref="A6:BV40" headerRowCount="1">
  <autoFilter ref="A6:BV40"/>
  <tableColumns count="74">
    <tableColumn id="1" name="Emp ID"/>
    <tableColumn id="2" name="Employee name"/>
    <tableColumn id="3" name="Department"/>
    <tableColumn id="4" name="Reporting manager"/>
    <tableColumn id="5" name="Total exp. · yrs"/>
    <tableColumn id="6" name="Exp. at IRIS · yrs"/>
    <tableColumn id="7" name="Qualification"/>
    <tableColumn id="8" name="Current designation"/>
    <tableColumn id="9" name="Final designation"/>
    <tableColumn id="10" name="Job family"/>
    <tableColumn id="11" name="Sub-family · what they do"/>
    <tableColumn id="12" name="Current level"/>
    <tableColumn id="13" name="FINAL LEVEL"/>
    <tableColumn id="14" name="Level title"/>
    <tableColumn id="15" name="Band"/>
    <tableColumn id="16" name="Track"/>
    <tableColumn id="17" name="Change vs current"/>
    <tableColumn id="18" name="Role profile — what they do, responsibilities &amp; competencies required"/>
    <tableColumn id="19" name="Business impact — from survey and data"/>
    <tableColumn id="20" name="Business impact — from manager / head · to complete"/>
    <tableColumn id="21" name="Replacement — what they do · simple"/>
    <tableColumn id="22" name="Hire equivalent · external market"/>
    <tableColumn id="23" name="Competencies &amp; skill level to hire for"/>
    <tableColumn id="24" name="Interview questions for the perfect fit"/>
    <tableColumn id="25" name="Weight row — Weightage Matrix"/>
    <tableColumn id="26" name="Complexity rating"/>
    <tableColumn id="27" name="Complexity weight"/>
    <tableColumn id="28" name="Complexity points"/>
    <tableColumn id="29" name="Autonomy rating"/>
    <tableColumn id="30" name="Autonomy weight"/>
    <tableColumn id="31" name="Autonomy points"/>
    <tableColumn id="32" name="Accountab. rating"/>
    <tableColumn id="33" name="Accountab. weight"/>
    <tableColumn id="34" name="Accountab. points"/>
    <tableColumn id="35" name="Leadership rating"/>
    <tableColumn id="36" name="Leadership weight"/>
    <tableColumn id="37" name="Leadership points"/>
    <tableColumn id="38" name="Exp + Qual rating"/>
    <tableColumn id="39" name="Exp + Qual weight"/>
    <tableColumn id="40" name="Exp + Qual points"/>
    <tableColumn id="41" name="Bus. Impact rating"/>
    <tableColumn id="42" name="Bus. Impact weight"/>
    <tableColumn id="43" name="Bus. Impact points"/>
    <tableColumn id="44" name="WEIGHTED SCORE = Σ points"/>
    <tableColumn id="45" name="Level the score indicates"/>
    <tableColumn id="46" name="Why these weights"/>
    <tableColumn id="47" name="Calculation"/>
    <tableColumn id="48" name="Gates, limits &amp; Player-Coach transition steps applied — with the numbers"/>
    <tableColumn id="49" name="Complexity &amp; Expertise — justification"/>
    <tableColumn id="50" name="Autonomy &amp; Decision — justification"/>
    <tableColumn id="51" name="Accountability &amp; Impact — justification"/>
    <tableColumn id="52" name="Leadership &amp; Strategy — justification"/>
    <tableColumn id="53" name="Experience &amp; Qualification — justification"/>
    <tableColumn id="54" name="Business Impact — justification"/>
    <tableColumn id="55" name="ADDITIONAL INPUTS NEEDED — what, and who provides it"/>
    <tableColumn id="56" name="Data used for this person"/>
    <tableColumn id="57" name="Market standard for this role and level"/>
    <tableColumn id="58" name="Confidence"/>
    <tableColumn id="59" name="Points to confirm"/>
    <tableColumn id="60" name="Player-Coach / calibration flag"/>
    <tableColumn id="61" name="Current fixed pay · annual CTC"/>
    <tableColumn id="62" name="Proposed range — minimum"/>
    <tableColumn id="63" name="Proposed range — midpoint"/>
    <tableColumn id="64" name="Proposed range — maximum"/>
    <tableColumn id="65" name="Compa-ratio"/>
    <tableColumn id="66" name="Manager validation"/>
    <tableColumn id="67" name="Manager comment / proposed change"/>
    <tableColumn id="68" name="HR decision"/>
    <tableColumn id="69" name="Approved level"/>
    <tableColumn id="70" name="Approved designation"/>
    <tableColumn id="71" name="Pay / title protection · Y/N"/>
    <tableColumn id="72" name="Reviewer"/>
    <tableColumn id="73" name="Decision date"/>
    <tableColumn id="74" name="Bus. Impact — model start"/>
  </tableColumns>
  <tableStyleInfo name="TableStyleLight1" showRowStripes="1" showColumnStripes="0"/>
</table>
</file>

<file path=xl/tables/table4.xml><?xml version="1.0" encoding="utf-8"?>
<table xmlns="http://schemas.openxmlformats.org/spreadsheetml/2006/main" id="4" name="T_3__Raw_Data___Market_Standards" displayName="T_3__Raw_Data___Market_Standards" ref="A6:CI40" headerRowCount="1">
  <autoFilter ref="A6:CI40"/>
  <tableColumns count="87">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Job family"/>
    <tableColumn id="10" name="Sub-family"/>
    <tableColumn id="11" name="ADDITIONAL INPUTS NEEDED — what, and who provides it"/>
    <tableColumn id="12" name="Survey questions answered · of 20"/>
    <tableColumn id="13" name="Radford / Mercer code"/>
    <tableColumn id="14" name="Pave level"/>
    <tableColumn id="15" name="SFIA 9"/>
    <tableColumn id="16" name="IRIS experience guide"/>
    <tableColumn id="17" name="Market experience · Accenture · Infosys"/>
    <tableColumn id="18" name="Typical market title based on competitor/market benchmark"/>
    <tableColumn id="19" name="Competitors, regtech &amp; SaaS leaders"/>
    <tableColumn id="20" name="Professional standard"/>
    <tableColumn id="21" name="Required capability · Core · Future · Functional · Leadership"/>
    <tableColumn id="22" name="Sr No"/>
    <tableColumn id="23" name="Emp Id · 2"/>
    <tableColumn id="24" name="Employee Category"/>
    <tableColumn id="25" name="Employee Status"/>
    <tableColumn id="26" name="Employee Name · 2"/>
    <tableColumn id="27" name="DoJ"/>
    <tableColumn id="28" name="Designation"/>
    <tableColumn id="29" name="Highest Qualifications"/>
    <tableColumn id="30" name="Reporting Manager"/>
    <tableColumn id="31" name="N levels"/>
    <tableColumn id="32" name="Manager or Individual Contributor"/>
    <tableColumn id="33" name="EXP Outside IRIS"/>
    <tableColumn id="34" name="EXP Current IRIS"/>
    <tableColumn id="35" name="Business Line"/>
    <tableColumn id="36" name="Product/Others"/>
    <tableColumn id="37" name="Department · 2"/>
    <tableColumn id="38" name="Sub Functional Categorization"/>
    <tableColumn id="39" name="Core Development"/>
    <tableColumn id="40" name="Functional Categorization"/>
    <tableColumn id="41" name="Skill Sets"/>
    <tableColumn id="42" name="Technical/Non-technical"/>
    <tableColumn id="43" name="Total Question Answered"/>
    <tableColumn id="44" name="Status"/>
    <tableColumn id="45" name="[Talent Mapping · iFile / iDEAL / DataTech / Database Content] Emp Id"/>
    <tableColumn id="46" name="[Talent Mapping · iFile / iDEAL / DataTech / Database Content] Employee Category"/>
    <tableColumn id="47" name="[Talent Mapping · iFile / iDEAL / DataTech / Database Content] Employee Status"/>
    <tableColumn id="48" name="[Talent Mapping · iFile / iDEAL / DataTech / Database Content] Employee Name"/>
    <tableColumn id="49" name="[Talent Mapping · iFile / iDEAL / DataTech / Database Content] DoJ"/>
    <tableColumn id="50" name="[Talent Mapping · iFile / iDEAL / DataTech / Database Content] Designation"/>
    <tableColumn id="51" name="[Talent Mapping · iFile / iDEAL / DataTech / Database Content] Role Family"/>
    <tableColumn id="52" name="[Talent Mapping · iFile / iDEAL / DataTech / Database Content] Sub-Family"/>
    <tableColumn id="53" name="[Talent Mapping · iFile / iDEAL / DataTech / Database Content] Job Title"/>
    <tableColumn id="54" name="[Talent Mapping · iFile / iDEAL / DataTech / Database Content] Career Level"/>
    <tableColumn id="55" name="[Talent Mapping · iFile / iDEAL / DataTech / Database Content] Highest Qualifications"/>
    <tableColumn id="56" name="[Talent Mapping · iFile / iDEAL / DataTech / Database Content] Reporting Manager"/>
    <tableColumn id="57" name="[Talent Mapping · iFile / iDEAL / DataTech / Database Content] N levels"/>
    <tableColumn id="58" name="[Talent Mapping · iFile / iDEAL / DataTech / Database Content] Manager or Individual Contributor"/>
    <tableColumn id="59" name="[Talent Mapping · iFile / iDEAL / DataTech / Database Content] EXP Outside IRIS"/>
    <tableColumn id="60" name="[Talent Mapping · iFile / iDEAL / DataTech / Database Content] EXP Current IRIS"/>
    <tableColumn id="61" name="[Talent Mapping · iFile / iDEAL / DataTech / Database Content] Total Experience"/>
    <tableColumn id="62" name="[Talent Mapping · iFile / iDEAL / DataTech / Database Content] Avg Exp in IRIS"/>
    <tableColumn id="63" name="[Talent Mapping · iFile / iDEAL / DataTech / Database Content] Business Line"/>
    <tableColumn id="64" name="[Talent Mapping · iFile / iDEAL / DataTech / Database Content] Product/Others"/>
    <tableColumn id="65" name="[Talent Mapping · iFile / iDEAL / DataTech / Database Content] Department"/>
    <tableColumn id="66" name="[Talent Mapping · iFile / iDEAL / DataTech / Database Content] Sub Functional Categorization"/>
    <tableColumn id="67" name="[Talent Mapping · iFile / iDEAL / DataTech / Database Content] Core Development"/>
    <tableColumn id="68" name="[Talent Mapping · iFile / iDEAL / DataTech / Database Content] Functional Categorization"/>
    <tableColumn id="69" name="[Talent Mapping · iFile / iDEAL / DataTech / Database Content] Skill Sets"/>
    <tableColumn id="70" name="[Talent Mapping · iFile / iDEAL / DataTech / Database Content] Technical/Non-technical"/>
    <tableColumn id="71" name="[Talent Mapping · iFile / iDEAL / DataTech / Database Content] Location"/>
    <tableColumn id="72" name="[Talent Mapping · iFile / iDEAL / DataTech / Database Content] Annual KRAs · objective Measurable Minimum 5 - Self"/>
    <tableColumn id="73" name="[Talent Mapping · iFile / iDEAL / DataTech / Database Content] Annual KRAs · objective Measurable Minimum 5 - set by Manager"/>
    <tableColumn id="74" name="[Talent Mapping · iFile / iDEAL / DataTech / Database Content] Quarterly KRAs"/>
    <tableColumn id="75" name="[Talent Mapping · iFile / iDEAL / DataTech / Database Content] Tentative Rating for Q1 · Scale 1-5"/>
    <tableColumn id="76" name="[Talent Mapping · iFile / iDEAL / DataTech / Database Content] Last Performance Discussion date"/>
    <tableColumn id="77" name="[Talent Mapping · iFile / iDEAL / DataTech / Database Content] Correct Designation"/>
    <tableColumn id="78" name="[Talent Mapping · iFile / iDEAL / DataTech / Database Content] Is a structural Change needed for better future"/>
    <tableColumn id="79" name="[Talent Mapping · iFile / iDEAL / DataTech / Database Content] Quarterly Performance Rating"/>
    <tableColumn id="80" name="[Talent Mapping · iFile / iDEAL / DataTech / Database Content] Potential Rating · High/Med/Low"/>
    <tableColumn id="81" name="[Talent Mapping · iFile / iDEAL / DataTech / Database Content] 9-Box Placement"/>
    <tableColumn id="82" name="[Talent Mapping · iFile / iDEAL / DataTech / Database Content] Ready for Promotion"/>
    <tableColumn id="83" name="[Talent Mapping · iFile / iDEAL / DataTech / Database Content] Fast Tracker · Y/N"/>
    <tableColumn id="84" name="[Talent Mapping · iFile / iDEAL / DataTech / Database Content] Critical Role · Y/N"/>
    <tableColumn id="85" name="[Talent Mapping · iFile / iDEAL / DataTech / Database Content] Training Needs identified for current Role"/>
    <tableColumn id="86" name="[Talent Mapping · iFile / iDEAL / DataTech / Database Content] Training Needs identified if · If promotion Ready"/>
    <tableColumn id="87" name="[Talent Mapping · iFile / iDEAL / DataTech / Database Content] Projects/Delivery/client Assigned"/>
  </tableColumns>
  <tableStyleInfo name="TableStyleLight1" showRowStripes="1" showColumnStripes="0"/>
</table>
</file>

<file path=xl/tables/table5.xml><?xml version="1.0" encoding="utf-8"?>
<table xmlns="http://schemas.openxmlformats.org/spreadsheetml/2006/main" id="5" name="T_8__Talent__Learning___Mobility" displayName="T_8__Talent__Learning___Mobility" ref="A6:AJ40" headerRowCount="1">
  <autoFilter ref="A6:AJ40"/>
  <tableColumns count="36">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Track"/>
    <tableColumn id="10" name="Latest rating"/>
    <tableColumn id="11" name="Potential"/>
    <tableColumn id="12" name="9-box"/>
    <tableColumn id="13" name="Readiness"/>
    <tableColumn id="14" name="Top performer"/>
    <tableColumn id="15" name="Critical role · Y/N"/>
    <tableColumn id="16" name="Successor named"/>
    <tableColumn id="17" name="Competency index %"/>
    <tableColumn id="18" name="Fit"/>
    <tableColumn id="19" name="Core %"/>
    <tableColumn id="20" name="Future-ready %"/>
    <tableColumn id="21" name="Functional %"/>
    <tableColumn id="22" name="Leadership %"/>
    <tableColumn id="23" name="Top gaps"/>
    <tableColumn id="24" name="Readiness for next level"/>
    <tableColumn id="25" name="Ratings by competency · rating / required"/>
    <tableColumn id="26" name="Self-identified — topics · survey; not quoted"/>
    <tableColumn id="27" name="Manager-identified"/>
    <tableColumn id="28" name="Role-based priorities"/>
    <tableColumn id="29" name="To move to the next role — topics · survey; not quoted"/>
    <tableColumn id="30" name="Training for next role"/>
    <tableColumn id="31" name="Lateral move options"/>
    <tableColumn id="32" name="Duplication — same business"/>
    <tableColumn id="33" name="Alternate talent pool — other businesses"/>
    <tableColumn id="34" name="Direct reports"/>
    <tableColumn id="35" name="Span status"/>
    <tableColumn id="36" name="Span action"/>
  </tableColumns>
  <tableStyleInfo name="TableStyleLight1" showRowStripes="1" showColumnStripes="0"/>
</table>
</file>

<file path=xl/tables/table6.xml><?xml version="1.0" encoding="utf-8"?>
<table xmlns="http://schemas.openxmlformats.org/spreadsheetml/2006/main" id="6" name="T_12__Org_Health_6" displayName="T_12__Org_Health_6" ref="A6:G8" headerRowCount="1">
  <autoFilter ref="A6:G8"/>
  <tableColumns count="7">
    <tableColumn id="1" name="Manager"/>
    <tableColumn id="2" name="Business"/>
    <tableColumn id="3" name="Department"/>
    <tableColumn id="4" name="Level"/>
    <tableColumn id="5" name="Direct reports"/>
    <tableColumn id="6" name="Layer"/>
    <tableColumn id="7" name="What to look at"/>
  </tableColumns>
  <tableStyleInfo name="TableStyleLight1" showRowStripes="1" showColumnStripes="0"/>
</table>
</file>

<file path=xl/tables/table7.xml><?xml version="1.0" encoding="utf-8"?>
<table xmlns="http://schemas.openxmlformats.org/spreadsheetml/2006/main" id="7" name="T_12__Org_Health_15" displayName="T_12__Org_Health_15" ref="A15:G31" headerRowCount="1">
  <autoFilter ref="A15:G31"/>
  <tableColumns count="7">
    <tableColumn id="1" name="Sub-family · family"/>
    <tableColumn id="2" name="CARBON"/>
    <tableColumn id="3" name="iFile"/>
    <tableColumn id="4" name="iDEAL"/>
    <tableColumn id="5" name="Datatech"/>
    <tableColumn id="6" name="Consume"/>
    <tableColumn id="7" name="Corporate"/>
  </tableColumns>
  <tableStyleInfo name="TableStyleLight1" showRowStripes="1" showColumnStripes="0"/>
</table>
</file>

<file path=xl/tables/table8.xml><?xml version="1.0" encoding="utf-8"?>
<table xmlns="http://schemas.openxmlformats.org/spreadsheetml/2006/main" id="8" name="T_13__Weight_Sensitivity_40" displayName="T_13__Weight_Sensitivity_40" ref="A40:G42" headerRowCount="1">
  <autoFilter ref="A40:G42"/>
  <tableColumns count="7">
    <tableColumn id="1" name="Person"/>
    <tableColumn id="2" name="Business"/>
    <tableColumn id="3" name="Department"/>
    <tableColumn id="4" name="Level"/>
    <tableColumn id="5" name="Score"/>
    <tableColumn id="6" name="Tests that move it"/>
    <tableColumn id="7" name="Final designation"/>
  </tableColumns>
  <tableStyleInfo name="TableStyleLight1" showRowStripes="1" showColumnStripes="0"/>
</table>
</file>

<file path=xl/tables/table9.xml><?xml version="1.0" encoding="utf-8"?>
<table xmlns="http://schemas.openxmlformats.org/spreadsheetml/2006/main" id="9" name="T_14__A3_Deep_Dive_6" displayName="T_14__A3_Deep_Dive_6" ref="A6:H16" headerRowCount="1">
  <autoFilter ref="A6:H16"/>
  <tableColumns count="8">
    <tableColumn id="1" name="Person"/>
    <tableColumn id="2" name="Business"/>
    <tableColumn id="3" name="Department"/>
    <tableColumn id="4" name="Designation"/>
    <tableColumn id="5" name="Total exp. · yrs"/>
    <tableColumn id="6" name="Score"/>
    <tableColumn id="7" name="Gap to B1"/>
    <tableColumn id="8" name="Group"/>
  </tableColumns>
  <tableStyleInfo name="TableStyleLight1" showRowStripes="1" showColumnStripes="0"/>
</table>
</file>

<file path=xl/tables/table10.xml><?xml version="1.0" encoding="utf-8"?>
<table xmlns="http://schemas.openxmlformats.org/spreadsheetml/2006/main" id="10" name="T_15__Succession_5" displayName="T_15__Succession_5" ref="A5:H8" headerRowCount="1">
  <autoFilter ref="A5:H8"/>
  <tableColumns count="8">
    <tableColumn id="1" name="Role holder"/>
    <tableColumn id="2" name="Business"/>
    <tableColumn id="3" name="Role"/>
    <tableColumn id="4" name="Level"/>
    <tableColumn id="5" name="Cover"/>
    <tableColumn id="6" name="Ready now"/>
    <tableColumn id="7" name="Ready in 6–12 months"/>
    <tableColumn id="8" name="High potential"/>
  </tableColumns>
  <tableStyleInfo name="TableStyleLight1" showRowStripes="1" showColumnStripes="0"/>
</table>
</file>

<file path=xl/tables/table11.xml><?xml version="1.0" encoding="utf-8"?>
<table xmlns="http://schemas.openxmlformats.org/spreadsheetml/2006/main" id="11" name="T_15a__Critical_Roles_at_Risk_5" displayName="T_15a__Critical_Roles_at_Risk_5" ref="A5:L19" headerRowCount="1">
  <autoFilter ref="A5:L19"/>
  <tableColumns count="12">
    <tableColumn id="1" name="Person"/>
    <tableColumn id="2" name="Emp ID"/>
    <tableColumn id="3" name="Business"/>
    <tableColumn id="4" name="Department"/>
    <tableColumn id="5" name="Role"/>
    <tableColumn id="6" name="Level"/>
    <tableColumn id="7" name="Critical role"/>
    <tableColumn id="8" name="Only this person"/>
    <tableColumn id="9" name="Successor named"/>
    <tableColumn id="10" name="Risk"/>
    <tableColumn id="11" name="Possible cover · same sub-family"/>
    <tableColumn id="12" name="Action"/>
  </tableColumns>
  <tableStyleInfo name="TableStyleLight1" showRowStripes="1" showColumnStripes="0"/>
</table>
</file>

<file path=xl/tables/table12.xml><?xml version="1.0" encoding="utf-8"?>
<table xmlns="http://schemas.openxmlformats.org/spreadsheetml/2006/main" id="12" name="T_17__Data_Gaps_5" displayName="T_17__Data_Gaps_5" ref="A5:G20" headerRowCount="1">
  <autoFilter ref="A5:G20"/>
  <tableColumns count="7">
    <tableColumn id="1" name="Emp ID"/>
    <tableColumn id="2" name="Person"/>
    <tableColumn id="3" name="Business"/>
    <tableColumn id="4" name="Department"/>
    <tableColumn id="5" name="Level"/>
    <tableColumn id="6" name="What is missing"/>
    <tableColumn id="7" name="Who supplies it"/>
  </tableColumns>
  <tableStyleInfo name="TableStyleLight1" showRowStripes="1" showColumnStripes="0"/>
</table>
</file>

<file path=xl/tables/table13.xml><?xml version="1.0" encoding="utf-8"?>
<table xmlns="http://schemas.openxmlformats.org/spreadsheetml/2006/main" id="13" name="T_18__Career_Ladder" displayName="T_18__Career_Ladder" ref="A6:P31" headerRowCount="1">
  <autoFilter ref="A6:P31"/>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Datatech · same work in other departments"/>
    <tableColumn id="16" name="Overlap across IRIS · same work in other products"/>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s>
</file>

<file path=xl/worksheets/_rels/sheet2.xml.rels><Relationships xmlns="http://schemas.openxmlformats.org/package/2006/relationships"><Relationship Type="http://schemas.openxmlformats.org/officeDocument/2006/relationships/hyperlink" Target="#'Start &#8212; How It Works'!A1" TargetMode="External" Id="rId1"/><Relationship Type="http://schemas.openxmlformats.org/officeDocument/2006/relationships/hyperlink" Target="#'1. Overview'!A1" TargetMode="External" Id="rId2"/><Relationship Type="http://schemas.openxmlformats.org/officeDocument/2006/relationships/hyperlink" Target="#'1a. Placements'!A1" TargetMode="External" Id="rId3"/><Relationship Type="http://schemas.openxmlformats.org/officeDocument/2006/relationships/hyperlink" Target="#'1b. Person Card'!A1" TargetMode="External" Id="rId4"/><Relationship Type="http://schemas.openxmlformats.org/officeDocument/2006/relationships/hyperlink" Target="#'1d. Weightage Matrix'!A1" TargetMode="External" Id="rId5"/><Relationship Type="http://schemas.openxmlformats.org/officeDocument/2006/relationships/hyperlink" Target="#'1e. Weight Benchmark'!A1" TargetMode="External" Id="rId6"/><Relationship Type="http://schemas.openxmlformats.org/officeDocument/2006/relationships/hyperlink" Target="#'2. Talent Mapping'!A1" TargetMode="External" Id="rId7"/><Relationship Type="http://schemas.openxmlformats.org/officeDocument/2006/relationships/hyperlink" Target="#'3. Raw Data &amp; Market Standards'!A1" TargetMode="External" Id="rId8"/><Relationship Type="http://schemas.openxmlformats.org/officeDocument/2006/relationships/hyperlink" Target="#'4. Role Competency Framework'!A1" TargetMode="External" Id="rId9"/><Relationship Type="http://schemas.openxmlformats.org/officeDocument/2006/relationships/hyperlink" Target="#'5. Capability Framework'!A1" TargetMode="External" Id="rId10"/><Relationship Type="http://schemas.openxmlformats.org/officeDocument/2006/relationships/hyperlink" Target="#'6. Role Catalogue'!A1" TargetMode="External" Id="rId11"/><Relationship Type="http://schemas.openxmlformats.org/officeDocument/2006/relationships/hyperlink" Target="#'7. Role Requirements'!A1" TargetMode="External" Id="rId12"/><Relationship Type="http://schemas.openxmlformats.org/officeDocument/2006/relationships/hyperlink" Target="#'8. Talent, Learning &amp; Mobility'!A1" TargetMode="External" Id="rId13"/><Relationship Type="http://schemas.openxmlformats.org/officeDocument/2006/relationships/hyperlink" Target="#'9. Calibration &amp; Decisions'!A1" TargetMode="External" Id="rId14"/><Relationship Type="http://schemas.openxmlformats.org/officeDocument/2006/relationships/hyperlink" Target="#'10. Framework &amp; Logic'!A1" TargetMode="External" Id="rId15"/><Relationship Type="http://schemas.openxmlformats.org/officeDocument/2006/relationships/hyperlink" Target="#'11. References &amp; Benchmarks'!A1" TargetMode="External" Id="rId16"/><Relationship Type="http://schemas.openxmlformats.org/officeDocument/2006/relationships/hyperlink" Target="#'12. Org Health'!A1" TargetMode="External" Id="rId17"/><Relationship Type="http://schemas.openxmlformats.org/officeDocument/2006/relationships/hyperlink" Target="#'13. Weight Sensitivity'!A1" TargetMode="External" Id="rId18"/><Relationship Type="http://schemas.openxmlformats.org/officeDocument/2006/relationships/hyperlink" Target="#'14. A3 Deep-Dive'!A1" TargetMode="External" Id="rId19"/><Relationship Type="http://schemas.openxmlformats.org/officeDocument/2006/relationships/hyperlink" Target="#'15. Succession'!A1" TargetMode="External" Id="rId20"/><Relationship Type="http://schemas.openxmlformats.org/officeDocument/2006/relationships/hyperlink" Target="#'15a. Critical Roles at Risk'!A1" TargetMode="External" Id="rId21"/><Relationship Type="http://schemas.openxmlformats.org/officeDocument/2006/relationships/hyperlink" Target="#'16. Role Definitions'!A1" TargetMode="External" Id="rId22"/><Relationship Type="http://schemas.openxmlformats.org/officeDocument/2006/relationships/hyperlink" Target="#'17. Data Gaps'!A1" TargetMode="External" Id="rId23"/><Relationship Type="http://schemas.openxmlformats.org/officeDocument/2006/relationships/hyperlink" Target="#'18. Career Ladder'!A1" TargetMode="External" Id="rId24"/></Relationships>
</file>

<file path=xl/worksheets/_rels/sheet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2.xml" Id="rId2"/></Relationships>
</file>

<file path=xl/worksheets/_rels/sheet6.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Contents'!A1" TargetMode="External" Id="rId1"/></Relationships>
</file>

<file path=xl/worksheets/_rels/sheet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4.xml" Id="rId2"/><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Contents'!A1" TargetMode="External" Id="rId1"/></Relationships>
</file>

<file path=xl/worksheets/_rels/sheet11.xml.rels><Relationships xmlns="http://schemas.openxmlformats.org/package/2006/relationships"><Relationship Type="http://schemas.openxmlformats.org/officeDocument/2006/relationships/hyperlink" Target="#'Contents'!A1" TargetMode="External" Id="rId1"/></Relationships>
</file>

<file path=xl/worksheets/_rels/sheet12.xml.rels><Relationships xmlns="http://schemas.openxmlformats.org/package/2006/relationships"><Relationship Type="http://schemas.openxmlformats.org/officeDocument/2006/relationships/hyperlink" Target="#'Contents'!A1" TargetMode="External" Id="rId1"/></Relationships>
</file>

<file path=xl/worksheets/_rels/sheet13.xml.rels><Relationships xmlns="http://schemas.openxmlformats.org/package/2006/relationships"><Relationship Type="http://schemas.openxmlformats.org/officeDocument/2006/relationships/hyperlink" Target="#'Contents'!A1" TargetMode="External" Id="rId1"/></Relationships>
</file>

<file path=xl/worksheets/_rels/sheet1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5.xm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hyperlink" Target="#'Contents'!A1" TargetMode="External" Id="rId1"/></Relationships>
</file>

<file path=xl/worksheets/_rels/sheet16.xml.rels><Relationships xmlns="http://schemas.openxmlformats.org/package/2006/relationships"><Relationship Type="http://schemas.openxmlformats.org/officeDocument/2006/relationships/hyperlink" Target="#'Contents'!A1" TargetMode="External" Id="rId1"/></Relationships>
</file>

<file path=xl/worksheets/_rels/sheet17.xml.rels><Relationships xmlns="http://schemas.openxmlformats.org/package/2006/relationships"><Relationship Type="http://schemas.openxmlformats.org/officeDocument/2006/relationships/hyperlink" Target="#'Contents'!A1" TargetMode="External" Id="rId1"/></Relationships>
</file>

<file path=xl/worksheets/_rels/sheet1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6.xml" Id="rId2"/><Relationship Type="http://schemas.openxmlformats.org/officeDocument/2006/relationships/table" Target="/xl/tables/table7.xml" Id="rId3"/></Relationships>
</file>

<file path=xl/worksheets/_rels/sheet1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8.xml" Id="rId2"/></Relationships>
</file>

<file path=xl/worksheets/_rels/sheet20.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9.xml" Id="rId2"/></Relationships>
</file>

<file path=xl/worksheets/_rels/sheet21.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0.xml" Id="rId2"/></Relationships>
</file>

<file path=xl/worksheets/_rels/sheet22.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1.xml" Id="rId2"/></Relationships>
</file>

<file path=xl/worksheets/_rels/sheet23.xml.rels><Relationships xmlns="http://schemas.openxmlformats.org/package/2006/relationships"><Relationship Type="http://schemas.openxmlformats.org/officeDocument/2006/relationships/hyperlink" Target="#'Contents'!A1" TargetMode="External" Id="rId1"/></Relationships>
</file>

<file path=xl/worksheets/_rels/sheet2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2.xml" Id="rId2"/></Relationships>
</file>

<file path=xl/worksheets/_rels/sheet2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3.xml" Id="rId2"/><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241" t="inlineStr">
        <is>
          <t>◂ Contents</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full master for one product: every person, the reasoning, the role catalogue, insights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12" t="inlineStr">
        <is>
          <t>#</t>
        </is>
      </c>
      <c r="B6" s="12" t="inlineStr">
        <is>
          <t>Step</t>
        </is>
      </c>
      <c r="C6" s="12" t="inlineStr">
        <is>
          <t>What we did</t>
        </is>
      </c>
      <c r="D6" s="12" t="inlineStr">
        <is>
          <t>What came out of it</t>
        </is>
      </c>
    </row>
    <row r="7" ht="54" customHeight="1">
      <c r="A7" s="15" t="n">
        <v>1</v>
      </c>
      <c r="B7" s="16" t="inlineStr">
        <is>
          <t>Created a base framework</t>
        </is>
      </c>
      <c r="C7" s="16" t="inlineStr">
        <is>
          <t>Built IRIS's job architecture from established market methods — Aon Radford / Mercer career levels, Korn Ferry Hay factors, WTW banding and SFIA — with job families anchored to the ILO occupation standard.</t>
        </is>
      </c>
      <c r="D7" s="16" t="inlineStr">
        <is>
          <t>19 job families, 61 sub-families, a 12-level ladder plus two Player-Coach steps · B+, C+, six factors, individual-contributor and manager tracks</t>
        </is>
      </c>
    </row>
    <row r="8" ht="54" customHeight="1">
      <c r="A8" s="15" t="n">
        <v>2</v>
      </c>
      <c r="B8" s="16" t="inlineStr">
        <is>
          <t>Designed a survey around it</t>
        </is>
      </c>
      <c r="C8" s="16"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6" t="inlineStr">
        <is>
          <t>One evidence form for every role, so each rating can be traced to an answer</t>
        </is>
      </c>
    </row>
    <row r="9" ht="41" customHeight="1">
      <c r="A9" s="15" t="n">
        <v>3</v>
      </c>
      <c r="B9" s="16" t="inlineStr">
        <is>
          <t>Conducted 60–65 workshops</t>
        </is>
      </c>
      <c r="C9" s="16" t="inlineStr">
        <is>
          <t>Ran 60–65 workshops with teams across the six products and Corporate: explained the framework, walked through the questions and collected answers in the room.</t>
        </is>
      </c>
      <c r="D9" s="16" t="inlineStr">
        <is>
          <t>Survey responses from 520 people</t>
        </is>
      </c>
    </row>
    <row r="10" ht="41" customHeight="1">
      <c r="A10" s="15" t="n">
        <v>4</v>
      </c>
      <c r="B10" s="16" t="inlineStr">
        <is>
          <t>Gathered the data</t>
        </is>
      </c>
      <c r="C10" s="16" t="inlineStr">
        <is>
          <t>Combined the survey with the HRIS employee master, KRAs · self and manager-set, the managers' talent mapping · rating, potential, 9-box and the reporting lines.</t>
        </is>
      </c>
      <c r="D10" s="16" t="inlineStr">
        <is>
          <t>One record per person — 586 people; KRAs on file for 453</t>
        </is>
      </c>
    </row>
    <row r="11" ht="41" customHeight="1">
      <c r="A11" s="15" t="n">
        <v>5</v>
      </c>
      <c r="B11" s="16" t="inlineStr">
        <is>
          <t>Cleaned and protected it</t>
        </is>
      </c>
      <c r="C11" s="16" t="inlineStr">
        <is>
          <t>Matched responses to people · with consent where needed, removed personal data, and showed survey content only where three or more role-holders answered — never one person's words against a name.</t>
        </is>
      </c>
      <c r="D11" s="16" t="inlineStr">
        <is>
          <t>Privacy-safe evidence</t>
        </is>
      </c>
    </row>
    <row r="12" ht="28" customHeight="1">
      <c r="A12" s="15" t="n">
        <v>6</v>
      </c>
      <c r="B12" s="16" t="inlineStr">
        <is>
          <t>Mapped every role</t>
        </is>
      </c>
      <c r="C12" s="16" t="inlineStr">
        <is>
          <t>Placed each person in a job family, a sub-family · the work they actually do and a track.</t>
        </is>
      </c>
      <c r="D12" s="16" t="inlineStr">
        <is>
          <t>267 distinct employee roles; one IRIS-wide role catalogue</t>
        </is>
      </c>
    </row>
    <row r="13" ht="54" customHeight="1">
      <c r="A13" s="15" t="n">
        <v>7</v>
      </c>
      <c r="B13" s="16" t="inlineStr">
        <is>
          <t>Rated and scored</t>
        </is>
      </c>
      <c r="C13" s="16" t="inlineStr">
        <is>
          <t>Rated six factors — Complexity, Autonomy, Accountability, Leadership, Experience &amp; Qualification, Business Impact — on the ladder scale from the evidence; rating × weight = points; points add up to a score; the score points to a level.</t>
        </is>
      </c>
      <c r="D13" s="16" t="inlineStr">
        <is>
          <t>A score and an indicated level for 540 employees</t>
        </is>
      </c>
    </row>
    <row r="14" ht="41" customHeight="1">
      <c r="A14" s="15" t="n">
        <v>8</v>
      </c>
      <c r="B14" s="16" t="inlineStr">
        <is>
          <t>Applied the rules</t>
        </is>
      </c>
      <c r="C14" s="16" t="inlineStr">
        <is>
          <t>Gates, limits and Player-Coach steps where the evidence calls for them, and leadership decisions for the top bands — each one written down with its numbers.</t>
        </is>
      </c>
      <c r="D14" s="16" t="inlineStr">
        <is>
          <t>A final level and designation for everyone, every move explained</t>
        </is>
      </c>
    </row>
    <row r="15" ht="41" customHeight="1">
      <c r="A15" s="15" t="n">
        <v>9</v>
      </c>
      <c r="B15" s="16" t="inlineStr">
        <is>
          <t>Benchmarked to the market</t>
        </is>
      </c>
      <c r="C15" s="16" t="inlineStr">
        <is>
          <t>Matched every level to Aon Radford / Mercer codes and SFIA, and to competitor, regtech and SaaS ladders; every source re-read and corrected.</t>
        </is>
      </c>
      <c r="D15" s="16" t="inlineStr">
        <is>
          <t>A market code and a typical market title for every level</t>
        </is>
      </c>
    </row>
    <row r="16" ht="54" customHeight="1">
      <c r="A16" s="15" t="n">
        <v>10</v>
      </c>
      <c r="B16" s="16" t="inlineStr">
        <is>
          <t>Built the file set</t>
        </is>
      </c>
      <c r="C16" s="16" t="inlineStr">
        <is>
          <t>One build produces every file from the same data, so they always agree: the HR Super Master, product masters and simplified editions, the framework &amp; model master, the calibration panel pack, the ladder master and draft letters.</t>
        </is>
      </c>
      <c r="D16" s="16" t="inlineStr">
        <is>
          <t>Files by audience, rebuilt and re-checked in minutes</t>
        </is>
      </c>
    </row>
    <row r="17" ht="28" customHeight="1">
      <c r="A17" s="15" t="n">
        <v>11</v>
      </c>
      <c r="B17" s="16" t="inlineStr">
        <is>
          <t>Reviewed and corrected</t>
        </is>
      </c>
      <c r="C17" s="16" t="inlineStr">
        <is>
          <t>Business-head review, independent reviews, and 100+ automated checks on every build · placements, privacy, formulas, links, counts.</t>
        </is>
      </c>
      <c r="D17" s="16" t="inlineStr">
        <is>
          <t>Corrections fed back as validated inputs, never as hand edits</t>
        </is>
      </c>
    </row>
    <row r="18" ht="15" customHeight="1"/>
    <row r="19" ht="20" customHeight="1">
      <c r="A19" s="6" t="inlineStr">
        <is>
          <t>2. What we are doing now</t>
        </is>
      </c>
      <c r="B19" s="2" t="n"/>
      <c r="C19" s="2" t="n"/>
      <c r="D19" s="2" t="n"/>
    </row>
    <row r="20" ht="15" customHeight="1">
      <c r="A20" s="12" t="inlineStr">
        <is>
          <t>Now</t>
        </is>
      </c>
      <c r="B20" s="8" t="n"/>
      <c r="C20" s="12" t="inlineStr">
        <is>
          <t>What happens</t>
        </is>
      </c>
      <c r="D20" s="12" t="inlineStr">
        <is>
          <t>Who</t>
        </is>
      </c>
    </row>
    <row r="21" ht="28" customHeight="1">
      <c r="A21" s="13" t="inlineStr">
        <is>
          <t>Calibration</t>
        </is>
      </c>
      <c r="B21" s="14" t="n"/>
      <c r="C21" s="16" t="inlineStr">
        <is>
          <t>The panel rates anchor roles blind and compares them with the model; close calls and moves down are decided.</t>
        </is>
      </c>
      <c r="D21" s="16" t="inlineStr">
        <is>
          <t>Calibration panel</t>
        </is>
      </c>
    </row>
    <row r="22" ht="28" customHeight="1">
      <c r="A22" s="13" t="inlineStr">
        <is>
          <t>Decisions and data</t>
        </is>
      </c>
      <c r="B22" s="14" t="n"/>
      <c r="C22" s="16" t="inlineStr">
        <is>
          <t>Open decisions and critical data requests are worked in the HR Super Master's tracker.</t>
        </is>
      </c>
      <c r="D22" s="16" t="inlineStr">
        <is>
          <t>HR, managers, business heads</t>
        </is>
      </c>
    </row>
    <row r="23" ht="28" customHeight="1">
      <c r="A23" s="13" t="inlineStr">
        <is>
          <t>Business-head review</t>
        </is>
      </c>
      <c r="B23" s="14" t="n"/>
      <c r="C23" s="16" t="inlineStr">
        <is>
          <t>Each business head marks Agree / Change / Discuss in their simplified edition; responses are imported and tracked.</t>
        </is>
      </c>
      <c r="D23" s="16" t="inlineStr">
        <is>
          <t>Business heads</t>
        </is>
      </c>
    </row>
    <row r="24" ht="28" customHeight="1">
      <c r="A24" s="13" t="inlineStr">
        <is>
          <t>Sign-off</t>
        </is>
      </c>
      <c r="B24" s="14" t="n"/>
      <c r="C24" s="16" t="inlineStr">
        <is>
          <t>The executive sponsor approves the structure; then the draft letters are issued.</t>
        </is>
      </c>
      <c r="D24" s="16" t="inlineStr">
        <is>
          <t>Executive sponsor, HR</t>
        </is>
      </c>
    </row>
    <row r="25" ht="28" customHeight="1">
      <c r="A25" s="13" t="inlineStr">
        <is>
          <t>Pay · later</t>
        </is>
      </c>
      <c r="B25" s="14" t="n"/>
      <c r="C25" s="16" t="inlineStr">
        <is>
          <t>Buy one India pay survey and price each level; pay columns stay blank until then.</t>
        </is>
      </c>
      <c r="D25" s="16" t="inlineStr">
        <is>
          <t>HR, Finance</t>
        </is>
      </c>
    </row>
    <row r="26" ht="15" customHeight="1"/>
    <row r="27" ht="20" customHeight="1">
      <c r="A27" s="6" t="inlineStr">
        <is>
          <t>3. How it works — in one minute</t>
        </is>
      </c>
      <c r="B27" s="2" t="n"/>
      <c r="C27" s="2" t="n"/>
      <c r="D27" s="2" t="n"/>
    </row>
    <row r="28" ht="15" customHeight="1">
      <c r="A28" s="12" t="inlineStr">
        <is>
          <t>Step</t>
        </is>
      </c>
      <c r="B28" s="8" t="n"/>
      <c r="C28" s="12" t="inlineStr">
        <is>
          <t>In plain words</t>
        </is>
      </c>
      <c r="D28" s="8" t="n"/>
    </row>
    <row r="29" ht="28" customHeight="1">
      <c r="A29" s="13" t="inlineStr">
        <is>
          <t>1 · A building with 12 floors</t>
        </is>
      </c>
      <c r="B29" s="14" t="n"/>
      <c r="C29" s="16" t="inlineStr">
        <is>
          <r>
            <rPr>
              <rFont val="Calibri"/>
              <b val="1"/>
              <sz val="10"/>
            </rPr>
            <t>IRIS is a building:</t>
          </r>
          <r>
            <rPr>
              <rFont val="Calibri"/>
              <sz val="10"/>
            </rPr>
            <t xml:space="preserve"> floor 1 = first job, floor 12 = CEO; two half floors · B+, C+ for player-coaches. Every job lives on one floor.</t>
          </r>
        </is>
      </c>
      <c r="D29" s="14" t="n"/>
    </row>
    <row r="30" ht="28" customHeight="1">
      <c r="A30" s="13" t="inlineStr">
        <is>
          <t>2 · Six judges</t>
        </is>
      </c>
      <c r="B30" s="14" t="n"/>
      <c r="C30" s="16" t="inlineStr">
        <is>
          <t>Six judges look at the job — How hard? Decides alone? Answers for? Leads? Experience? Business impact? — and each holds up a floor number · the rating, using the evidence: survey, KRAs, HRIS, reporting line.</t>
        </is>
      </c>
      <c r="D30" s="14" t="n"/>
    </row>
    <row r="31" ht="28" customHeight="1">
      <c r="A31" s="13" t="inlineStr">
        <is>
          <t>3 · Some count more</t>
        </is>
      </c>
      <c r="B31" s="14" t="n"/>
      <c r="C31" s="16" t="inlineStr">
        <is>
          <t>Starting out, the quality of the work counts most; for leaders, results, leading and business impact count most. Experience counts little. All six add to 100%, and leaders can edit them on the Weightage Matrix.</t>
        </is>
      </c>
      <c r="D31" s="14" t="n"/>
    </row>
    <row r="32" ht="28" customHeight="1">
      <c r="A32" s="13" t="inlineStr">
        <is>
          <t>4 · Add up = the floor</t>
        </is>
      </c>
      <c r="B32" s="14" t="n"/>
      <c r="C32" s="16" t="inlineStr">
        <is>
          <t>Card × how much it counts = points; add the points = the score; round it = the floor · 5.05 → 5 → B2. Fair-play checks can hold it — each one written down.</t>
        </is>
      </c>
      <c r="D32" s="14" t="n"/>
    </row>
    <row r="33" ht="15" customHeight="1"/>
    <row r="34" ht="15" customHeight="1">
      <c r="A34" s="11"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12" t="inlineStr">
        <is>
          <t>Output</t>
        </is>
      </c>
      <c r="B36" s="8" t="n"/>
      <c r="C36" s="8" t="n"/>
      <c r="D36" s="12" t="inlineStr">
        <is>
          <t>Count</t>
        </is>
      </c>
    </row>
    <row r="37" ht="15" customHeight="1">
      <c r="A37" s="13" t="inlineStr">
        <is>
          <t>People mapped · employees + consultants</t>
        </is>
      </c>
      <c r="B37" s="14" t="n"/>
      <c r="C37" s="14" t="n"/>
      <c r="D37" s="15" t="inlineStr">
        <is>
          <t>586</t>
        </is>
      </c>
    </row>
    <row r="38" ht="15" customHeight="1">
      <c r="A38" s="13" t="inlineStr">
        <is>
          <t>Job families · sub-families</t>
        </is>
      </c>
      <c r="B38" s="14" t="n"/>
      <c r="C38" s="14" t="n"/>
      <c r="D38" s="15" t="inlineStr">
        <is>
          <t>19 · 61</t>
        </is>
      </c>
    </row>
    <row r="39" ht="15" customHeight="1">
      <c r="A39" s="13" t="inlineStr">
        <is>
          <t>Ladder steps in use · employees</t>
        </is>
      </c>
      <c r="B39" s="14" t="n"/>
      <c r="C39" s="14" t="n"/>
      <c r="D39" s="15" t="n">
        <v>13</v>
      </c>
    </row>
    <row r="40" ht="15" customHeight="1">
      <c r="A40" s="13" t="inlineStr">
        <is>
          <t>Designations on the new ladder · employees</t>
        </is>
      </c>
      <c r="B40" s="14" t="n"/>
      <c r="C40" s="14" t="n"/>
      <c r="D40" s="15" t="n">
        <v>184</v>
      </c>
    </row>
    <row r="41" ht="15" customHeight="1">
      <c r="A41" s="13" t="inlineStr">
        <is>
          <t>Distinct employee roles</t>
        </is>
      </c>
      <c r="B41" s="14" t="n"/>
      <c r="C41" s="14" t="n"/>
      <c r="D41" s="15" t="n">
        <v>267</v>
      </c>
    </row>
    <row r="42" ht="15" customHeight="1">
      <c r="A42" s="13" t="inlineStr">
        <is>
          <t>Products and Corporate</t>
        </is>
      </c>
      <c r="B42" s="14" t="n"/>
      <c r="C42" s="14" t="n"/>
      <c r="D42" s="15" t="n">
        <v>6</v>
      </c>
    </row>
    <row r="43" ht="15" customHeight="1">
      <c r="A43" s="13" t="inlineStr">
        <is>
          <t>People in leadership bands D–E</t>
        </is>
      </c>
      <c r="B43" s="14" t="n"/>
      <c r="C43" s="14" t="n"/>
      <c r="D43" s="15" t="n">
        <v>11</v>
      </c>
    </row>
    <row r="44" ht="15" customHeight="1"/>
    <row r="45" ht="20" customHeight="1">
      <c r="A45" s="6" t="inlineStr">
        <is>
          <t>5. The impact</t>
        </is>
      </c>
      <c r="B45" s="2" t="n"/>
      <c r="C45" s="2" t="n"/>
      <c r="D45" s="2" t="n"/>
    </row>
    <row r="46" ht="15" customHeight="1">
      <c r="A46" s="12" t="inlineStr">
        <is>
          <t>Impact</t>
        </is>
      </c>
      <c r="B46" s="8" t="n"/>
      <c r="C46" s="12" t="inlineStr">
        <is>
          <t>What it means</t>
        </is>
      </c>
      <c r="D46" s="8" t="n"/>
    </row>
    <row r="47" ht="28" customHeight="1">
      <c r="A47" s="13" t="inlineStr">
        <is>
          <t>One architecture for all of IRIS</t>
        </is>
      </c>
      <c r="B47" s="14" t="n"/>
      <c r="C47" s="16" t="inlineStr">
        <is>
          <t>The same families, the same ladder and the same method in every product — titles mean the same thing everywhere.</t>
        </is>
      </c>
      <c r="D47" s="14" t="n"/>
    </row>
    <row r="48" ht="15" customHeight="1">
      <c r="A48" s="13" t="inlineStr">
        <is>
          <t>Transparent, explainable levels</t>
        </is>
      </c>
      <c r="B48" s="14" t="n"/>
      <c r="C48" s="16" t="inlineStr">
        <is>
          <t>Every level traces to evidence, ratings, weights and named rules; anyone can see why a role sits where it does.</t>
        </is>
      </c>
      <c r="D48" s="14" t="n"/>
    </row>
    <row r="49" ht="28" customHeight="1">
      <c r="A49" s="13" t="inlineStr">
        <is>
          <t>Clear career paths</t>
        </is>
      </c>
      <c r="B49" s="14" t="n"/>
      <c r="C49" s="16" t="inlineStr">
        <is>
          <t>Individual-contributor and manager tracks with a ladder in every sub-family, and the competencies needed for the next step.</t>
        </is>
      </c>
      <c r="D49" s="14" t="n"/>
    </row>
    <row r="50" ht="28" customHeight="1">
      <c r="A50" s="13" t="inlineStr">
        <is>
          <t>Duplication made visible</t>
        </is>
      </c>
      <c r="B50" s="14" t="n"/>
      <c r="C50" s="16" t="inlineStr">
        <is>
          <t>53 family × sub-family × level combinations are held in more than one product — candidates for common role definitions and shared pools.</t>
        </is>
      </c>
      <c r="D50" s="14" t="n"/>
    </row>
    <row r="51" ht="28" customHeight="1">
      <c r="A51" s="13" t="inlineStr">
        <is>
          <t>Leadership consistency</t>
        </is>
      </c>
      <c r="B51" s="14" t="n"/>
      <c r="C51" s="16" t="inlineStr">
        <is>
          <t>No one in Bands D–E sits above their reporting manager, anyone in Band D reporting to an E1 / E2 sits at D2, and leadership levels are set by approved decisions.</t>
        </is>
      </c>
      <c r="D51" s="14" t="n"/>
    </row>
    <row r="52" ht="15" customHeight="1">
      <c r="A52" s="13" t="inlineStr">
        <is>
          <t>Ready for pay and planning</t>
        </is>
      </c>
      <c r="B52" s="14" t="n"/>
      <c r="C52" s="16" t="inlineStr">
        <is>
          <t>Each level carries a market code, so pay ranges, succession and workforce planning can be built on it.</t>
        </is>
      </c>
      <c r="D52" s="14" t="n"/>
    </row>
    <row r="53" ht="15" customHeight="1"/>
    <row r="54" ht="20" customHeight="1">
      <c r="A54" s="6" t="inlineStr">
        <is>
          <t>6. Our framework at a glance</t>
        </is>
      </c>
      <c r="B54" s="2" t="n"/>
      <c r="C54" s="2" t="n"/>
      <c r="D54" s="2" t="n"/>
    </row>
    <row r="55" ht="28" customHeight="1">
      <c r="A55" s="12" t="inlineStr">
        <is>
          <t>Element</t>
        </is>
      </c>
      <c r="B55" s="12" t="inlineStr">
        <is>
          <t>What it is</t>
        </is>
      </c>
      <c r="C55" s="8" t="n"/>
      <c r="D55" s="8" t="n"/>
    </row>
    <row r="56" ht="41" customHeight="1">
      <c r="A56" s="13" t="inlineStr">
        <is>
          <t>Job families</t>
        </is>
      </c>
      <c r="B56" s="16" t="inlineStr">
        <is>
          <t>19 families of work, each anchored to the ILO occupation standard — the same in every product.</t>
        </is>
      </c>
      <c r="C56" s="14" t="n"/>
      <c r="D56" s="14" t="n"/>
    </row>
    <row r="57" ht="41" customHeight="1">
      <c r="A57" s="13" t="inlineStr">
        <is>
          <t>Sub-families</t>
        </is>
      </c>
      <c r="B57" s="16" t="inlineStr">
        <is>
          <t>61 sub-families: the work a person actually does inside a family. One definition each, used everywhere.</t>
        </is>
      </c>
      <c r="C57" s="14" t="n"/>
      <c r="D57" s="14" t="n"/>
    </row>
    <row r="58" ht="41" customHeight="1">
      <c r="A58" s="13" t="inlineStr">
        <is>
          <t>Career ladder</t>
        </is>
      </c>
      <c r="B58" s="16"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4" t="n"/>
      <c r="D58" s="14" t="n"/>
    </row>
    <row r="59" ht="28" customHeight="1">
      <c r="A59" s="13" t="inlineStr">
        <is>
          <t>Tracks</t>
        </is>
      </c>
      <c r="B59" s="16" t="inlineStr">
        <is>
          <t>Individual contributor, POD Lead · leads 1–3 while doing the work, Player-Coach · leads and delivers, People Manager, Consultant — experts progress without having to manage.</t>
        </is>
      </c>
      <c r="C59" s="14" t="n"/>
      <c r="D59" s="14" t="n"/>
    </row>
    <row r="60" ht="28" customHeight="1">
      <c r="A60" s="13" t="inlineStr">
        <is>
          <t>Six factors</t>
        </is>
      </c>
      <c r="B60" s="16" t="inlineStr">
        <is>
          <t>Complexity &amp; Expertise · Autonomy &amp; Decision · Accountability &amp; Impact · Leadership &amp; Strategy · Experience &amp; Qualification · Business Impact — each gets a rating: the floor of the ladder that part of the job looks like.</t>
        </is>
      </c>
      <c r="C60" s="14" t="n"/>
      <c r="D60" s="14" t="n"/>
    </row>
    <row r="61" ht="28" customHeight="1">
      <c r="A61" s="13" t="inlineStr">
        <is>
          <t>Weights</t>
        </is>
      </c>
      <c r="B61" s="16" t="inlineStr">
        <is>
          <t>How much each factor counts, by band and track · junior roles: skill and experience; senior roles: accountability and leadership, fine-tuned ±5 by type of work.</t>
        </is>
      </c>
      <c r="C61" s="14" t="n"/>
      <c r="D61" s="14" t="n"/>
    </row>
    <row r="62" ht="28" customHeight="1">
      <c r="A62" s="13" t="inlineStr">
        <is>
          <t>Rules</t>
        </is>
      </c>
      <c r="B62" s="16" t="inlineStr">
        <is>
          <t>R1–R13: category rules, provisional holds, work-substance and structure gates, experience limits, track minimums, Player-Coach steps, leadership decisions and the D–E reporting-line rules — each written on the person's row with its numbers.</t>
        </is>
      </c>
      <c r="C62" s="14" t="n"/>
      <c r="D62" s="14" t="n"/>
    </row>
    <row r="63" ht="28" customHeight="1">
      <c r="A63" s="13" t="inlineStr">
        <is>
          <t>Titles</t>
        </is>
      </c>
      <c r="B63" s="16" t="inlineStr">
        <is>
          <t>Level marker + role noun; market titles where the market has its own ladder · Product Manager, Account Executive.</t>
        </is>
      </c>
      <c r="C63" s="14" t="n"/>
      <c r="D63" s="14" t="n"/>
    </row>
    <row r="64" ht="41" customHeight="1">
      <c r="A64" s="13" t="inlineStr">
        <is>
          <t>Competencies</t>
        </is>
      </c>
      <c r="B64" s="16" t="inlineStr">
        <is>
          <t>6 core and 4 future-ready for everyone, 4 leadership for leaders, and functional competencies for each family — each with a 1–5 skill level required at every career level.</t>
        </is>
      </c>
      <c r="C64" s="14" t="n"/>
      <c r="D64" s="14" t="n"/>
    </row>
    <row r="65" ht="28" customHeight="1">
      <c r="A65" s="13" t="inlineStr">
        <is>
          <t>Market link</t>
        </is>
      </c>
      <c r="B65" s="16" t="inlineStr">
        <is>
          <t>Every level maps to Aon Radford / Mercer codes and SFIA, with competitor, regtech and SaaS equivalents — the base for pay ranges later.</t>
        </is>
      </c>
      <c r="C65" s="14" t="n"/>
      <c r="D65" s="14" t="n"/>
    </row>
    <row r="66" ht="15" customHeight="1"/>
    <row r="67" ht="20" customHeight="1">
      <c r="A67" s="6" t="inlineStr">
        <is>
          <t>7. The Job Architecture process — how the structure was built</t>
        </is>
      </c>
      <c r="B67" s="2" t="n"/>
      <c r="C67" s="2" t="n"/>
      <c r="D67" s="2" t="n"/>
    </row>
    <row r="68" ht="15" customHeight="1">
      <c r="A68" s="12" t="inlineStr">
        <is>
          <t>#</t>
        </is>
      </c>
      <c r="B68" s="12" t="inlineStr">
        <is>
          <t>Step</t>
        </is>
      </c>
      <c r="C68" s="12" t="inlineStr">
        <is>
          <t>What happens</t>
        </is>
      </c>
      <c r="D68" s="8" t="n"/>
    </row>
    <row r="69" ht="15" customHeight="1">
      <c r="A69" s="15" t="n">
        <v>1</v>
      </c>
      <c r="B69" s="16" t="inlineStr">
        <is>
          <t>Define families</t>
        </is>
      </c>
      <c r="C69" s="16" t="inlineStr">
        <is>
          <t>Group all work into job families anchored to ISCO-08, so the same work has the same name everywhere.</t>
        </is>
      </c>
      <c r="D69" s="14" t="n"/>
    </row>
    <row r="70" ht="15" customHeight="1">
      <c r="A70" s="15" t="n">
        <v>2</v>
      </c>
      <c r="B70" s="16" t="inlineStr">
        <is>
          <t>Define sub-families</t>
        </is>
      </c>
      <c r="C70" s="16" t="inlineStr">
        <is>
          <t>Split each family into the distinct kinds of work people do, from the survey and role data.</t>
        </is>
      </c>
      <c r="D70" s="14" t="n"/>
    </row>
    <row r="71" ht="28" customHeight="1">
      <c r="A71" s="15" t="n">
        <v>3</v>
      </c>
      <c r="B71" s="16" t="inlineStr">
        <is>
          <t>Set the ladder and bands</t>
        </is>
      </c>
      <c r="C71" s="16" t="inlineStr">
        <is>
          <t>One 12-level ladder with five bands and two Player-Coach steps; what each level owns, its experience range and span.</t>
        </is>
      </c>
      <c r="D71" s="14" t="n"/>
    </row>
    <row r="72" ht="28" customHeight="1">
      <c r="A72" s="15" t="n">
        <v>4</v>
      </c>
      <c r="B72" s="16" t="inlineStr">
        <is>
          <t>Set the tracks</t>
        </is>
      </c>
      <c r="C72" s="16" t="inlineStr">
        <is>
          <t>IC, POD Lead, Player-Coach, People Manager, Consultant — and the rules for each.</t>
        </is>
      </c>
      <c r="D72" s="14" t="n"/>
    </row>
    <row r="73" ht="15" customHeight="1">
      <c r="A73" s="15" t="n">
        <v>5</v>
      </c>
      <c r="B73" s="16" t="inlineStr">
        <is>
          <t>Level every role</t>
        </is>
      </c>
      <c r="C73" s="16" t="inlineStr">
        <is>
          <t>Six ratings × weights → score → level, then the rules; leadership levels by approved decision.</t>
        </is>
      </c>
      <c r="D73" s="14" t="n"/>
    </row>
    <row r="74" ht="15" customHeight="1">
      <c r="A74" s="15" t="n">
        <v>6</v>
      </c>
      <c r="B74" s="16" t="inlineStr">
        <is>
          <t>Name every role</t>
        </is>
      </c>
      <c r="C74" s="16" t="inlineStr">
        <is>
          <t>Designation = level marker + role noun; title protection for anyone moving down.</t>
        </is>
      </c>
      <c r="D74" s="14" t="n"/>
    </row>
    <row r="75" ht="15" customHeight="1">
      <c r="A75" s="15" t="n">
        <v>7</v>
      </c>
      <c r="B75" s="16" t="inlineStr">
        <is>
          <t>Benchmark</t>
        </is>
      </c>
      <c r="C75" s="16" t="inlineStr">
        <is>
          <t>Crosswalk every level to Radford / Mercer and SFIA; compare with competitor and peer ladders.</t>
        </is>
      </c>
      <c r="D75" s="14" t="n"/>
    </row>
    <row r="76" ht="15" customHeight="1">
      <c r="A76" s="15" t="n">
        <v>8</v>
      </c>
      <c r="B76" s="16" t="inlineStr">
        <is>
          <t>Govern</t>
        </is>
      </c>
      <c r="C76" s="16" t="inlineStr">
        <is>
          <t>Calibration panel, business-head review, a decision tracker and change rules · who can change a level, and how.</t>
        </is>
      </c>
      <c r="D76" s="14" t="n"/>
    </row>
    <row r="77" ht="15" customHeight="1"/>
    <row r="78" ht="20" customHeight="1">
      <c r="A78" s="6" t="inlineStr">
        <is>
          <t>8. The Job Design process — how each role is described</t>
        </is>
      </c>
      <c r="B78" s="2" t="n"/>
      <c r="C78" s="2" t="n"/>
      <c r="D78" s="2" t="n"/>
    </row>
    <row r="79" ht="15" customHeight="1">
      <c r="A79" s="12" t="inlineStr">
        <is>
          <t>#</t>
        </is>
      </c>
      <c r="B79" s="12" t="inlineStr">
        <is>
          <t>Step</t>
        </is>
      </c>
      <c r="C79" s="12" t="inlineStr">
        <is>
          <t>What happens</t>
        </is>
      </c>
      <c r="D79" s="8" t="n"/>
    </row>
    <row r="80" ht="15" customHeight="1">
      <c r="A80" s="15" t="n">
        <v>1</v>
      </c>
      <c r="B80" s="16" t="inlineStr">
        <is>
          <t>Purpose</t>
        </is>
      </c>
      <c r="C80" s="16" t="inlineStr">
        <is>
          <t>Why the role exists — from the sub-family definition and the level standard.</t>
        </is>
      </c>
      <c r="D80" s="14" t="n"/>
    </row>
    <row r="81" ht="28" customHeight="1">
      <c r="A81" s="15" t="n">
        <v>2</v>
      </c>
      <c r="B81" s="16" t="inlineStr">
        <is>
          <t>Responsibilities and deliverables</t>
        </is>
      </c>
      <c r="C81" s="16" t="inlineStr">
        <is>
          <t>What the role does and produces — from role-holders' survey answers · as counted themes and KRAs.</t>
        </is>
      </c>
      <c r="D81" s="14" t="n"/>
    </row>
    <row r="82" ht="28" customHeight="1">
      <c r="A82" s="15" t="n">
        <v>3</v>
      </c>
      <c r="B82" s="16" t="inlineStr">
        <is>
          <t>Accountability and decision rights</t>
        </is>
      </c>
      <c r="C82" s="16" t="inlineStr">
        <is>
          <t>What the role answers for, what it can decide alone, and what happens if the work is missed.</t>
        </is>
      </c>
      <c r="D82" s="14" t="n"/>
    </row>
    <row r="83" ht="15" customHeight="1">
      <c r="A83" s="15" t="n">
        <v>4</v>
      </c>
      <c r="B83" s="16" t="inlineStr">
        <is>
          <t>Measures</t>
        </is>
      </c>
      <c r="C83" s="16" t="inlineStr">
        <is>
          <r>
            <rPr>
              <rFont val="Calibri"/>
              <b val="1"/>
              <sz val="10"/>
            </rPr>
            <t>Manager-set KRAs:</t>
          </r>
          <r>
            <rPr>
              <rFont val="Calibri"/>
              <sz val="10"/>
            </rPr>
            <t xml:space="preserve"> how the role is judged.</t>
          </r>
        </is>
      </c>
      <c r="D83" s="14" t="n"/>
    </row>
    <row r="84" ht="15" customHeight="1">
      <c r="A84" s="15" t="n">
        <v>5</v>
      </c>
      <c r="B84" s="16" t="inlineStr">
        <is>
          <t>Competencies and skill level</t>
        </is>
      </c>
      <c r="C84" s="16" t="inlineStr">
        <is>
          <t>The core, future-ready, functional and leadership competencies the role needs, each at a 1–5 level.</t>
        </is>
      </c>
      <c r="D84" s="14" t="n"/>
    </row>
    <row r="85" ht="15" customHeight="1">
      <c r="A85" s="15" t="n">
        <v>6</v>
      </c>
      <c r="B85" s="16" t="inlineStr">
        <is>
          <t>Role profile and catalogue</t>
        </is>
      </c>
      <c r="C85" s="16" t="inlineStr">
        <is>
          <t>One IRIS-wide catalogue entry per family × sub-family × level × track — the shared description of the job.</t>
        </is>
      </c>
      <c r="D85" s="14" t="n"/>
    </row>
    <row r="86" ht="15" customHeight="1">
      <c r="A86" s="15" t="n">
        <v>7</v>
      </c>
      <c r="B86" s="16" t="inlineStr">
        <is>
          <t>Career ladder</t>
        </is>
      </c>
      <c r="C86" s="16" t="inlineStr">
        <is>
          <t>Where the role sits in its sub-family's ladder, the next step and what it takes.</t>
        </is>
      </c>
      <c r="D86" s="14" t="n"/>
    </row>
    <row r="87" ht="28" customHeight="1">
      <c r="A87" s="15" t="n">
        <v>8</v>
      </c>
      <c r="B87" s="16" t="inlineStr">
        <is>
          <t>Recruitment profile</t>
        </is>
      </c>
      <c r="C87" s="16" t="inlineStr">
        <is>
          <t>The hire equivalent in the market, the competencies to hire for and the interview questions — on every person card.</t>
        </is>
      </c>
      <c r="D87" s="14"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C29"/>
  <sheetViews>
    <sheetView showGridLines="0" workbookViewId="0">
      <pane ySplit="5" topLeftCell="A6" activePane="bottomLeft" state="frozen"/>
      <selection pane="bottomLeft" activeCell="A1" sqref="A1"/>
    </sheetView>
  </sheetViews>
  <sheetFormatPr baseColWidth="8" defaultRowHeight="15"/>
  <cols>
    <col width="6" customWidth="1" min="1" max="1"/>
    <col width="34" customWidth="1" min="2" max="2"/>
    <col width="90" customWidth="1" min="3" max="3"/>
  </cols>
  <sheetData>
    <row r="1" ht="34" customHeight="1">
      <c r="A1" s="1" t="inlineStr">
        <is>
          <t>IRIS Job Architecture — Datatech Product Master — contents</t>
        </is>
      </c>
      <c r="B1" s="2" t="n"/>
      <c r="C1" s="2" t="n"/>
    </row>
    <row r="2" ht="30" customHeight="1">
      <c r="A2" s="3" t="inlineStr">
        <is>
          <t>Click a sheet name to go there; every sheet has a '◂ Contents' link at the top right to come back.</t>
        </is>
      </c>
    </row>
    <row r="3">
      <c r="A3" s="4" t="inlineStr">
        <is>
          <t>IRIS · Job Architecture &amp; Job Design · Final v1.12 · October 2026 · Internal — Confidential</t>
        </is>
      </c>
      <c r="B3" s="5" t="n"/>
      <c r="C3" s="5" t="n"/>
    </row>
    <row r="4"/>
    <row r="5">
      <c r="A5" s="92" t="inlineStr">
        <is>
          <t>#</t>
        </is>
      </c>
      <c r="B5" s="92" t="inlineStr">
        <is>
          <t>Sheet</t>
        </is>
      </c>
      <c r="C5" s="92" t="inlineStr">
        <is>
          <t>What it holds</t>
        </is>
      </c>
    </row>
    <row r="6" ht="45" customHeight="1">
      <c r="A6" s="242" t="n">
        <v>1</v>
      </c>
      <c r="B6" s="243" t="inlineStr">
        <is>
          <t>Start — How It Works</t>
        </is>
      </c>
      <c r="C6" s="16" t="inlineStr">
        <is>
          <r>
            <rPr>
              <rFont val="Calibri"/>
              <b val="1"/>
              <sz val="10"/>
            </rPr>
            <t>Read this first:</t>
          </r>
          <r>
            <rPr>
              <rFont val="Calibri"/>
              <sz val="10"/>
            </rPr>
            <t xml:space="preserve"> what we did step by step, what is happening now, how the model works, what it produced, the impact — then our framework, the Job Architecture process and the Job Design process.</t>
          </r>
        </is>
      </c>
    </row>
    <row r="7" ht="60" customHeight="1">
      <c r="A7" s="242" t="n">
        <v>2</v>
      </c>
      <c r="B7" s="243" t="inlineStr">
        <is>
          <t>1. Overview</t>
        </is>
      </c>
      <c r="C7" s="16" t="inlineStr">
        <is>
          <r>
            <rPr>
              <rFont val="Calibri"/>
              <b val="1"/>
              <sz val="10"/>
            </rPr>
            <t>The whole picture on one page:</t>
          </r>
          <r>
            <rPr>
              <rFont val="Calibri"/>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8" ht="60" customHeight="1">
      <c r="A8" s="242" t="n">
        <v>3</v>
      </c>
      <c r="B8" s="243" t="inlineStr">
        <is>
          <t>1a. Placements</t>
        </is>
      </c>
      <c r="C8" s="16" t="inlineStr">
        <is>
          <t>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9" ht="30" customHeight="1">
      <c r="A9" s="242" t="n">
        <v>4</v>
      </c>
      <c r="B9" s="243" t="inlineStr">
        <is>
          <t>1b. Person Card</t>
        </is>
      </c>
      <c r="C9" s="16" t="inlineStr">
        <is>
          <r>
            <rPr>
              <rFont val="Calibri"/>
              <b val="1"/>
              <sz val="10"/>
            </rPr>
            <t>Find a person:</t>
          </r>
          <r>
            <rPr>
              <rFont val="Calibri"/>
              <sz val="10"/>
            </rPr>
            <t xml:space="preserve"> paste or type an Emp ID, or pick Department → Name from the yellow drop-downs — type part of a word in the Search box beside a drop-down to shorten its list.</t>
          </r>
        </is>
      </c>
    </row>
    <row r="10" ht="30" customHeight="1">
      <c r="A10" s="242" t="n">
        <v>5</v>
      </c>
      <c r="B10" s="243" t="inlineStr">
        <is>
          <t>1d. Weightage Matrix</t>
        </is>
      </c>
      <c r="C10" s="16" t="inlineStr">
        <is>
          <t>1d · Leaders: change the yellow weights. Sheet 2 recalculates points, score and 'Level the score indicates' at once.</t>
        </is>
      </c>
    </row>
    <row r="11" ht="30" customHeight="1">
      <c r="A11" s="242" t="n">
        <v>6</v>
      </c>
      <c r="B11" s="243" t="inlineStr">
        <is>
          <t>1e. Weight Benchmark</t>
        </is>
      </c>
      <c r="C11" s="16" t="inlineStr">
        <is>
          <t>1e · The published point-factor plans, how weights shift with seniority, the evidence on experience and on business impact, and IRIS's defaults set against them.</t>
        </is>
      </c>
    </row>
    <row r="12" ht="60" customHeight="1">
      <c r="A12" s="242" t="n">
        <v>7</v>
      </c>
      <c r="B12" s="243" t="inlineStr">
        <is>
          <t>2. Talent Mapping</t>
        </is>
      </c>
      <c r="C12" s="16" t="inlineStr">
        <is>
          <r>
            <rPr>
              <rFont val="Calibri"/>
              <b val="1"/>
              <sz val="10"/>
            </rPr>
            <t>Read left to right:</t>
          </r>
          <r>
            <rPr>
              <rFont val="Calibri"/>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t>
          </r>
        </is>
      </c>
    </row>
    <row r="13" ht="45" customHeight="1">
      <c r="A13" s="242" t="n">
        <v>8</v>
      </c>
      <c r="B13" s="243" t="inlineStr">
        <is>
          <t>3. Raw Data &amp; Market Standards</t>
        </is>
      </c>
      <c r="C13" s="16" t="inlineStr">
        <is>
          <r>
            <rPr>
              <rFont val="Calibri"/>
              <b val="1"/>
              <sz val="10"/>
            </rPr>
            <t>Left:</t>
          </r>
          <r>
            <rPr>
              <rFont val="Calibri"/>
              <sz val="10"/>
            </rPr>
            <t xml:space="preserve"> the person and their final role. Middle: the market standard for that role and level.</t>
          </r>
        </is>
      </c>
    </row>
    <row r="14" ht="75" customHeight="1">
      <c r="A14" s="242" t="n">
        <v>9</v>
      </c>
      <c r="B14" s="243" t="inlineStr">
        <is>
          <t>4. Role Competency Framework</t>
        </is>
      </c>
      <c r="C14" s="16" t="inlineStr">
        <is>
          <t>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15" ht="30" customHeight="1">
      <c r="A15" s="242" t="n">
        <v>10</v>
      </c>
      <c r="B15" s="243" t="inlineStr">
        <is>
          <t>5. Capability Framework</t>
        </is>
      </c>
      <c r="C15" s="16" t="inlineStr">
        <is>
          <t>The level sizes the role; the capability framework defines what a person in it must be able to do, and how well · proficiency 1–5, aligned to SFIA 9.</t>
        </is>
      </c>
    </row>
    <row r="16" ht="18" customHeight="1">
      <c r="A16" s="242" t="n">
        <v>11</v>
      </c>
      <c r="B16" s="243" t="inlineStr">
        <is>
          <t>6. Role Catalogue</t>
        </is>
      </c>
      <c r="C16" s="16" t="inlineStr">
        <is>
          <t>One row per catalogue role · job family × sub-family × level × track that someone here holds.</t>
        </is>
      </c>
    </row>
    <row r="17" ht="18" customHeight="1">
      <c r="A17" s="242" t="n">
        <v>12</v>
      </c>
      <c r="B17" s="243" t="inlineStr">
        <is>
          <t>7. Role Requirements</t>
        </is>
      </c>
      <c r="C17" s="16" t="inlineStr">
        <is>
          <t>One row per role · designation × level × track inside each department, lowest level first.</t>
        </is>
      </c>
    </row>
    <row r="18" ht="45" customHeight="1">
      <c r="A18" s="242" t="n">
        <v>13</v>
      </c>
      <c r="B18" s="243" t="inlineStr">
        <is>
          <t>8. Talent, Learning &amp; Mobility</t>
        </is>
      </c>
      <c r="C18" s="16" t="inlineStr">
        <is>
          <t>Manager talent data, competency results against the role's profile, learning needs from three angles · self, manager, role, and mobility signals · lateral options, duplicated work, similar talent elsewhere in IRIS, span.</t>
        </is>
      </c>
    </row>
    <row r="19" ht="60" customHeight="1">
      <c r="A19" s="242" t="n">
        <v>14</v>
      </c>
      <c r="B19" s="243" t="inlineStr">
        <is>
          <t>9. Calibration &amp; Decisions</t>
        </is>
      </c>
      <c r="C19" s="16" t="inlineStr">
        <is>
          <r>
            <rPr>
              <rFont val="Calibri"/>
              <b val="1"/>
              <sz val="10"/>
            </rPr>
            <t>Every placement that needs a human decision, with the reason:</t>
          </r>
          <r>
            <rPr>
              <rFont val="Calibri"/>
              <sz val="10"/>
            </rPr>
            <t xml:space="preserve"> Player-Coach transition steps and candidates, close calls, moves down, changes from the earlier proposal, provisional cases, title checks, long-tenure A3 cases, senior titles without teams — then the open decisions and the quality checks run on this workbook.</t>
          </r>
        </is>
      </c>
    </row>
    <row r="20" ht="45" customHeight="1">
      <c r="A20" s="242" t="n">
        <v>15</v>
      </c>
      <c r="B20" s="243" t="inlineStr">
        <is>
          <t>10. Framework &amp; Logic</t>
        </is>
      </c>
      <c r="C20" s="16" t="inlineStr">
        <is>
          <t>How the Master Framework is applied to Datatech, step by step: classification, tracks, factors and weights, rules, levels, market benchmarks, capability, validation, data and sources.</t>
        </is>
      </c>
    </row>
    <row r="21" ht="45" customHeight="1">
      <c r="A21" s="242" t="n">
        <v>16</v>
      </c>
      <c r="B21" s="243" t="inlineStr">
        <is>
          <t>11. References &amp; Benchmarks</t>
        </is>
      </c>
      <c r="C21" s="16" t="inlineStr">
        <is>
          <r>
            <rPr>
              <rFont val="Calibri"/>
              <b val="1"/>
              <sz val="10"/>
            </rPr>
            <t>Scope:</t>
          </r>
          <r>
            <rPr>
              <rFont val="Calibri"/>
              <sz val="10"/>
            </rPr>
            <t xml:space="preserve"> Datatech. Every company, standard, database and website used, and — department by department — what the best standard looks like at each IRIS level · A1 → E2 at IRIS's direct competitors, regtech leaders and SaaS leaders.</t>
          </r>
        </is>
      </c>
    </row>
    <row r="22" ht="30" customHeight="1">
      <c r="A22" s="242" t="n">
        <v>17</v>
      </c>
      <c r="B22" s="243" t="inlineStr">
        <is>
          <t>12. Org Health</t>
        </is>
      </c>
      <c r="C22" s="16" t="inlineStr">
        <is>
          <t>Managers with very small or very large teams, the deepest reporting chains, and the sub-family overlap across businesses.</t>
        </is>
      </c>
    </row>
    <row r="23" ht="30" customHeight="1">
      <c r="A23" s="242" t="n">
        <v>18</v>
      </c>
      <c r="B23" s="243" t="inlineStr">
        <is>
          <t>13. Weight Sensitivity</t>
        </is>
      </c>
      <c r="C23" s="16" t="inlineStr">
        <is>
          <t>Every placement re-run 30 times, each time moving 5 weight points from one factor to another in every weight set.</t>
        </is>
      </c>
    </row>
    <row r="24" ht="30" customHeight="1">
      <c r="A24" s="242" t="n">
        <v>19</v>
      </c>
      <c r="B24" s="243" t="inlineStr">
        <is>
          <t>14. A3 Deep-Dive</t>
        </is>
      </c>
      <c r="C24" s="16" t="inlineStr">
        <is>
          <t>10 employees at A3. 'Gap to B1' = 3.5 minus the person's score on Band B's own weights · B's entry point.</t>
        </is>
      </c>
    </row>
    <row r="25" ht="30" customHeight="1">
      <c r="A25" s="242" t="n">
        <v>20</v>
      </c>
      <c r="B25" s="243" t="inlineStr">
        <is>
          <t>15. Succession</t>
        </is>
      </c>
      <c r="C25" s="16" t="inlineStr">
        <is>
          <r>
            <rPr>
              <rFont val="Calibri"/>
              <b val="1"/>
              <sz val="10"/>
            </rPr>
            <t>For every role at C1 and above:</t>
          </r>
          <r>
            <rPr>
              <rFont val="Calibri"/>
              <sz val="10"/>
            </rPr>
            <t xml:space="preserve"> people in the same job family, up to three steps below, by readiness · from the talent data on sheet 8.</t>
          </r>
        </is>
      </c>
    </row>
    <row r="26" ht="30" customHeight="1">
      <c r="A26" s="242" t="n">
        <v>21</v>
      </c>
      <c r="B26" s="243" t="inlineStr">
        <is>
          <t>15a. Critical Roles at Risk</t>
        </is>
      </c>
      <c r="C26" s="16" t="inlineStr">
        <is>
          <t>14 people whose role is critical, or whose work only they do, with no successor named · 2 high risk.</t>
        </is>
      </c>
    </row>
    <row r="27" ht="18" customHeight="1">
      <c r="A27" s="242" t="n">
        <v>22</v>
      </c>
      <c r="B27" s="243" t="inlineStr">
        <is>
          <t>16. Role Definitions</t>
        </is>
      </c>
      <c r="C27" s="16" t="inlineStr">
        <is>
          <t>22 department-level roles map to 22 role definitions · family · sub-family · level · track.</t>
        </is>
      </c>
    </row>
    <row r="28" ht="30" customHeight="1">
      <c r="A28" s="242" t="n">
        <v>23</v>
      </c>
      <c r="B28" s="243" t="inlineStr">
        <is>
          <t>17. Data Gaps</t>
        </is>
      </c>
      <c r="C28" s="16" t="inlineStr">
        <is>
          <t>10 employees with at least one missing input. The same list, with owner and status columns, is in the HR Super Master's calibration tracker.</t>
        </is>
      </c>
    </row>
    <row r="29" ht="60" customHeight="1">
      <c r="A29" s="242" t="n">
        <v>24</v>
      </c>
      <c r="B29" s="243" t="inlineStr">
        <is>
          <t>18. Career Ladder</t>
        </is>
      </c>
      <c r="C29" s="16" t="inlineStr">
        <is>
          <t>34 people in 8 departments. One row per designation at a level in a department, ordered department → band → level · bottom to top: earlier rows are lower levels. 'Same work' = same job family, sub-family and level; overlap within the product is shaded orange, overlap across IRIS blue.</t>
        </is>
      </c>
    </row>
  </sheetData>
  <mergeCells count="3">
    <mergeCell ref="A1:C1"/>
    <mergeCell ref="A3:C3"/>
    <mergeCell ref="A2:C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O188"/>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s>
  <sheetData>
    <row r="1" ht="34" customHeight="1">
      <c r="A1" s="1" t="inlineStr">
        <is>
          <t>Overview — Datatech</t>
        </is>
      </c>
      <c r="O1" s="241" t="inlineStr">
        <is>
          <t>◂ Contents</t>
        </is>
      </c>
    </row>
    <row r="2" ht="32" customHeight="1">
      <c r="A2" s="3" t="inlineStr">
        <is>
          <r>
            <rPr>
              <rFont val="Calibri"/>
              <b val="1"/>
              <i val="1"/>
              <color rgb="00404040"/>
              <sz val="10"/>
            </rPr>
            <t>Sheet 1 · The whole picture on one page:</t>
          </r>
          <r>
            <rPr>
              <rFont val="Calibri"/>
              <i val="1"/>
              <color rgb="00404040"/>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3">
      <c r="A3" s="4" t="inlineStr">
        <is>
          <t>IRIS · Job Architecture &amp; Job Design · Final v1.12 · October 2026 · Internal — Confidential</t>
        </is>
      </c>
    </row>
    <row r="4" ht="15" customHeight="1"/>
    <row r="5" ht="20" customHeight="1">
      <c r="A5" s="6" t="inlineStr">
        <is>
          <t>1. Headline numbers</t>
        </is>
      </c>
    </row>
    <row r="6" ht="15" customHeight="1">
      <c r="A6" s="7" t="inlineStr">
        <is>
          <t>People</t>
        </is>
      </c>
      <c r="B6" s="209" t="n"/>
      <c r="C6" s="7" t="inlineStr">
        <is>
          <t>Departments</t>
        </is>
      </c>
      <c r="D6" s="209" t="n"/>
      <c r="E6" s="7" t="inlineStr">
        <is>
          <t>Job families</t>
        </is>
      </c>
      <c r="F6" s="209" t="n"/>
      <c r="G6" s="7" t="inlineStr">
        <is>
          <t>Sub-families</t>
        </is>
      </c>
      <c r="H6" s="209" t="n"/>
      <c r="I6" s="7" t="inlineStr">
        <is>
          <t>Roles</t>
        </is>
      </c>
      <c r="J6" s="209" t="n"/>
      <c r="K6" s="7" t="inlineStr">
        <is>
          <t>Ladder steps in use</t>
        </is>
      </c>
      <c r="L6" s="209" t="n"/>
      <c r="M6" s="7" t="inlineStr">
        <is>
          <t>Player-Coaches</t>
        </is>
      </c>
      <c r="N6" s="209" t="n"/>
    </row>
    <row r="7" ht="30" customHeight="1">
      <c r="A7" s="9" t="n">
        <v>34</v>
      </c>
      <c r="B7" s="209" t="n"/>
      <c r="C7" s="9" t="n">
        <v>8</v>
      </c>
      <c r="D7" s="209" t="n"/>
      <c r="E7" s="9" t="n">
        <v>9</v>
      </c>
      <c r="F7" s="209" t="n"/>
      <c r="G7" s="9" t="n">
        <v>16</v>
      </c>
      <c r="H7" s="209" t="n"/>
      <c r="I7" s="9" t="n">
        <v>25</v>
      </c>
      <c r="J7" s="209" t="n"/>
      <c r="K7" s="9" t="n">
        <v>7</v>
      </c>
      <c r="L7" s="209" t="n"/>
      <c r="M7" s="9" t="n">
        <v>0</v>
      </c>
      <c r="N7" s="209" t="n"/>
    </row>
    <row r="8" ht="28" customHeight="1">
      <c r="A8" s="7" t="inlineStr">
        <is>
          <t>Level up vs current</t>
        </is>
      </c>
      <c r="B8" s="209" t="n"/>
      <c r="C8" s="7" t="inlineStr">
        <is>
          <t>Level down · protected</t>
        </is>
      </c>
      <c r="D8" s="209" t="n"/>
      <c r="E8" s="7" t="inlineStr">
        <is>
          <t>Same level</t>
        </is>
      </c>
      <c r="F8" s="209" t="n"/>
      <c r="G8" s="7" t="inlineStr">
        <is>
          <t>Newly mapped</t>
        </is>
      </c>
      <c r="H8" s="209" t="n"/>
      <c r="I8" s="7" t="inlineStr">
        <is>
          <t>Close calls / near a gate</t>
        </is>
      </c>
      <c r="J8" s="209" t="n"/>
      <c r="K8" s="7" t="inlineStr">
        <is>
          <t>Consultants</t>
        </is>
      </c>
      <c r="L8" s="209" t="n"/>
    </row>
    <row r="9" ht="30" customHeight="1">
      <c r="A9" s="9" t="n">
        <v>9</v>
      </c>
      <c r="B9" s="209" t="n"/>
      <c r="C9" s="9" t="n">
        <v>3</v>
      </c>
      <c r="D9" s="209" t="n"/>
      <c r="E9" s="9" t="n">
        <v>12</v>
      </c>
      <c r="F9" s="209" t="n"/>
      <c r="G9" s="9" t="n">
        <v>10</v>
      </c>
      <c r="H9" s="209" t="n"/>
      <c r="I9" s="9" t="inlineStr">
        <is>
          <t>0 / 0</t>
        </is>
      </c>
      <c r="J9" s="209" t="n"/>
      <c r="K9" s="9" t="n">
        <v>6</v>
      </c>
      <c r="L9" s="209" t="n"/>
    </row>
    <row r="10" ht="28" customHeight="1">
      <c r="A10" s="11" t="inlineStr">
        <is>
          <t>Job families and sub-families exclude 'Unassigned' · consultants with no role on record. Career levels: 12 levels A1–E2 plus 2 Player-Coach Player-Coach transition steps · B+, C+ = 14; consultants sit outside the ladder at X1–X3. Departments are counted per business line.</t>
        </is>
      </c>
    </row>
    <row r="11" ht="15" customHeight="1"/>
    <row r="12" ht="20" customHeight="1">
      <c r="A12" s="6" t="inlineStr">
        <is>
          <t>2. What changed — old structure → new structure</t>
        </is>
      </c>
    </row>
    <row r="13" ht="28" customHeight="1">
      <c r="A13" s="12" t="inlineStr">
        <is>
          <t>Measure</t>
        </is>
      </c>
      <c r="B13" s="210" t="n"/>
      <c r="C13" s="209" t="n"/>
      <c r="D13" s="12" t="inlineStr">
        <is>
          <t>Old · count</t>
        </is>
      </c>
      <c r="E13" s="209" t="n"/>
      <c r="F13" s="12" t="inlineStr">
        <is>
          <t>New · count</t>
        </is>
      </c>
      <c r="G13" s="209" t="n"/>
      <c r="H13" s="12" t="inlineStr">
        <is>
          <t>People whose value changed</t>
        </is>
      </c>
      <c r="I13" s="209" t="n"/>
      <c r="J13" s="12" t="inlineStr">
        <is>
          <t>People unchanged</t>
        </is>
      </c>
      <c r="K13" s="209" t="n"/>
      <c r="L13" s="12" t="inlineStr">
        <is>
          <t>What it means</t>
        </is>
      </c>
      <c r="M13" s="210" t="n"/>
      <c r="N13" s="209" t="n"/>
    </row>
    <row r="14" ht="41" customHeight="1">
      <c r="A14" s="13" t="inlineStr">
        <is>
          <t>Job families</t>
        </is>
      </c>
      <c r="B14" s="210" t="n"/>
      <c r="C14" s="209" t="n"/>
      <c r="D14" s="15" t="n">
        <v>13</v>
      </c>
      <c r="E14" s="209" t="n"/>
      <c r="F14" s="15" t="n">
        <v>9</v>
      </c>
      <c r="G14" s="209" t="n"/>
      <c r="H14" s="15" t="n">
        <v>22</v>
      </c>
      <c r="I14" s="209" t="n"/>
      <c r="J14" s="15" t="n">
        <v>12</v>
      </c>
      <c r="K14" s="209" t="n"/>
      <c r="L14" s="16" t="inlineStr">
        <is>
          <t>Families are now disciplines, the same across businesses</t>
        </is>
      </c>
      <c r="M14" s="210" t="n"/>
      <c r="N14" s="209" t="n"/>
    </row>
    <row r="15" ht="28" customHeight="1">
      <c r="A15" s="13" t="inlineStr">
        <is>
          <t>Sub-families</t>
        </is>
      </c>
      <c r="B15" s="210" t="n"/>
      <c r="C15" s="209" t="n"/>
      <c r="D15" s="15" t="n">
        <v>17</v>
      </c>
      <c r="E15" s="209" t="n"/>
      <c r="F15" s="15" t="n">
        <v>16</v>
      </c>
      <c r="G15" s="209" t="n"/>
      <c r="H15" s="15" t="n">
        <v>31</v>
      </c>
      <c r="I15" s="209" t="n"/>
      <c r="J15" s="15" t="n">
        <v>3</v>
      </c>
      <c r="K15" s="209" t="n"/>
      <c r="L15" s="16" t="inlineStr">
        <is>
          <t>Sub-families now name the actual work done</t>
        </is>
      </c>
      <c r="M15" s="210" t="n"/>
      <c r="N15" s="209" t="n"/>
    </row>
    <row r="16" ht="28" customHeight="1">
      <c r="A16" s="13" t="inlineStr">
        <is>
          <t>Designations</t>
        </is>
      </c>
      <c r="B16" s="210" t="n"/>
      <c r="C16" s="209" t="n"/>
      <c r="D16" s="15" t="n">
        <v>24</v>
      </c>
      <c r="E16" s="209" t="n"/>
      <c r="F16" s="15" t="n">
        <v>23</v>
      </c>
      <c r="G16" s="209" t="n"/>
      <c r="H16" s="15" t="n">
        <v>31</v>
      </c>
      <c r="I16" s="209" t="n"/>
      <c r="J16" s="15" t="n">
        <v>3</v>
      </c>
      <c r="K16" s="209" t="n"/>
      <c r="L16" s="16" t="inlineStr">
        <is>
          <t>Title = level marker + role noun</t>
        </is>
      </c>
      <c r="M16" s="210" t="n"/>
      <c r="N16" s="209" t="n"/>
    </row>
    <row r="17" ht="41" customHeight="1">
      <c r="A17" s="13" t="inlineStr">
        <is>
          <t>Career levels</t>
        </is>
      </c>
      <c r="B17" s="210" t="n"/>
      <c r="C17" s="209" t="n"/>
      <c r="D17" s="15" t="n">
        <v>7</v>
      </c>
      <c r="E17" s="209" t="n"/>
      <c r="F17" s="15" t="n">
        <v>7</v>
      </c>
      <c r="G17" s="209" t="n"/>
      <c r="H17" s="15" t="n">
        <v>22</v>
      </c>
      <c r="I17" s="209" t="n"/>
      <c r="J17" s="15" t="n">
        <v>12</v>
      </c>
      <c r="K17" s="209" t="n"/>
      <c r="L17" s="16" t="inlineStr">
        <is>
          <r>
            <rPr>
              <rFont val="Calibri"/>
              <b val="1"/>
              <sz val="10"/>
            </rPr>
            <t>New ladder:</t>
          </r>
          <r>
            <rPr>
              <rFont val="Calibri"/>
              <sz val="10"/>
            </rPr>
            <t xml:space="preserve"> 12 levels + 2 Player-Coach transition steps; consultants counted separately</t>
          </r>
        </is>
      </c>
      <c r="M17" s="210" t="n"/>
      <c r="N17" s="209" t="n"/>
    </row>
    <row r="18" ht="15" customHeight="1"/>
    <row r="19" ht="15" customHeight="1">
      <c r="A19" s="17" t="inlineStr">
        <is>
          <t>2a. Job families — old → new</t>
        </is>
      </c>
    </row>
    <row r="20" ht="15" customHeight="1">
      <c r="A20" s="12" t="inlineStr">
        <is>
          <t>Old job family</t>
        </is>
      </c>
      <c r="B20" s="210" t="n"/>
      <c r="C20" s="210" t="n"/>
      <c r="D20" s="210" t="n"/>
      <c r="E20" s="209" t="n"/>
      <c r="F20" s="12" t="inlineStr">
        <is>
          <t>New job family</t>
        </is>
      </c>
      <c r="G20" s="210" t="n"/>
      <c r="H20" s="210" t="n"/>
      <c r="I20" s="210" t="n"/>
      <c r="J20" s="209" t="n"/>
      <c r="K20" s="12" t="inlineStr">
        <is>
          <t>People</t>
        </is>
      </c>
      <c r="L20" s="12" t="inlineStr">
        <is>
          <t>What happened</t>
        </is>
      </c>
      <c r="M20" s="210" t="n"/>
      <c r="N20" s="209" t="n"/>
    </row>
    <row r="21" ht="15" customHeight="1">
      <c r="A21" s="18" t="inlineStr">
        <is>
          <t>Engineering &amp; Development</t>
        </is>
      </c>
      <c r="B21" s="210" t="n"/>
      <c r="C21" s="210" t="n"/>
      <c r="D21" s="210" t="n"/>
      <c r="E21" s="209" t="n"/>
      <c r="F21" s="18" t="inlineStr">
        <is>
          <t>Engineering &amp; Development</t>
        </is>
      </c>
      <c r="G21" s="210" t="n"/>
      <c r="H21" s="210" t="n"/>
      <c r="I21" s="210" t="n"/>
      <c r="J21" s="209" t="n"/>
      <c r="K21" s="20" t="n">
        <v>4</v>
      </c>
      <c r="L21" s="18" t="inlineStr">
        <is>
          <t>Unchanged; others joined it</t>
        </is>
      </c>
      <c r="M21" s="210" t="n"/>
      <c r="N21" s="209" t="n"/>
    </row>
    <row r="22" ht="15" customHeight="1">
      <c r="A22" s="21" t="inlineStr">
        <is>
          <t>Project &amp; Program Management</t>
        </is>
      </c>
      <c r="B22" s="210" t="n"/>
      <c r="C22" s="210" t="n"/>
      <c r="D22" s="210" t="n"/>
      <c r="E22" s="209" t="n"/>
      <c r="F22" s="21" t="inlineStr">
        <is>
          <t>Sales &amp; Business Development</t>
        </is>
      </c>
      <c r="G22" s="210" t="n"/>
      <c r="H22" s="210" t="n"/>
      <c r="I22" s="210" t="n"/>
      <c r="J22" s="209" t="n"/>
      <c r="K22" s="23" t="n">
        <v>4</v>
      </c>
      <c r="L22" s="21" t="inlineStr">
        <is>
          <t>Merged with others</t>
        </is>
      </c>
      <c r="M22" s="210" t="n"/>
      <c r="N22" s="209" t="n"/>
    </row>
    <row r="23" ht="15" customHeight="1">
      <c r="A23" s="21" t="inlineStr">
        <is>
          <t>Client Engagement · Employee Master</t>
        </is>
      </c>
      <c r="B23" s="210" t="n"/>
      <c r="C23" s="210" t="n"/>
      <c r="D23" s="210" t="n"/>
      <c r="E23" s="209" t="n"/>
      <c r="F23" s="21" t="inlineStr">
        <is>
          <t>Product Management</t>
        </is>
      </c>
      <c r="G23" s="210" t="n"/>
      <c r="H23" s="210" t="n"/>
      <c r="I23" s="210" t="n"/>
      <c r="J23" s="209" t="n"/>
      <c r="K23" s="23" t="n">
        <v>3</v>
      </c>
      <c r="L23" s="21" t="inlineStr">
        <is>
          <t>Merged with others</t>
        </is>
      </c>
      <c r="M23" s="210" t="n"/>
      <c r="N23" s="209" t="n"/>
    </row>
    <row r="24" ht="15" customHeight="1">
      <c r="A24" s="21" t="inlineStr">
        <is>
          <t>Product/Project · Employee Master</t>
        </is>
      </c>
      <c r="B24" s="210" t="n"/>
      <c r="C24" s="210" t="n"/>
      <c r="D24" s="210" t="n"/>
      <c r="E24" s="209" t="n"/>
      <c r="F24" s="21" t="inlineStr">
        <is>
          <t>Engineering &amp; Development</t>
        </is>
      </c>
      <c r="G24" s="210" t="n"/>
      <c r="H24" s="210" t="n"/>
      <c r="I24" s="210" t="n"/>
      <c r="J24" s="209" t="n"/>
      <c r="K24" s="23" t="n">
        <v>3</v>
      </c>
      <c r="L24" s="21" t="inlineStr">
        <is>
          <t>Split and regrouped</t>
        </is>
      </c>
      <c r="M24" s="210" t="n"/>
      <c r="N24" s="209" t="n"/>
    </row>
    <row r="25" ht="15" customHeight="1">
      <c r="A25" s="18" t="inlineStr">
        <is>
          <t>Marketing &amp; Communications</t>
        </is>
      </c>
      <c r="B25" s="210" t="n"/>
      <c r="C25" s="210" t="n"/>
      <c r="D25" s="210" t="n"/>
      <c r="E25" s="209" t="n"/>
      <c r="F25" s="18" t="inlineStr">
        <is>
          <t>Marketing &amp; Communications</t>
        </is>
      </c>
      <c r="G25" s="210" t="n"/>
      <c r="H25" s="210" t="n"/>
      <c r="I25" s="210" t="n"/>
      <c r="J25" s="209" t="n"/>
      <c r="K25" s="20" t="n">
        <v>2</v>
      </c>
      <c r="L25" s="18" t="inlineStr">
        <is>
          <t>Unchanged; others joined it</t>
        </is>
      </c>
      <c r="M25" s="210" t="n"/>
      <c r="N25" s="209" t="n"/>
    </row>
    <row r="26" ht="15" customHeight="1">
      <c r="A26" s="21" t="inlineStr">
        <is>
          <t>Not recorded · Employee Master</t>
        </is>
      </c>
      <c r="B26" s="210" t="n"/>
      <c r="C26" s="210" t="n"/>
      <c r="D26" s="210" t="n"/>
      <c r="E26" s="209" t="n"/>
      <c r="F26" s="21" t="inlineStr">
        <is>
          <t>Unassigned</t>
        </is>
      </c>
      <c r="G26" s="210" t="n"/>
      <c r="H26" s="210" t="n"/>
      <c r="I26" s="210" t="n"/>
      <c r="J26" s="209" t="n"/>
      <c r="K26" s="23" t="n">
        <v>2</v>
      </c>
      <c r="L26" s="21" t="inlineStr">
        <is>
          <t>Split into several</t>
        </is>
      </c>
      <c r="M26" s="210" t="n"/>
      <c r="N26" s="209" t="n"/>
    </row>
    <row r="27" ht="15" customHeight="1">
      <c r="A27" s="18" t="inlineStr">
        <is>
          <t>Product Management</t>
        </is>
      </c>
      <c r="B27" s="210" t="n"/>
      <c r="C27" s="210" t="n"/>
      <c r="D27" s="210" t="n"/>
      <c r="E27" s="209" t="n"/>
      <c r="F27" s="18" t="inlineStr">
        <is>
          <t>Product Management</t>
        </is>
      </c>
      <c r="G27" s="210" t="n"/>
      <c r="H27" s="210" t="n"/>
      <c r="I27" s="210" t="n"/>
      <c r="J27" s="209" t="n"/>
      <c r="K27" s="20" t="n">
        <v>2</v>
      </c>
      <c r="L27" s="18" t="inlineStr">
        <is>
          <t>Unchanged; others joined it</t>
        </is>
      </c>
      <c r="M27" s="210" t="n"/>
      <c r="N27" s="209" t="n"/>
    </row>
    <row r="28" ht="15" customHeight="1">
      <c r="A28" s="18" t="inlineStr">
        <is>
          <t>Sales &amp; Business Development</t>
        </is>
      </c>
      <c r="B28" s="210" t="n"/>
      <c r="C28" s="210" t="n"/>
      <c r="D28" s="210" t="n"/>
      <c r="E28" s="209" t="n"/>
      <c r="F28" s="18" t="inlineStr">
        <is>
          <t>Sales &amp; Business Development</t>
        </is>
      </c>
      <c r="G28" s="210" t="n"/>
      <c r="H28" s="210" t="n"/>
      <c r="I28" s="210" t="n"/>
      <c r="J28" s="209" t="n"/>
      <c r="K28" s="20" t="n">
        <v>2</v>
      </c>
      <c r="L28" s="18" t="inlineStr">
        <is>
          <t>Unchanged; others joined it</t>
        </is>
      </c>
      <c r="M28" s="210" t="n"/>
      <c r="N28" s="209" t="n"/>
    </row>
    <row r="29" ht="15" customHeight="1">
      <c r="A29" s="21" t="inlineStr">
        <is>
          <t>Sales, Marketing &amp; Support · Employee Master</t>
        </is>
      </c>
      <c r="B29" s="210" t="n"/>
      <c r="C29" s="210" t="n"/>
      <c r="D29" s="210" t="n"/>
      <c r="E29" s="209" t="n"/>
      <c r="F29" s="21" t="inlineStr">
        <is>
          <t>Marketing &amp; Communications</t>
        </is>
      </c>
      <c r="G29" s="210" t="n"/>
      <c r="H29" s="210" t="n"/>
      <c r="I29" s="210" t="n"/>
      <c r="J29" s="209" t="n"/>
      <c r="K29" s="23" t="n">
        <v>2</v>
      </c>
      <c r="L29" s="21" t="inlineStr">
        <is>
          <t>Split and regrouped</t>
        </is>
      </c>
      <c r="M29" s="210" t="n"/>
      <c r="N29" s="209" t="n"/>
    </row>
    <row r="30" ht="15" customHeight="1">
      <c r="A30" s="21" t="inlineStr">
        <is>
          <t>Customer Success &amp; Support</t>
        </is>
      </c>
      <c r="B30" s="210" t="n"/>
      <c r="C30" s="210" t="n"/>
      <c r="D30" s="210" t="n"/>
      <c r="E30" s="209" t="n"/>
      <c r="F30" s="21" t="inlineStr">
        <is>
          <t>Executive Leadership</t>
        </is>
      </c>
      <c r="G30" s="210" t="n"/>
      <c r="H30" s="210" t="n"/>
      <c r="I30" s="210" t="n"/>
      <c r="J30" s="209" t="n"/>
      <c r="K30" s="23" t="n">
        <v>1</v>
      </c>
      <c r="L30" s="21" t="inlineStr">
        <is>
          <t>Renamed</t>
        </is>
      </c>
      <c r="M30" s="210" t="n"/>
      <c r="N30" s="209" t="n"/>
    </row>
    <row r="31" ht="15" customHeight="1">
      <c r="A31" s="18" t="inlineStr">
        <is>
          <t>Engineering &amp; Architecture</t>
        </is>
      </c>
      <c r="B31" s="210" t="n"/>
      <c r="C31" s="210" t="n"/>
      <c r="D31" s="210" t="n"/>
      <c r="E31" s="209" t="n"/>
      <c r="F31" s="18" t="inlineStr">
        <is>
          <t>Engineering &amp; Architecture</t>
        </is>
      </c>
      <c r="G31" s="210" t="n"/>
      <c r="H31" s="210" t="n"/>
      <c r="I31" s="210" t="n"/>
      <c r="J31" s="209" t="n"/>
      <c r="K31" s="20" t="n">
        <v>1</v>
      </c>
      <c r="L31" s="18" t="inlineStr">
        <is>
          <t>Unchanged</t>
        </is>
      </c>
      <c r="M31" s="210" t="n"/>
      <c r="N31" s="209" t="n"/>
    </row>
    <row r="32" ht="15" customHeight="1">
      <c r="A32" s="21" t="inlineStr">
        <is>
          <t>Executive Leadership</t>
        </is>
      </c>
      <c r="B32" s="210" t="n"/>
      <c r="C32" s="210" t="n"/>
      <c r="D32" s="210" t="n"/>
      <c r="E32" s="209" t="n"/>
      <c r="F32" s="21" t="inlineStr">
        <is>
          <t>Sales &amp; Business Development</t>
        </is>
      </c>
      <c r="G32" s="210" t="n"/>
      <c r="H32" s="210" t="n"/>
      <c r="I32" s="210" t="n"/>
      <c r="J32" s="209" t="n"/>
      <c r="K32" s="23" t="n">
        <v>1</v>
      </c>
      <c r="L32" s="21" t="inlineStr">
        <is>
          <t>Merged with others</t>
        </is>
      </c>
      <c r="M32" s="210" t="n"/>
      <c r="N32" s="209" t="n"/>
    </row>
    <row r="33" ht="15" customHeight="1">
      <c r="A33" s="21" t="inlineStr">
        <is>
          <t>Not recorded · Employee Master</t>
        </is>
      </c>
      <c r="B33" s="210" t="n"/>
      <c r="C33" s="210" t="n"/>
      <c r="D33" s="210" t="n"/>
      <c r="E33" s="209" t="n"/>
      <c r="F33" s="21" t="inlineStr">
        <is>
          <t>Product Management</t>
        </is>
      </c>
      <c r="G33" s="210" t="n"/>
      <c r="H33" s="210" t="n"/>
      <c r="I33" s="210" t="n"/>
      <c r="J33" s="209" t="n"/>
      <c r="K33" s="23" t="n">
        <v>1</v>
      </c>
      <c r="L33" s="21" t="inlineStr">
        <is>
          <t>Split and regrouped</t>
        </is>
      </c>
      <c r="M33" s="210" t="n"/>
      <c r="N33" s="209" t="n"/>
    </row>
    <row r="34" ht="15" customHeight="1">
      <c r="A34" s="21" t="inlineStr">
        <is>
          <t>Product/Project · Employee Master</t>
        </is>
      </c>
      <c r="B34" s="210" t="n"/>
      <c r="C34" s="210" t="n"/>
      <c r="D34" s="210" t="n"/>
      <c r="E34" s="209" t="n"/>
      <c r="F34" s="21" t="inlineStr">
        <is>
          <t>Design &amp; Creative</t>
        </is>
      </c>
      <c r="G34" s="210" t="n"/>
      <c r="H34" s="210" t="n"/>
      <c r="I34" s="210" t="n"/>
      <c r="J34" s="209" t="n"/>
      <c r="K34" s="23" t="n">
        <v>1</v>
      </c>
      <c r="L34" s="21" t="inlineStr">
        <is>
          <t>Split and regrouped</t>
        </is>
      </c>
      <c r="M34" s="210" t="n"/>
      <c r="N34" s="209" t="n"/>
    </row>
    <row r="35" ht="15" customHeight="1">
      <c r="A35" s="21" t="inlineStr">
        <is>
          <t>Product/Project · Employee Master</t>
        </is>
      </c>
      <c r="B35" s="210" t="n"/>
      <c r="C35" s="210" t="n"/>
      <c r="D35" s="210" t="n"/>
      <c r="E35" s="209" t="n"/>
      <c r="F35" s="21" t="inlineStr">
        <is>
          <t>Quality Assurance</t>
        </is>
      </c>
      <c r="G35" s="210" t="n"/>
      <c r="H35" s="210" t="n"/>
      <c r="I35" s="210" t="n"/>
      <c r="J35" s="209" t="n"/>
      <c r="K35" s="23" t="n">
        <v>1</v>
      </c>
      <c r="L35" s="21" t="inlineStr">
        <is>
          <t>Split and regrouped</t>
        </is>
      </c>
      <c r="M35" s="210" t="n"/>
      <c r="N35" s="209" t="n"/>
    </row>
    <row r="36" ht="15" customHeight="1">
      <c r="A36" s="18" t="inlineStr">
        <is>
          <t>Quality Assurance</t>
        </is>
      </c>
      <c r="B36" s="210" t="n"/>
      <c r="C36" s="210" t="n"/>
      <c r="D36" s="210" t="n"/>
      <c r="E36" s="209" t="n"/>
      <c r="F36" s="18" t="inlineStr">
        <is>
          <t>Quality Assurance</t>
        </is>
      </c>
      <c r="G36" s="210" t="n"/>
      <c r="H36" s="210" t="n"/>
      <c r="I36" s="210" t="n"/>
      <c r="J36" s="209" t="n"/>
      <c r="K36" s="20" t="n">
        <v>1</v>
      </c>
      <c r="L36" s="18" t="inlineStr">
        <is>
          <t>Unchanged; others joined it</t>
        </is>
      </c>
      <c r="M36" s="210" t="n"/>
      <c r="N36" s="209" t="n"/>
    </row>
    <row r="37" ht="15" customHeight="1">
      <c r="A37" s="21" t="inlineStr">
        <is>
          <t>Sales, Marketing &amp; Support · Employee Master</t>
        </is>
      </c>
      <c r="B37" s="210" t="n"/>
      <c r="C37" s="210" t="n"/>
      <c r="D37" s="210" t="n"/>
      <c r="E37" s="209" t="n"/>
      <c r="F37" s="21" t="inlineStr">
        <is>
          <t>Data &amp; Analytics</t>
        </is>
      </c>
      <c r="G37" s="210" t="n"/>
      <c r="H37" s="210" t="n"/>
      <c r="I37" s="210" t="n"/>
      <c r="J37" s="209" t="n"/>
      <c r="K37" s="23" t="n">
        <v>1</v>
      </c>
      <c r="L37" s="21" t="inlineStr">
        <is>
          <t>Split into several</t>
        </is>
      </c>
      <c r="M37" s="210" t="n"/>
      <c r="N37" s="209" t="n"/>
    </row>
    <row r="38" ht="15" customHeight="1">
      <c r="A38" s="21" t="inlineStr">
        <is>
          <t>Sales, Marketing &amp; Support · Employee Master</t>
        </is>
      </c>
      <c r="B38" s="210" t="n"/>
      <c r="C38" s="210" t="n"/>
      <c r="D38" s="210" t="n"/>
      <c r="E38" s="209" t="n"/>
      <c r="F38" s="21" t="inlineStr">
        <is>
          <t>Design &amp; Creative</t>
        </is>
      </c>
      <c r="G38" s="210" t="n"/>
      <c r="H38" s="210" t="n"/>
      <c r="I38" s="210" t="n"/>
      <c r="J38" s="209" t="n"/>
      <c r="K38" s="23" t="n">
        <v>1</v>
      </c>
      <c r="L38" s="21" t="inlineStr">
        <is>
          <t>Split and regrouped</t>
        </is>
      </c>
      <c r="M38" s="210" t="n"/>
      <c r="N38" s="209" t="n"/>
    </row>
    <row r="39" ht="15" customHeight="1">
      <c r="A39" s="21" t="inlineStr">
        <is>
          <t>Sales, Marketing &amp; Support · Employee Master</t>
        </is>
      </c>
      <c r="B39" s="210" t="n"/>
      <c r="C39" s="210" t="n"/>
      <c r="D39" s="210" t="n"/>
      <c r="E39" s="209" t="n"/>
      <c r="F39" s="21" t="inlineStr">
        <is>
          <t>Sales &amp; Business Development</t>
        </is>
      </c>
      <c r="G39" s="210" t="n"/>
      <c r="H39" s="210" t="n"/>
      <c r="I39" s="210" t="n"/>
      <c r="J39" s="209" t="n"/>
      <c r="K39" s="23" t="n">
        <v>1</v>
      </c>
      <c r="L39" s="21" t="inlineStr">
        <is>
          <t>Split and regrouped</t>
        </is>
      </c>
      <c r="M39" s="210" t="n"/>
      <c r="N39" s="209" t="n"/>
    </row>
    <row r="40" ht="15" customHeight="1"/>
    <row r="41" ht="15" customHeight="1">
      <c r="A41" s="17" t="inlineStr">
        <is>
          <t>2b. Sub-families — old → new · the 30 largest moves; sheet 10 §2 lists every sub-family</t>
        </is>
      </c>
    </row>
    <row r="42" ht="15" customHeight="1">
      <c r="A42" s="12" t="inlineStr">
        <is>
          <t>Old sub-family</t>
        </is>
      </c>
      <c r="B42" s="210" t="n"/>
      <c r="C42" s="210" t="n"/>
      <c r="D42" s="210" t="n"/>
      <c r="E42" s="209" t="n"/>
      <c r="F42" s="12" t="inlineStr">
        <is>
          <t>New sub-family</t>
        </is>
      </c>
      <c r="G42" s="210" t="n"/>
      <c r="H42" s="210" t="n"/>
      <c r="I42" s="210" t="n"/>
      <c r="J42" s="209" t="n"/>
      <c r="K42" s="12" t="inlineStr">
        <is>
          <t>People</t>
        </is>
      </c>
      <c r="L42" s="12" t="inlineStr">
        <is>
          <t>What happened</t>
        </is>
      </c>
      <c r="M42" s="210" t="n"/>
      <c r="N42" s="209" t="n"/>
    </row>
    <row r="43" ht="15" customHeight="1">
      <c r="A43" s="16" t="inlineStr">
        <is>
          <t>Program Management</t>
        </is>
      </c>
      <c r="B43" s="210" t="n"/>
      <c r="C43" s="210" t="n"/>
      <c r="D43" s="210" t="n"/>
      <c r="E43" s="209" t="n"/>
      <c r="F43" s="16" t="inlineStr">
        <is>
          <t>Field Outreach &amp; Programme Sales</t>
        </is>
      </c>
      <c r="G43" s="210" t="n"/>
      <c r="H43" s="210" t="n"/>
      <c r="I43" s="210" t="n"/>
      <c r="J43" s="209" t="n"/>
      <c r="K43" s="15" t="n">
        <v>4</v>
      </c>
      <c r="L43" s="16" t="inlineStr">
        <is>
          <t>Merged with others</t>
        </is>
      </c>
      <c r="M43" s="210" t="n"/>
      <c r="N43" s="209" t="n"/>
    </row>
    <row r="44" ht="15" customHeight="1">
      <c r="A44" s="16" t="inlineStr">
        <is>
          <t>Client Engagement · Employee Master</t>
        </is>
      </c>
      <c r="B44" s="210" t="n"/>
      <c r="C44" s="210" t="n"/>
      <c r="D44" s="210" t="n"/>
      <c r="E44" s="209" t="n"/>
      <c r="F44" s="16" t="inlineStr">
        <is>
          <t>Product Management</t>
        </is>
      </c>
      <c r="G44" s="210" t="n"/>
      <c r="H44" s="210" t="n"/>
      <c r="I44" s="210" t="n"/>
      <c r="J44" s="209" t="n"/>
      <c r="K44" s="15" t="n">
        <v>3</v>
      </c>
      <c r="L44" s="16" t="inlineStr">
        <is>
          <t>Merged with others</t>
        </is>
      </c>
      <c r="M44" s="210" t="n"/>
      <c r="N44" s="209" t="n"/>
    </row>
    <row r="45" ht="15" customHeight="1">
      <c r="A45" s="16" t="inlineStr">
        <is>
          <t>Development · Employee Master</t>
        </is>
      </c>
      <c r="B45" s="210" t="n"/>
      <c r="C45" s="210" t="n"/>
      <c r="D45" s="210" t="n"/>
      <c r="E45" s="209" t="n"/>
      <c r="F45" s="16" t="inlineStr">
        <is>
          <t>Backend Development</t>
        </is>
      </c>
      <c r="G45" s="210" t="n"/>
      <c r="H45" s="210" t="n"/>
      <c r="I45" s="210" t="n"/>
      <c r="J45" s="209" t="n"/>
      <c r="K45" s="15" t="n">
        <v>3</v>
      </c>
      <c r="L45" s="16" t="inlineStr">
        <is>
          <t>Split and regrouped</t>
        </is>
      </c>
      <c r="M45" s="210" t="n"/>
      <c r="N45" s="209" t="n"/>
    </row>
    <row r="46" ht="15" customHeight="1">
      <c r="A46" s="16" t="inlineStr">
        <is>
          <t>Backend Engineering · Java</t>
        </is>
      </c>
      <c r="B46" s="210" t="n"/>
      <c r="C46" s="210" t="n"/>
      <c r="D46" s="210" t="n"/>
      <c r="E46" s="209" t="n"/>
      <c r="F46" s="16" t="inlineStr">
        <is>
          <t>Backend Development</t>
        </is>
      </c>
      <c r="G46" s="210" t="n"/>
      <c r="H46" s="210" t="n"/>
      <c r="I46" s="210" t="n"/>
      <c r="J46" s="209" t="n"/>
      <c r="K46" s="15" t="n">
        <v>2</v>
      </c>
      <c r="L46" s="16" t="inlineStr">
        <is>
          <t>Merged with others</t>
        </is>
      </c>
      <c r="M46" s="210" t="n"/>
      <c r="N46" s="209" t="n"/>
    </row>
    <row r="47" ht="15" customHeight="1">
      <c r="A47" s="16" t="inlineStr">
        <is>
          <t>Backend Engineering · Python</t>
        </is>
      </c>
      <c r="B47" s="210" t="n"/>
      <c r="C47" s="210" t="n"/>
      <c r="D47" s="210" t="n"/>
      <c r="E47" s="209" t="n"/>
      <c r="F47" s="16" t="inlineStr">
        <is>
          <t>Backend Development</t>
        </is>
      </c>
      <c r="G47" s="210" t="n"/>
      <c r="H47" s="210" t="n"/>
      <c r="I47" s="210" t="n"/>
      <c r="J47" s="209" t="n"/>
      <c r="K47" s="15" t="n">
        <v>2</v>
      </c>
      <c r="L47" s="16" t="inlineStr">
        <is>
          <t>Merged with others</t>
        </is>
      </c>
      <c r="M47" s="210" t="n"/>
      <c r="N47" s="209" t="n"/>
    </row>
    <row r="48" ht="15" customHeight="1">
      <c r="A48" s="16" t="inlineStr">
        <is>
          <t>Not recorded · Employee Master</t>
        </is>
      </c>
      <c r="B48" s="210" t="n"/>
      <c r="C48" s="210" t="n"/>
      <c r="D48" s="210" t="n"/>
      <c r="E48" s="209" t="n"/>
      <c r="F48" s="16" t="inlineStr">
        <is>
          <t>Role not recorded · external consultant</t>
        </is>
      </c>
      <c r="G48" s="210" t="n"/>
      <c r="H48" s="210" t="n"/>
      <c r="I48" s="210" t="n"/>
      <c r="J48" s="209" t="n"/>
      <c r="K48" s="15" t="n">
        <v>2</v>
      </c>
      <c r="L48" s="16" t="inlineStr">
        <is>
          <t>Renamed</t>
        </is>
      </c>
      <c r="M48" s="210" t="n"/>
      <c r="N48" s="209" t="n"/>
    </row>
    <row r="49" ht="15" customHeight="1">
      <c r="A49" s="16" t="inlineStr">
        <is>
          <t>Product Management</t>
        </is>
      </c>
      <c r="B49" s="210" t="n"/>
      <c r="C49" s="210" t="n"/>
      <c r="D49" s="210" t="n"/>
      <c r="E49" s="209" t="n"/>
      <c r="F49" s="16" t="inlineStr">
        <is>
          <t>Product Management</t>
        </is>
      </c>
      <c r="G49" s="210" t="n"/>
      <c r="H49" s="210" t="n"/>
      <c r="I49" s="210" t="n"/>
      <c r="J49" s="209" t="n"/>
      <c r="K49" s="15" t="n">
        <v>2</v>
      </c>
      <c r="L49" s="16" t="inlineStr">
        <is>
          <t>Unchanged; others joined it</t>
        </is>
      </c>
      <c r="M49" s="210" t="n"/>
      <c r="N49" s="209" t="n"/>
    </row>
    <row r="50" ht="15" customHeight="1">
      <c r="A50" s="16" t="inlineStr">
        <is>
          <t>Sales Development · SDR</t>
        </is>
      </c>
      <c r="B50" s="210" t="n"/>
      <c r="C50" s="210" t="n"/>
      <c r="D50" s="210" t="n"/>
      <c r="E50" s="209" t="n"/>
      <c r="F50" s="16" t="inlineStr">
        <is>
          <t>Field Outreach &amp; Programme Sales</t>
        </is>
      </c>
      <c r="G50" s="210" t="n"/>
      <c r="H50" s="210" t="n"/>
      <c r="I50" s="210" t="n"/>
      <c r="J50" s="209" t="n"/>
      <c r="K50" s="15" t="n">
        <v>2</v>
      </c>
      <c r="L50" s="16" t="inlineStr">
        <is>
          <t>Merged with others</t>
        </is>
      </c>
      <c r="M50" s="210" t="n"/>
      <c r="N50" s="209" t="n"/>
    </row>
    <row r="51" ht="15" customHeight="1">
      <c r="A51" s="16" t="inlineStr">
        <is>
          <t>Business / Functional Leadership</t>
        </is>
      </c>
      <c r="B51" s="210" t="n"/>
      <c r="C51" s="210" t="n"/>
      <c r="D51" s="210" t="n"/>
      <c r="E51" s="209" t="n"/>
      <c r="F51" s="16" t="inlineStr">
        <is>
          <t>Field Outreach &amp; Programme Sales</t>
        </is>
      </c>
      <c r="G51" s="210" t="n"/>
      <c r="H51" s="210" t="n"/>
      <c r="I51" s="210" t="n"/>
      <c r="J51" s="209" t="n"/>
      <c r="K51" s="15" t="n">
        <v>1</v>
      </c>
      <c r="L51" s="16" t="inlineStr">
        <is>
          <t>Merged with others</t>
        </is>
      </c>
      <c r="M51" s="210" t="n"/>
      <c r="N51" s="209" t="n"/>
    </row>
    <row r="52" ht="15" customHeight="1">
      <c r="A52" s="16" t="inlineStr">
        <is>
          <t>Client / Product Support</t>
        </is>
      </c>
      <c r="B52" s="210" t="n"/>
      <c r="C52" s="210" t="n"/>
      <c r="D52" s="210" t="n"/>
      <c r="E52" s="209" t="n"/>
      <c r="F52" s="16" t="inlineStr">
        <is>
          <t>Business &amp; Functional Leadership</t>
        </is>
      </c>
      <c r="G52" s="210" t="n"/>
      <c r="H52" s="210" t="n"/>
      <c r="I52" s="210" t="n"/>
      <c r="J52" s="209" t="n"/>
      <c r="K52" s="15" t="n">
        <v>1</v>
      </c>
      <c r="L52" s="16" t="inlineStr">
        <is>
          <t>Renamed</t>
        </is>
      </c>
      <c r="M52" s="210" t="n"/>
      <c r="N52" s="209" t="n"/>
    </row>
    <row r="53" ht="15" customHeight="1">
      <c r="A53" s="16" t="inlineStr">
        <is>
          <t>Content Marketing</t>
        </is>
      </c>
      <c r="B53" s="210" t="n"/>
      <c r="C53" s="210" t="n"/>
      <c r="D53" s="210" t="n"/>
      <c r="E53" s="209" t="n"/>
      <c r="F53" s="16" t="inlineStr">
        <is>
          <t>Content Marketing</t>
        </is>
      </c>
      <c r="G53" s="210" t="n"/>
      <c r="H53" s="210" t="n"/>
      <c r="I53" s="210" t="n"/>
      <c r="J53" s="209" t="n"/>
      <c r="K53" s="15" t="n">
        <v>1</v>
      </c>
      <c r="L53" s="16" t="inlineStr">
        <is>
          <t>Unchanged</t>
        </is>
      </c>
      <c r="M53" s="210" t="n"/>
      <c r="N53" s="209" t="n"/>
    </row>
    <row r="54" ht="15" customHeight="1">
      <c r="A54" s="16" t="inlineStr">
        <is>
          <t>Demand Generation / Brand</t>
        </is>
      </c>
      <c r="B54" s="210" t="n"/>
      <c r="C54" s="210" t="n"/>
      <c r="D54" s="210" t="n"/>
      <c r="E54" s="209" t="n"/>
      <c r="F54" s="16" t="inlineStr">
        <is>
          <t>Marketing Leadership</t>
        </is>
      </c>
      <c r="G54" s="210" t="n"/>
      <c r="H54" s="210" t="n"/>
      <c r="I54" s="210" t="n"/>
      <c r="J54" s="209" t="n"/>
      <c r="K54" s="15" t="n">
        <v>1</v>
      </c>
      <c r="L54" s="16" t="inlineStr">
        <is>
          <t>Renamed</t>
        </is>
      </c>
      <c r="M54" s="210" t="n"/>
      <c r="N54" s="209" t="n"/>
    </row>
    <row r="55" ht="15" customHeight="1">
      <c r="A55" s="16" t="inlineStr">
        <is>
          <t>Development · Employee Master</t>
        </is>
      </c>
      <c r="B55" s="210" t="n"/>
      <c r="C55" s="210" t="n"/>
      <c r="D55" s="210" t="n"/>
      <c r="E55" s="209" t="n"/>
      <c r="F55" s="16" t="inlineStr">
        <is>
          <t>Product Operations &amp; Research</t>
        </is>
      </c>
      <c r="G55" s="210" t="n"/>
      <c r="H55" s="210" t="n"/>
      <c r="I55" s="210" t="n"/>
      <c r="J55" s="209" t="n"/>
      <c r="K55" s="15" t="n">
        <v>1</v>
      </c>
      <c r="L55" s="16" t="inlineStr">
        <is>
          <t>Split into several</t>
        </is>
      </c>
      <c r="M55" s="210" t="n"/>
      <c r="N55" s="209" t="n"/>
    </row>
    <row r="56" ht="15" customHeight="1">
      <c r="A56" s="16" t="inlineStr">
        <is>
          <t>Development · Employee Master</t>
        </is>
      </c>
      <c r="B56" s="210" t="n"/>
      <c r="C56" s="210" t="n"/>
      <c r="D56" s="210" t="n"/>
      <c r="E56" s="209" t="n"/>
      <c r="F56" s="16" t="inlineStr">
        <is>
          <t>UX / UI Design</t>
        </is>
      </c>
      <c r="G56" s="210" t="n"/>
      <c r="H56" s="210" t="n"/>
      <c r="I56" s="210" t="n"/>
      <c r="J56" s="209" t="n"/>
      <c r="K56" s="15" t="n">
        <v>1</v>
      </c>
      <c r="L56" s="16" t="inlineStr">
        <is>
          <t>Split into several</t>
        </is>
      </c>
      <c r="M56" s="210" t="n"/>
      <c r="N56" s="209" t="n"/>
    </row>
    <row r="57" ht="15" customHeight="1">
      <c r="A57" s="16" t="inlineStr">
        <is>
          <t>Marketing · Employee Master</t>
        </is>
      </c>
      <c r="B57" s="210" t="n"/>
      <c r="C57" s="210" t="n"/>
      <c r="D57" s="210" t="n"/>
      <c r="E57" s="209" t="n"/>
      <c r="F57" s="16" t="inlineStr">
        <is>
          <t>Brand, Graphic &amp; Video Design</t>
        </is>
      </c>
      <c r="G57" s="210" t="n"/>
      <c r="H57" s="210" t="n"/>
      <c r="I57" s="210" t="n"/>
      <c r="J57" s="209" t="n"/>
      <c r="K57" s="15" t="n">
        <v>1</v>
      </c>
      <c r="L57" s="16" t="inlineStr">
        <is>
          <t>Split into several</t>
        </is>
      </c>
      <c r="M57" s="210" t="n"/>
      <c r="N57" s="209" t="n"/>
    </row>
    <row r="58" ht="15" customHeight="1">
      <c r="A58" s="16" t="inlineStr">
        <is>
          <t>Marketing · Employee Master</t>
        </is>
      </c>
      <c r="B58" s="210" t="n"/>
      <c r="C58" s="210" t="n"/>
      <c r="D58" s="210" t="n"/>
      <c r="E58" s="209" t="n"/>
      <c r="F58" s="16" t="inlineStr">
        <is>
          <t>Digital Marketing, Web &amp; Social</t>
        </is>
      </c>
      <c r="G58" s="210" t="n"/>
      <c r="H58" s="210" t="n"/>
      <c r="I58" s="210" t="n"/>
      <c r="J58" s="209" t="n"/>
      <c r="K58" s="15" t="n">
        <v>1</v>
      </c>
      <c r="L58" s="16" t="inlineStr">
        <is>
          <t>Split into several</t>
        </is>
      </c>
      <c r="M58" s="210" t="n"/>
      <c r="N58" s="209" t="n"/>
    </row>
    <row r="59" ht="15" customHeight="1">
      <c r="A59" s="16" t="inlineStr">
        <is>
          <t>Marketing · Employee Master</t>
        </is>
      </c>
      <c r="B59" s="210" t="n"/>
      <c r="C59" s="210" t="n"/>
      <c r="D59" s="210" t="n"/>
      <c r="E59" s="209" t="n"/>
      <c r="F59" s="16" t="inlineStr">
        <is>
          <t>Marketing · role not recorded</t>
        </is>
      </c>
      <c r="G59" s="210" t="n"/>
      <c r="H59" s="210" t="n"/>
      <c r="I59" s="210" t="n"/>
      <c r="J59" s="209" t="n"/>
      <c r="K59" s="15" t="n">
        <v>1</v>
      </c>
      <c r="L59" s="16" t="inlineStr">
        <is>
          <t>Split into several</t>
        </is>
      </c>
      <c r="M59" s="210" t="n"/>
      <c r="N59" s="209" t="n"/>
    </row>
    <row r="60" ht="15" customHeight="1">
      <c r="A60" s="16" t="inlineStr">
        <is>
          <t>Quality Assurance · Employee Master</t>
        </is>
      </c>
      <c r="B60" s="210" t="n"/>
      <c r="C60" s="210" t="n"/>
      <c r="D60" s="210" t="n"/>
      <c r="E60" s="209" t="n"/>
      <c r="F60" s="16" t="inlineStr">
        <is>
          <t>Test Automation</t>
        </is>
      </c>
      <c r="G60" s="210" t="n"/>
      <c r="H60" s="210" t="n"/>
      <c r="I60" s="210" t="n"/>
      <c r="J60" s="209" t="n"/>
      <c r="K60" s="15" t="n">
        <v>1</v>
      </c>
      <c r="L60" s="16" t="inlineStr">
        <is>
          <t>Renamed</t>
        </is>
      </c>
      <c r="M60" s="210" t="n"/>
      <c r="N60" s="209" t="n"/>
    </row>
    <row r="61" ht="15" customHeight="1">
      <c r="A61" s="16" t="inlineStr">
        <is>
          <t>Quality Engineering</t>
        </is>
      </c>
      <c r="B61" s="210" t="n"/>
      <c r="C61" s="210" t="n"/>
      <c r="D61" s="210" t="n"/>
      <c r="E61" s="209" t="n"/>
      <c r="F61" s="16" t="inlineStr">
        <is>
          <t>Functional &amp; Domain Testing</t>
        </is>
      </c>
      <c r="G61" s="210" t="n"/>
      <c r="H61" s="210" t="n"/>
      <c r="I61" s="210" t="n"/>
      <c r="J61" s="209" t="n"/>
      <c r="K61" s="15" t="n">
        <v>1</v>
      </c>
      <c r="L61" s="16" t="inlineStr">
        <is>
          <t>Renamed</t>
        </is>
      </c>
      <c r="M61" s="210" t="n"/>
      <c r="N61" s="209" t="n"/>
    </row>
    <row r="62" ht="15" customHeight="1">
      <c r="A62" s="16" t="inlineStr">
        <is>
          <t>Sales · Employee Master</t>
        </is>
      </c>
      <c r="B62" s="210" t="n"/>
      <c r="C62" s="210" t="n"/>
      <c r="D62" s="210" t="n"/>
      <c r="E62" s="209" t="n"/>
      <c r="F62" s="16" t="inlineStr">
        <is>
          <t>MIS &amp; Business Reporting</t>
        </is>
      </c>
      <c r="G62" s="210" t="n"/>
      <c r="H62" s="210" t="n"/>
      <c r="I62" s="210" t="n"/>
      <c r="J62" s="209" t="n"/>
      <c r="K62" s="15" t="n">
        <v>1</v>
      </c>
      <c r="L62" s="16" t="inlineStr">
        <is>
          <t>Split into several</t>
        </is>
      </c>
      <c r="M62" s="210" t="n"/>
      <c r="N62" s="209" t="n"/>
    </row>
    <row r="63" ht="15" customHeight="1">
      <c r="A63" s="16" t="inlineStr">
        <is>
          <t>Sales · Employee Master</t>
        </is>
      </c>
      <c r="B63" s="210" t="n"/>
      <c r="C63" s="210" t="n"/>
      <c r="D63" s="210" t="n"/>
      <c r="E63" s="209" t="n"/>
      <c r="F63" s="16" t="inlineStr">
        <is>
          <t>Sales Leadership</t>
        </is>
      </c>
      <c r="G63" s="210" t="n"/>
      <c r="H63" s="210" t="n"/>
      <c r="I63" s="210" t="n"/>
      <c r="J63" s="209" t="n"/>
      <c r="K63" s="15" t="n">
        <v>1</v>
      </c>
      <c r="L63" s="16" t="inlineStr">
        <is>
          <t>Split into several</t>
        </is>
      </c>
      <c r="M63" s="210" t="n"/>
      <c r="N63" s="209" t="n"/>
    </row>
    <row r="64" ht="15" customHeight="1">
      <c r="A64" s="16" t="inlineStr">
        <is>
          <t>Solution / Software Architecture</t>
        </is>
      </c>
      <c r="B64" s="210" t="n"/>
      <c r="C64" s="210" t="n"/>
      <c r="D64" s="210" t="n"/>
      <c r="E64" s="209" t="n"/>
      <c r="F64" s="16" t="inlineStr">
        <is>
          <t>Solution &amp; Technical Architecture</t>
        </is>
      </c>
      <c r="G64" s="210" t="n"/>
      <c r="H64" s="210" t="n"/>
      <c r="I64" s="210" t="n"/>
      <c r="J64" s="209" t="n"/>
      <c r="K64" s="15" t="n">
        <v>1</v>
      </c>
      <c r="L64" s="16" t="inlineStr">
        <is>
          <t>Renamed</t>
        </is>
      </c>
      <c r="M64" s="210" t="n"/>
      <c r="N64" s="209" t="n"/>
    </row>
    <row r="65" ht="15" customHeight="1"/>
    <row r="66" ht="20" customHeight="1">
      <c r="A66" s="6" t="inlineStr">
        <is>
          <t>3. Where people sit — band × track</t>
        </is>
      </c>
    </row>
    <row r="67" ht="15" customHeight="1">
      <c r="A67" s="12" t="inlineStr">
        <is>
          <t>Band</t>
        </is>
      </c>
      <c r="B67" s="210" t="n"/>
      <c r="C67" s="209" t="n"/>
      <c r="D67" s="12" t="inlineStr">
        <is>
          <t>IC</t>
        </is>
      </c>
      <c r="E67" s="209" t="n"/>
      <c r="F67" s="12" t="inlineStr">
        <is>
          <t>POD Lead</t>
        </is>
      </c>
      <c r="G67" s="209" t="n"/>
      <c r="H67" s="12" t="inlineStr">
        <is>
          <t>Player-Coach</t>
        </is>
      </c>
      <c r="I67" s="209" t="n"/>
      <c r="J67" s="12" t="inlineStr">
        <is>
          <t>People Manager</t>
        </is>
      </c>
      <c r="K67" s="209" t="n"/>
      <c r="L67" s="12" t="inlineStr">
        <is>
          <t>Consultant</t>
        </is>
      </c>
      <c r="M67" s="209" t="n"/>
      <c r="N67" s="12" t="inlineStr">
        <is>
          <t>Total</t>
        </is>
      </c>
    </row>
    <row r="68" ht="15" customHeight="1">
      <c r="A68" s="24" t="inlineStr">
        <is>
          <t>A</t>
        </is>
      </c>
      <c r="B68" s="210" t="n"/>
      <c r="C68" s="209" t="n"/>
      <c r="D68" s="26" t="n">
        <v>16</v>
      </c>
      <c r="E68" s="209" t="n"/>
      <c r="F68" s="26" t="inlineStr"/>
      <c r="G68" s="209" t="n"/>
      <c r="H68" s="26" t="inlineStr"/>
      <c r="I68" s="209" t="n"/>
      <c r="J68" s="26" t="inlineStr"/>
      <c r="K68" s="209" t="n"/>
      <c r="L68" s="26" t="inlineStr"/>
      <c r="M68" s="209" t="n"/>
      <c r="N68" s="26" t="n">
        <v>16</v>
      </c>
    </row>
    <row r="69" ht="15" customHeight="1">
      <c r="A69" s="27" t="inlineStr">
        <is>
          <t>B</t>
        </is>
      </c>
      <c r="B69" s="210" t="n"/>
      <c r="C69" s="209" t="n"/>
      <c r="D69" s="20" t="n">
        <v>4</v>
      </c>
      <c r="E69" s="209" t="n"/>
      <c r="F69" s="20" t="n">
        <v>3</v>
      </c>
      <c r="G69" s="209" t="n"/>
      <c r="H69" s="20" t="inlineStr"/>
      <c r="I69" s="209" t="n"/>
      <c r="J69" s="20" t="n">
        <v>2</v>
      </c>
      <c r="K69" s="209" t="n"/>
      <c r="L69" s="20" t="inlineStr"/>
      <c r="M69" s="209" t="n"/>
      <c r="N69" s="20" t="n">
        <v>9</v>
      </c>
    </row>
    <row r="70" ht="15" customHeight="1">
      <c r="A70" s="28" t="inlineStr">
        <is>
          <t>B+</t>
        </is>
      </c>
      <c r="B70" s="210" t="n"/>
      <c r="C70" s="209" t="n"/>
      <c r="D70" s="30" t="inlineStr"/>
      <c r="E70" s="209" t="n"/>
      <c r="F70" s="30" t="inlineStr"/>
      <c r="G70" s="209" t="n"/>
      <c r="H70" s="30" t="inlineStr"/>
      <c r="I70" s="209" t="n"/>
      <c r="J70" s="30" t="inlineStr"/>
      <c r="K70" s="209" t="n"/>
      <c r="L70" s="30" t="inlineStr"/>
      <c r="M70" s="209" t="n"/>
      <c r="N70" s="30" t="n">
        <v>0</v>
      </c>
    </row>
    <row r="71" ht="15" customHeight="1">
      <c r="A71" s="31" t="inlineStr">
        <is>
          <t>C</t>
        </is>
      </c>
      <c r="B71" s="210" t="n"/>
      <c r="C71" s="209" t="n"/>
      <c r="D71" s="33" t="n">
        <v>2</v>
      </c>
      <c r="E71" s="209" t="n"/>
      <c r="F71" s="33" t="inlineStr"/>
      <c r="G71" s="209" t="n"/>
      <c r="H71" s="33" t="inlineStr"/>
      <c r="I71" s="209" t="n"/>
      <c r="J71" s="33" t="inlineStr"/>
      <c r="K71" s="209" t="n"/>
      <c r="L71" s="33" t="inlineStr"/>
      <c r="M71" s="209" t="n"/>
      <c r="N71" s="33" t="n">
        <v>2</v>
      </c>
    </row>
    <row r="72" ht="15" customHeight="1">
      <c r="A72" s="34" t="inlineStr">
        <is>
          <t>C+</t>
        </is>
      </c>
      <c r="B72" s="210" t="n"/>
      <c r="C72" s="209" t="n"/>
      <c r="D72" s="36" t="inlineStr"/>
      <c r="E72" s="209" t="n"/>
      <c r="F72" s="36" t="inlineStr"/>
      <c r="G72" s="209" t="n"/>
      <c r="H72" s="36" t="inlineStr"/>
      <c r="I72" s="209" t="n"/>
      <c r="J72" s="36" t="inlineStr"/>
      <c r="K72" s="209" t="n"/>
      <c r="L72" s="36" t="inlineStr"/>
      <c r="M72" s="209" t="n"/>
      <c r="N72" s="36" t="n">
        <v>0</v>
      </c>
    </row>
    <row r="73" ht="15" customHeight="1">
      <c r="A73" s="37" t="inlineStr">
        <is>
          <t>D</t>
        </is>
      </c>
      <c r="B73" s="210" t="n"/>
      <c r="C73" s="209" t="n"/>
      <c r="D73" s="39" t="inlineStr"/>
      <c r="E73" s="209" t="n"/>
      <c r="F73" s="39" t="inlineStr"/>
      <c r="G73" s="209" t="n"/>
      <c r="H73" s="39" t="inlineStr"/>
      <c r="I73" s="209" t="n"/>
      <c r="J73" s="39" t="n">
        <v>1</v>
      </c>
      <c r="K73" s="209" t="n"/>
      <c r="L73" s="39" t="inlineStr"/>
      <c r="M73" s="209" t="n"/>
      <c r="N73" s="39" t="n">
        <v>1</v>
      </c>
    </row>
    <row r="74" ht="15" customHeight="1">
      <c r="A74" s="40" t="inlineStr">
        <is>
          <t>E</t>
        </is>
      </c>
      <c r="B74" s="210" t="n"/>
      <c r="C74" s="209" t="n"/>
      <c r="D74" s="42" t="inlineStr"/>
      <c r="E74" s="209" t="n"/>
      <c r="F74" s="42" t="inlineStr"/>
      <c r="G74" s="209" t="n"/>
      <c r="H74" s="42" t="inlineStr"/>
      <c r="I74" s="209" t="n"/>
      <c r="J74" s="42" t="inlineStr"/>
      <c r="K74" s="209" t="n"/>
      <c r="L74" s="42" t="inlineStr"/>
      <c r="M74" s="209" t="n"/>
      <c r="N74" s="42" t="n">
        <v>0</v>
      </c>
    </row>
    <row r="75" ht="15" customHeight="1">
      <c r="A75" s="43" t="inlineStr">
        <is>
          <t>X</t>
        </is>
      </c>
      <c r="B75" s="210" t="n"/>
      <c r="C75" s="209" t="n"/>
      <c r="D75" s="45" t="inlineStr"/>
      <c r="E75" s="209" t="n"/>
      <c r="F75" s="45" t="inlineStr"/>
      <c r="G75" s="209" t="n"/>
      <c r="H75" s="45" t="inlineStr"/>
      <c r="I75" s="209" t="n"/>
      <c r="J75" s="45" t="inlineStr"/>
      <c r="K75" s="209" t="n"/>
      <c r="L75" s="45" t="n">
        <v>6</v>
      </c>
      <c r="M75" s="209" t="n"/>
      <c r="N75" s="45" t="n">
        <v>6</v>
      </c>
    </row>
    <row r="76" ht="15" customHeight="1">
      <c r="A76" s="46" t="inlineStr">
        <is>
          <t>Total</t>
        </is>
      </c>
      <c r="B76" s="210" t="n"/>
      <c r="C76" s="209" t="n"/>
      <c r="D76" s="47" t="n">
        <v>22</v>
      </c>
      <c r="E76" s="209" t="n"/>
      <c r="F76" s="47" t="n">
        <v>3</v>
      </c>
      <c r="G76" s="209" t="n"/>
      <c r="H76" s="47" t="n">
        <v>0</v>
      </c>
      <c r="I76" s="209" t="n"/>
      <c r="J76" s="47" t="n">
        <v>3</v>
      </c>
      <c r="K76" s="209" t="n"/>
      <c r="L76" s="47" t="n">
        <v>6</v>
      </c>
      <c r="M76" s="209" t="n"/>
      <c r="N76" s="47" t="n">
        <v>34</v>
      </c>
    </row>
    <row r="77" ht="15" customHeight="1"/>
    <row r="78" ht="20" customHeight="1">
      <c r="A78" s="6" t="inlineStr">
        <is>
          <t>4. Levels by department · bottom to top, left to right</t>
        </is>
      </c>
    </row>
    <row r="79" ht="15" customHeight="1">
      <c r="A79" s="12" t="inlineStr">
        <is>
          <t>Department</t>
        </is>
      </c>
      <c r="B79" s="210" t="n"/>
      <c r="C79" s="210" t="n"/>
      <c r="D79" s="210" t="n"/>
      <c r="E79" s="209" t="n"/>
      <c r="F79" s="12" t="inlineStr">
        <is>
          <t>A1</t>
        </is>
      </c>
      <c r="G79" s="12" t="inlineStr">
        <is>
          <t>A2</t>
        </is>
      </c>
      <c r="H79" s="12" t="inlineStr">
        <is>
          <t>A3</t>
        </is>
      </c>
      <c r="I79" s="12" t="inlineStr">
        <is>
          <t>B1</t>
        </is>
      </c>
      <c r="J79" s="12" t="inlineStr">
        <is>
          <t>B2</t>
        </is>
      </c>
      <c r="K79" s="12" t="inlineStr">
        <is>
          <t>C1</t>
        </is>
      </c>
      <c r="L79" s="12" t="inlineStr">
        <is>
          <t>D2</t>
        </is>
      </c>
      <c r="M79" s="12" t="inlineStr">
        <is>
          <t>X1</t>
        </is>
      </c>
      <c r="N79" s="12" t="inlineStr">
        <is>
          <t>Total</t>
        </is>
      </c>
    </row>
    <row r="80" ht="15" customHeight="1">
      <c r="A80" s="13" t="inlineStr">
        <is>
          <t>Datatech - Outreach</t>
        </is>
      </c>
      <c r="B80" s="210" t="n"/>
      <c r="C80" s="210" t="n"/>
      <c r="D80" s="210" t="n"/>
      <c r="E80" s="209" t="n"/>
      <c r="F80" s="15" t="inlineStr"/>
      <c r="G80" s="15" t="n">
        <v>3</v>
      </c>
      <c r="H80" s="15" t="n">
        <v>3</v>
      </c>
      <c r="I80" s="15" t="inlineStr"/>
      <c r="J80" s="15" t="n">
        <v>2</v>
      </c>
      <c r="K80" s="15" t="inlineStr"/>
      <c r="L80" s="15" t="inlineStr"/>
      <c r="M80" s="15" t="inlineStr"/>
      <c r="N80" s="15" t="n">
        <v>8</v>
      </c>
    </row>
    <row r="81" ht="15" customHeight="1">
      <c r="A81" s="13" t="inlineStr">
        <is>
          <t>Datatech Business Head</t>
        </is>
      </c>
      <c r="B81" s="210" t="n"/>
      <c r="C81" s="210" t="n"/>
      <c r="D81" s="210" t="n"/>
      <c r="E81" s="209" t="n"/>
      <c r="F81" s="15" t="inlineStr"/>
      <c r="G81" s="15" t="inlineStr"/>
      <c r="H81" s="15" t="inlineStr"/>
      <c r="I81" s="15" t="inlineStr"/>
      <c r="J81" s="15" t="inlineStr"/>
      <c r="K81" s="15" t="inlineStr"/>
      <c r="L81" s="15" t="n">
        <v>1</v>
      </c>
      <c r="M81" s="15" t="inlineStr"/>
      <c r="N81" s="15" t="n">
        <v>1</v>
      </c>
    </row>
    <row r="82" ht="15" customHeight="1">
      <c r="A82" s="13" t="inlineStr">
        <is>
          <t>Marketing</t>
        </is>
      </c>
      <c r="B82" s="210" t="n"/>
      <c r="C82" s="210" t="n"/>
      <c r="D82" s="210" t="n"/>
      <c r="E82" s="209" t="n"/>
      <c r="F82" s="15" t="inlineStr"/>
      <c r="G82" s="15" t="n">
        <v>1</v>
      </c>
      <c r="H82" s="15" t="n">
        <v>2</v>
      </c>
      <c r="I82" s="15" t="inlineStr"/>
      <c r="J82" s="15" t="n">
        <v>1</v>
      </c>
      <c r="K82" s="15" t="inlineStr"/>
      <c r="L82" s="15" t="inlineStr"/>
      <c r="M82" s="15" t="n">
        <v>1</v>
      </c>
      <c r="N82" s="15" t="n">
        <v>5</v>
      </c>
    </row>
    <row r="83" ht="15" customHeight="1">
      <c r="A83" s="13" t="inlineStr">
        <is>
          <t>Not provided · HRIS</t>
        </is>
      </c>
      <c r="B83" s="210" t="n"/>
      <c r="C83" s="210" t="n"/>
      <c r="D83" s="210" t="n"/>
      <c r="E83" s="209" t="n"/>
      <c r="F83" s="15" t="inlineStr"/>
      <c r="G83" s="15" t="inlineStr"/>
      <c r="H83" s="15" t="inlineStr"/>
      <c r="I83" s="15" t="inlineStr"/>
      <c r="J83" s="15" t="inlineStr"/>
      <c r="K83" s="15" t="inlineStr"/>
      <c r="L83" s="15" t="inlineStr"/>
      <c r="M83" s="15" t="n">
        <v>2</v>
      </c>
      <c r="N83" s="15" t="n">
        <v>2</v>
      </c>
    </row>
    <row r="84" ht="15" customHeight="1">
      <c r="A84" s="13" t="inlineStr">
        <is>
          <t>Product Management</t>
        </is>
      </c>
      <c r="B84" s="210" t="n"/>
      <c r="C84" s="210" t="n"/>
      <c r="D84" s="210" t="n"/>
      <c r="E84" s="209" t="n"/>
      <c r="F84" s="15" t="inlineStr"/>
      <c r="G84" s="15" t="inlineStr"/>
      <c r="H84" s="15" t="inlineStr"/>
      <c r="I84" s="15" t="n">
        <v>2</v>
      </c>
      <c r="J84" s="15" t="n">
        <v>3</v>
      </c>
      <c r="K84" s="15" t="inlineStr"/>
      <c r="L84" s="15" t="inlineStr"/>
      <c r="M84" s="15" t="inlineStr"/>
      <c r="N84" s="15" t="n">
        <v>5</v>
      </c>
    </row>
    <row r="85" ht="15" customHeight="1">
      <c r="A85" s="13" t="inlineStr">
        <is>
          <t>Quality Assurance</t>
        </is>
      </c>
      <c r="B85" s="210" t="n"/>
      <c r="C85" s="210" t="n"/>
      <c r="D85" s="210" t="n"/>
      <c r="E85" s="209" t="n"/>
      <c r="F85" s="15" t="inlineStr"/>
      <c r="G85" s="15" t="inlineStr"/>
      <c r="H85" s="15" t="n">
        <v>2</v>
      </c>
      <c r="I85" s="15" t="inlineStr"/>
      <c r="J85" s="15" t="inlineStr"/>
      <c r="K85" s="15" t="inlineStr"/>
      <c r="L85" s="15" t="inlineStr"/>
      <c r="M85" s="15" t="inlineStr"/>
      <c r="N85" s="15" t="n">
        <v>2</v>
      </c>
    </row>
    <row r="86" ht="15" customHeight="1">
      <c r="A86" s="13" t="inlineStr">
        <is>
          <t>Sales</t>
        </is>
      </c>
      <c r="B86" s="210" t="n"/>
      <c r="C86" s="210" t="n"/>
      <c r="D86" s="210" t="n"/>
      <c r="E86" s="209" t="n"/>
      <c r="F86" s="15" t="inlineStr"/>
      <c r="G86" s="15" t="inlineStr"/>
      <c r="H86" s="15" t="inlineStr"/>
      <c r="I86" s="15" t="inlineStr"/>
      <c r="J86" s="15" t="inlineStr"/>
      <c r="K86" s="15" t="n">
        <v>1</v>
      </c>
      <c r="L86" s="15" t="inlineStr"/>
      <c r="M86" s="15" t="inlineStr"/>
      <c r="N86" s="15" t="n">
        <v>1</v>
      </c>
    </row>
    <row r="87" ht="15" customHeight="1">
      <c r="A87" s="13" t="inlineStr">
        <is>
          <t>Technology</t>
        </is>
      </c>
      <c r="B87" s="210" t="n"/>
      <c r="C87" s="210" t="n"/>
      <c r="D87" s="210" t="n"/>
      <c r="E87" s="209" t="n"/>
      <c r="F87" s="15" t="n">
        <v>1</v>
      </c>
      <c r="G87" s="15" t="n">
        <v>1</v>
      </c>
      <c r="H87" s="15" t="n">
        <v>3</v>
      </c>
      <c r="I87" s="15" t="inlineStr"/>
      <c r="J87" s="15" t="n">
        <v>1</v>
      </c>
      <c r="K87" s="15" t="n">
        <v>1</v>
      </c>
      <c r="L87" s="15" t="inlineStr"/>
      <c r="M87" s="15" t="n">
        <v>3</v>
      </c>
      <c r="N87" s="15" t="n">
        <v>10</v>
      </c>
    </row>
    <row r="88" ht="15" customHeight="1">
      <c r="A88" s="13" t="inlineStr">
        <is>
          <t>Total</t>
        </is>
      </c>
      <c r="B88" s="210" t="n"/>
      <c r="C88" s="210" t="n"/>
      <c r="D88" s="210" t="n"/>
      <c r="E88" s="209" t="n"/>
      <c r="F88" s="15" t="n">
        <v>1</v>
      </c>
      <c r="G88" s="15" t="n">
        <v>5</v>
      </c>
      <c r="H88" s="15" t="n">
        <v>10</v>
      </c>
      <c r="I88" s="15" t="n">
        <v>2</v>
      </c>
      <c r="J88" s="15" t="n">
        <v>7</v>
      </c>
      <c r="K88" s="15" t="n">
        <v>2</v>
      </c>
      <c r="L88" s="15" t="n">
        <v>1</v>
      </c>
      <c r="M88" s="15" t="n">
        <v>6</v>
      </c>
      <c r="N88" s="15" t="n">
        <v>34</v>
      </c>
    </row>
    <row r="89" ht="15" customHeight="1"/>
    <row r="90" ht="20" customHeight="1">
      <c r="A90" s="6" t="inlineStr">
        <is>
          <t>5. Job families × band</t>
        </is>
      </c>
    </row>
    <row r="91" ht="28" customHeight="1">
      <c r="A91" s="12" t="inlineStr">
        <is>
          <t>Job family</t>
        </is>
      </c>
      <c r="B91" s="210" t="n"/>
      <c r="C91" s="210" t="n"/>
      <c r="D91" s="209" t="n"/>
      <c r="E91" s="12" t="inlineStr">
        <is>
          <t>A</t>
        </is>
      </c>
      <c r="F91" s="12" t="inlineStr">
        <is>
          <t>B</t>
        </is>
      </c>
      <c r="G91" s="12" t="inlineStr">
        <is>
          <t>B+</t>
        </is>
      </c>
      <c r="H91" s="12" t="inlineStr">
        <is>
          <t>C</t>
        </is>
      </c>
      <c r="I91" s="12" t="inlineStr">
        <is>
          <t>C+</t>
        </is>
      </c>
      <c r="J91" s="12" t="inlineStr">
        <is>
          <t>D</t>
        </is>
      </c>
      <c r="K91" s="12" t="inlineStr">
        <is>
          <t>E</t>
        </is>
      </c>
      <c r="L91" s="12" t="inlineStr">
        <is>
          <t>X</t>
        </is>
      </c>
      <c r="M91" s="12" t="inlineStr">
        <is>
          <t>Total</t>
        </is>
      </c>
      <c r="N91" s="12" t="inlineStr">
        <is>
          <t>Sub-families</t>
        </is>
      </c>
    </row>
    <row r="92" ht="15" customHeight="1">
      <c r="A92" s="13" t="inlineStr">
        <is>
          <t>Sales &amp; Business Development</t>
        </is>
      </c>
      <c r="B92" s="210" t="n"/>
      <c r="C92" s="210" t="n"/>
      <c r="D92" s="209" t="n"/>
      <c r="E92" s="15" t="n">
        <v>5</v>
      </c>
      <c r="F92" s="15" t="n">
        <v>2</v>
      </c>
      <c r="G92" s="15" t="inlineStr"/>
      <c r="H92" s="15" t="n">
        <v>1</v>
      </c>
      <c r="I92" s="15" t="inlineStr"/>
      <c r="J92" s="15" t="inlineStr"/>
      <c r="K92" s="15" t="inlineStr"/>
      <c r="L92" s="15" t="inlineStr"/>
      <c r="M92" s="15" t="n">
        <v>8</v>
      </c>
      <c r="N92" s="15" t="n">
        <v>2</v>
      </c>
    </row>
    <row r="93" ht="15" customHeight="1">
      <c r="A93" s="13" t="inlineStr">
        <is>
          <t>Engineering &amp; Development</t>
        </is>
      </c>
      <c r="B93" s="210" t="n"/>
      <c r="C93" s="210" t="n"/>
      <c r="D93" s="209" t="n"/>
      <c r="E93" s="15" t="n">
        <v>3</v>
      </c>
      <c r="F93" s="15" t="n">
        <v>1</v>
      </c>
      <c r="G93" s="15" t="inlineStr"/>
      <c r="H93" s="15" t="inlineStr"/>
      <c r="I93" s="15" t="inlineStr"/>
      <c r="J93" s="15" t="inlineStr"/>
      <c r="K93" s="15" t="inlineStr"/>
      <c r="L93" s="15" t="n">
        <v>3</v>
      </c>
      <c r="M93" s="15" t="n">
        <v>7</v>
      </c>
      <c r="N93" s="15" t="n">
        <v>1</v>
      </c>
    </row>
    <row r="94" ht="15" customHeight="1">
      <c r="A94" s="13" t="inlineStr">
        <is>
          <t>Product Management</t>
        </is>
      </c>
      <c r="B94" s="210" t="n"/>
      <c r="C94" s="210" t="n"/>
      <c r="D94" s="209" t="n"/>
      <c r="E94" s="15" t="n">
        <v>1</v>
      </c>
      <c r="F94" s="15" t="n">
        <v>5</v>
      </c>
      <c r="G94" s="15" t="inlineStr"/>
      <c r="H94" s="15" t="inlineStr"/>
      <c r="I94" s="15" t="inlineStr"/>
      <c r="J94" s="15" t="inlineStr"/>
      <c r="K94" s="15" t="inlineStr"/>
      <c r="L94" s="15" t="inlineStr"/>
      <c r="M94" s="15" t="n">
        <v>6</v>
      </c>
      <c r="N94" s="15" t="n">
        <v>2</v>
      </c>
    </row>
    <row r="95" ht="15" customHeight="1">
      <c r="A95" s="13" t="inlineStr">
        <is>
          <t>Marketing &amp; Communications</t>
        </is>
      </c>
      <c r="B95" s="210" t="n"/>
      <c r="C95" s="210" t="n"/>
      <c r="D95" s="209" t="n"/>
      <c r="E95" s="15" t="n">
        <v>2</v>
      </c>
      <c r="F95" s="15" t="n">
        <v>1</v>
      </c>
      <c r="G95" s="15" t="inlineStr"/>
      <c r="H95" s="15" t="inlineStr"/>
      <c r="I95" s="15" t="inlineStr"/>
      <c r="J95" s="15" t="inlineStr"/>
      <c r="K95" s="15" t="inlineStr"/>
      <c r="L95" s="15" t="n">
        <v>1</v>
      </c>
      <c r="M95" s="15" t="n">
        <v>4</v>
      </c>
      <c r="N95" s="15" t="n">
        <v>4</v>
      </c>
    </row>
    <row r="96" ht="15" customHeight="1">
      <c r="A96" s="13" t="inlineStr">
        <is>
          <t>Design &amp; Creative</t>
        </is>
      </c>
      <c r="B96" s="210" t="n"/>
      <c r="C96" s="210" t="n"/>
      <c r="D96" s="209" t="n"/>
      <c r="E96" s="15" t="n">
        <v>2</v>
      </c>
      <c r="F96" s="15" t="inlineStr"/>
      <c r="G96" s="15" t="inlineStr"/>
      <c r="H96" s="15" t="inlineStr"/>
      <c r="I96" s="15" t="inlineStr"/>
      <c r="J96" s="15" t="inlineStr"/>
      <c r="K96" s="15" t="inlineStr"/>
      <c r="L96" s="15" t="inlineStr"/>
      <c r="M96" s="15" t="n">
        <v>2</v>
      </c>
      <c r="N96" s="15" t="n">
        <v>2</v>
      </c>
    </row>
    <row r="97" ht="15" customHeight="1">
      <c r="A97" s="13" t="inlineStr">
        <is>
          <t>Unassigned</t>
        </is>
      </c>
      <c r="B97" s="210" t="n"/>
      <c r="C97" s="210" t="n"/>
      <c r="D97" s="209" t="n"/>
      <c r="E97" s="15" t="inlineStr"/>
      <c r="F97" s="15" t="inlineStr"/>
      <c r="G97" s="15" t="inlineStr"/>
      <c r="H97" s="15" t="inlineStr"/>
      <c r="I97" s="15" t="inlineStr"/>
      <c r="J97" s="15" t="inlineStr"/>
      <c r="K97" s="15" t="inlineStr"/>
      <c r="L97" s="15" t="n">
        <v>2</v>
      </c>
      <c r="M97" s="15" t="n">
        <v>2</v>
      </c>
      <c r="N97" s="15" t="n">
        <v>1</v>
      </c>
    </row>
    <row r="98" ht="15" customHeight="1">
      <c r="A98" s="13" t="inlineStr">
        <is>
          <t>Quality Assurance</t>
        </is>
      </c>
      <c r="B98" s="210" t="n"/>
      <c r="C98" s="210" t="n"/>
      <c r="D98" s="209" t="n"/>
      <c r="E98" s="15" t="n">
        <v>2</v>
      </c>
      <c r="F98" s="15" t="inlineStr"/>
      <c r="G98" s="15" t="inlineStr"/>
      <c r="H98" s="15" t="inlineStr"/>
      <c r="I98" s="15" t="inlineStr"/>
      <c r="J98" s="15" t="inlineStr"/>
      <c r="K98" s="15" t="inlineStr"/>
      <c r="L98" s="15" t="inlineStr"/>
      <c r="M98" s="15" t="n">
        <v>2</v>
      </c>
      <c r="N98" s="15" t="n">
        <v>2</v>
      </c>
    </row>
    <row r="99" ht="15" customHeight="1">
      <c r="A99" s="13" t="inlineStr">
        <is>
          <t>Data &amp; Analytics</t>
        </is>
      </c>
      <c r="B99" s="210" t="n"/>
      <c r="C99" s="210" t="n"/>
      <c r="D99" s="209" t="n"/>
      <c r="E99" s="15" t="n">
        <v>1</v>
      </c>
      <c r="F99" s="15" t="inlineStr"/>
      <c r="G99" s="15" t="inlineStr"/>
      <c r="H99" s="15" t="inlineStr"/>
      <c r="I99" s="15" t="inlineStr"/>
      <c r="J99" s="15" t="inlineStr"/>
      <c r="K99" s="15" t="inlineStr"/>
      <c r="L99" s="15" t="inlineStr"/>
      <c r="M99" s="15" t="n">
        <v>1</v>
      </c>
      <c r="N99" s="15" t="n">
        <v>1</v>
      </c>
    </row>
    <row r="100" ht="15" customHeight="1">
      <c r="A100" s="13" t="inlineStr">
        <is>
          <t>Executive Leadership</t>
        </is>
      </c>
      <c r="B100" s="210" t="n"/>
      <c r="C100" s="210" t="n"/>
      <c r="D100" s="209" t="n"/>
      <c r="E100" s="15" t="inlineStr"/>
      <c r="F100" s="15" t="inlineStr"/>
      <c r="G100" s="15" t="inlineStr"/>
      <c r="H100" s="15" t="inlineStr"/>
      <c r="I100" s="15" t="inlineStr"/>
      <c r="J100" s="15" t="n">
        <v>1</v>
      </c>
      <c r="K100" s="15" t="inlineStr"/>
      <c r="L100" s="15" t="inlineStr"/>
      <c r="M100" s="15" t="n">
        <v>1</v>
      </c>
      <c r="N100" s="15" t="n">
        <v>1</v>
      </c>
    </row>
    <row r="101" ht="15" customHeight="1">
      <c r="A101" s="13" t="inlineStr">
        <is>
          <t>Engineering &amp; Architecture</t>
        </is>
      </c>
      <c r="B101" s="210" t="n"/>
      <c r="C101" s="210" t="n"/>
      <c r="D101" s="209" t="n"/>
      <c r="E101" s="15" t="inlineStr"/>
      <c r="F101" s="15" t="inlineStr"/>
      <c r="G101" s="15" t="inlineStr"/>
      <c r="H101" s="15" t="n">
        <v>1</v>
      </c>
      <c r="I101" s="15" t="inlineStr"/>
      <c r="J101" s="15" t="inlineStr"/>
      <c r="K101" s="15" t="inlineStr"/>
      <c r="L101" s="15" t="inlineStr"/>
      <c r="M101" s="15" t="n">
        <v>1</v>
      </c>
      <c r="N101" s="15" t="n">
        <v>1</v>
      </c>
    </row>
    <row r="102" ht="15" customHeight="1"/>
    <row r="103" ht="20" customHeight="1">
      <c r="A103" s="6" t="inlineStr">
        <is>
          <t>6. Player-Coach transition steps · new — between Bands B and C, and C and D</t>
        </is>
      </c>
    </row>
    <row r="104" ht="15" customHeight="1">
      <c r="A104" s="11" t="inlineStr">
        <is>
          <t>A Player-Coach leads people AND still delivers hands-on expert work. Placed on evidence only; candidates go to the manager and the calibration panel.</t>
        </is>
      </c>
    </row>
    <row r="105" ht="15" customHeight="1">
      <c r="A105" s="11" t="inlineStr">
        <is>
          <t>No one in this business meets the Player-Coach evidence today; the Player-Coach transition steps are available as roles grow.</t>
        </is>
      </c>
    </row>
    <row r="106" ht="20" customHeight="1">
      <c r="A106" s="6" t="inlineStr">
        <is>
          <t>7. Critical inputs needed — who must supply what · red cells across the workbook</t>
        </is>
      </c>
    </row>
    <row r="107" ht="15" customHeight="1">
      <c r="A107" s="12" t="inlineStr">
        <is>
          <t>Input needed</t>
        </is>
      </c>
      <c r="B107" s="210" t="n"/>
      <c r="C107" s="210" t="n"/>
      <c r="D107" s="210" t="n"/>
      <c r="E107" s="210" t="n"/>
      <c r="F107" s="210" t="n"/>
      <c r="G107" s="209" t="n"/>
      <c r="H107" s="12" t="inlineStr">
        <is>
          <t>Who provides it</t>
        </is>
      </c>
      <c r="I107" s="210" t="n"/>
      <c r="J107" s="210" t="n"/>
      <c r="K107" s="209" t="n"/>
      <c r="L107" s="12" t="inlineStr">
        <is>
          <t>People</t>
        </is>
      </c>
      <c r="M107" s="210" t="n"/>
      <c r="N107" s="209" t="n"/>
    </row>
    <row r="108" ht="15" customHeight="1">
      <c r="A108" s="48" t="inlineStr">
        <is>
          <t>Survey response or KRAs describing the work · nothing on file</t>
        </is>
      </c>
      <c r="B108" s="210" t="n"/>
      <c r="C108" s="210" t="n"/>
      <c r="D108" s="210" t="n"/>
      <c r="E108" s="210" t="n"/>
      <c r="F108" s="210" t="n"/>
      <c r="G108" s="209" t="n"/>
      <c r="H108" s="16" t="inlineStr">
        <is>
          <t>Employee + manager</t>
        </is>
      </c>
      <c r="I108" s="210" t="n"/>
      <c r="J108" s="210" t="n"/>
      <c r="K108" s="209" t="n"/>
      <c r="L108" s="15" t="n">
        <v>3</v>
      </c>
      <c r="M108" s="210" t="n"/>
      <c r="N108" s="209" t="n"/>
    </row>
    <row r="109" ht="15" customHeight="1">
      <c r="A109" s="48" t="inlineStr">
        <is>
          <t>Total experience · outside + at IRIS</t>
        </is>
      </c>
      <c r="B109" s="210" t="n"/>
      <c r="C109" s="210" t="n"/>
      <c r="D109" s="210" t="n"/>
      <c r="E109" s="210" t="n"/>
      <c r="F109" s="210" t="n"/>
      <c r="G109" s="209" t="n"/>
      <c r="H109" s="16" t="inlineStr">
        <is>
          <t>HR — HRIS</t>
        </is>
      </c>
      <c r="I109" s="210" t="n"/>
      <c r="J109" s="210" t="n"/>
      <c r="K109" s="209" t="n"/>
      <c r="L109" s="15" t="n">
        <v>3</v>
      </c>
      <c r="M109" s="210" t="n"/>
      <c r="N109" s="209" t="n"/>
    </row>
    <row r="110" ht="15" customHeight="1">
      <c r="A110" s="48" t="inlineStr">
        <is>
          <t>Confirm prior experience · provisional placement</t>
        </is>
      </c>
      <c r="B110" s="210" t="n"/>
      <c r="C110" s="210" t="n"/>
      <c r="D110" s="210" t="n"/>
      <c r="E110" s="210" t="n"/>
      <c r="F110" s="210" t="n"/>
      <c r="G110" s="209" t="n"/>
      <c r="H110" s="16" t="inlineStr">
        <is>
          <t>HR</t>
        </is>
      </c>
      <c r="I110" s="210" t="n"/>
      <c r="J110" s="210" t="n"/>
      <c r="K110" s="209" t="n"/>
      <c r="L110" s="15" t="n">
        <v>3</v>
      </c>
      <c r="M110" s="210" t="n"/>
      <c r="N110" s="209" t="n"/>
    </row>
    <row r="111" ht="15" customHeight="1">
      <c r="A111" s="48" t="inlineStr">
        <is>
          <t>Correct the experience record</t>
        </is>
      </c>
      <c r="B111" s="210" t="n"/>
      <c r="C111" s="210" t="n"/>
      <c r="D111" s="210" t="n"/>
      <c r="E111" s="210" t="n"/>
      <c r="F111" s="210" t="n"/>
      <c r="G111" s="209" t="n"/>
      <c r="H111" s="16" t="inlineStr">
        <is>
          <t>HR</t>
        </is>
      </c>
      <c r="I111" s="210" t="n"/>
      <c r="J111" s="210" t="n"/>
      <c r="K111" s="209" t="n"/>
      <c r="L111" s="15" t="n">
        <v>2</v>
      </c>
      <c r="M111" s="210" t="n"/>
      <c r="N111" s="209" t="n"/>
    </row>
    <row r="112" ht="15" customHeight="1">
      <c r="A112" s="48" t="inlineStr">
        <is>
          <t>Role and department on record</t>
        </is>
      </c>
      <c r="B112" s="210" t="n"/>
      <c r="C112" s="210" t="n"/>
      <c r="D112" s="210" t="n"/>
      <c r="E112" s="210" t="n"/>
      <c r="F112" s="210" t="n"/>
      <c r="G112" s="209" t="n"/>
      <c r="H112" s="16" t="inlineStr">
        <is>
          <t>Business head</t>
        </is>
      </c>
      <c r="I112" s="210" t="n"/>
      <c r="J112" s="210" t="n"/>
      <c r="K112" s="209" t="n"/>
      <c r="L112" s="15" t="n">
        <v>2</v>
      </c>
      <c r="M112" s="210" t="n"/>
      <c r="N112" s="209" t="n"/>
    </row>
    <row r="113" ht="15" customHeight="1">
      <c r="A113" s="48" t="inlineStr">
        <is>
          <t>Confirm structure behind the senior title · org chart</t>
        </is>
      </c>
      <c r="B113" s="210" t="n"/>
      <c r="C113" s="210" t="n"/>
      <c r="D113" s="210" t="n"/>
      <c r="E113" s="210" t="n"/>
      <c r="F113" s="210" t="n"/>
      <c r="G113" s="209" t="n"/>
      <c r="H113" s="16" t="inlineStr">
        <is>
          <t>Business head</t>
        </is>
      </c>
      <c r="I113" s="210" t="n"/>
      <c r="J113" s="210" t="n"/>
      <c r="K113" s="209" t="n"/>
      <c r="L113" s="15" t="n">
        <v>2</v>
      </c>
      <c r="M113" s="210" t="n"/>
      <c r="N113" s="209" t="n"/>
    </row>
    <row r="114" ht="15" customHeight="1"/>
    <row r="115" ht="28" customHeight="1">
      <c r="A115" s="11" t="inlineStr">
        <is>
          <t>10 of 34 people need at least one critical input · one that could change or confirm the placement; pay is set later. The full list by person is on sheet 9, section J.</t>
        </is>
      </c>
    </row>
    <row r="116" ht="20" customHeight="1">
      <c r="A116" s="6" t="inlineStr">
        <is>
          <t>8. What the colours mean</t>
        </is>
      </c>
    </row>
    <row r="117" ht="15" customHeight="1">
      <c r="A117" s="49" t="inlineStr">
        <is>
          <t>Section colours: each column group has its own header colour and a matching light tint</t>
        </is>
      </c>
      <c r="B117" s="210" t="n"/>
      <c r="C117" s="210" t="n"/>
      <c r="D117" s="210" t="n"/>
      <c r="E117" s="210" t="n"/>
      <c r="F117" s="210" t="n"/>
      <c r="G117" s="210" t="n"/>
      <c r="H117" s="210" t="n"/>
      <c r="I117" s="210" t="n"/>
      <c r="J117" s="210" t="n"/>
      <c r="K117" s="210" t="n"/>
      <c r="L117" s="210" t="n"/>
      <c r="M117" s="210" t="n"/>
      <c r="N117" s="209" t="n"/>
    </row>
    <row r="118" ht="15" customHeight="1">
      <c r="A118" s="51" t="inlineStr">
        <is>
          <t>Changed vs current · designation or level</t>
        </is>
      </c>
      <c r="B118" s="210" t="n"/>
      <c r="C118" s="210" t="n"/>
      <c r="D118" s="210" t="n"/>
      <c r="E118" s="210" t="n"/>
      <c r="F118" s="210" t="n"/>
      <c r="G118" s="210" t="n"/>
      <c r="H118" s="210" t="n"/>
      <c r="I118" s="210" t="n"/>
      <c r="J118" s="210" t="n"/>
      <c r="K118" s="210" t="n"/>
      <c r="L118" s="210" t="n"/>
      <c r="M118" s="210" t="n"/>
      <c r="N118" s="209" t="n"/>
    </row>
    <row r="119" ht="15" customHeight="1">
      <c r="A119" s="52" t="inlineStr">
        <is>
          <t>Level up</t>
        </is>
      </c>
      <c r="B119" s="210" t="n"/>
      <c r="C119" s="210" t="n"/>
      <c r="D119" s="210" t="n"/>
      <c r="E119" s="210" t="n"/>
      <c r="F119" s="210" t="n"/>
      <c r="G119" s="210" t="n"/>
      <c r="H119" s="210" t="n"/>
      <c r="I119" s="210" t="n"/>
      <c r="J119" s="210" t="n"/>
      <c r="K119" s="210" t="n"/>
      <c r="L119" s="210" t="n"/>
      <c r="M119" s="210" t="n"/>
      <c r="N119" s="209" t="n"/>
    </row>
    <row r="120" ht="15" customHeight="1">
      <c r="A120" s="54" t="inlineStr">
        <is>
          <t>Level down — pay &amp; title protected</t>
        </is>
      </c>
      <c r="B120" s="210" t="n"/>
      <c r="C120" s="210" t="n"/>
      <c r="D120" s="210" t="n"/>
      <c r="E120" s="210" t="n"/>
      <c r="F120" s="210" t="n"/>
      <c r="G120" s="210" t="n"/>
      <c r="H120" s="210" t="n"/>
      <c r="I120" s="210" t="n"/>
      <c r="J120" s="210" t="n"/>
      <c r="K120" s="210" t="n"/>
      <c r="L120" s="210" t="n"/>
      <c r="M120" s="210" t="n"/>
      <c r="N120" s="209" t="n"/>
    </row>
    <row r="121" ht="15" customHeight="1">
      <c r="A121" s="56" t="inlineStr">
        <is>
          <t>Newly mapped</t>
        </is>
      </c>
      <c r="B121" s="210" t="n"/>
      <c r="C121" s="210" t="n"/>
      <c r="D121" s="210" t="n"/>
      <c r="E121" s="210" t="n"/>
      <c r="F121" s="210" t="n"/>
      <c r="G121" s="210" t="n"/>
      <c r="H121" s="210" t="n"/>
      <c r="I121" s="210" t="n"/>
      <c r="J121" s="210" t="n"/>
      <c r="K121" s="210" t="n"/>
      <c r="L121" s="210" t="n"/>
      <c r="M121" s="210" t="n"/>
      <c r="N121" s="209" t="n"/>
    </row>
    <row r="122" ht="15" customHeight="1">
      <c r="A122" s="57" t="inlineStr">
        <is>
          <t>Player-Coach · B+ · C+</t>
        </is>
      </c>
      <c r="B122" s="210" t="n"/>
      <c r="C122" s="210" t="n"/>
      <c r="D122" s="210" t="n"/>
      <c r="E122" s="210" t="n"/>
      <c r="F122" s="210" t="n"/>
      <c r="G122" s="210" t="n"/>
      <c r="H122" s="210" t="n"/>
      <c r="I122" s="210" t="n"/>
      <c r="J122" s="210" t="n"/>
      <c r="K122" s="210" t="n"/>
      <c r="L122" s="210" t="n"/>
      <c r="M122" s="210" t="n"/>
      <c r="N122" s="209" t="n"/>
    </row>
    <row r="123" ht="15" customHeight="1">
      <c r="A123" s="58" t="inlineStr">
        <is>
          <t>RED = critical input needed · could change or confirm the level</t>
        </is>
      </c>
      <c r="B123" s="210" t="n"/>
      <c r="C123" s="210" t="n"/>
      <c r="D123" s="210" t="n"/>
      <c r="E123" s="210" t="n"/>
      <c r="F123" s="210" t="n"/>
      <c r="G123" s="210" t="n"/>
      <c r="H123" s="210" t="n"/>
      <c r="I123" s="210" t="n"/>
      <c r="J123" s="210" t="n"/>
      <c r="K123" s="210" t="n"/>
      <c r="L123" s="210" t="n"/>
      <c r="M123" s="210" t="n"/>
      <c r="N123" s="209" t="n"/>
    </row>
    <row r="124" ht="15" customHeight="1">
      <c r="A124" s="60" t="inlineStr">
        <is>
          <t>YELLOW = to complete in validation</t>
        </is>
      </c>
      <c r="B124" s="210" t="n"/>
      <c r="C124" s="210" t="n"/>
      <c r="D124" s="210" t="n"/>
      <c r="E124" s="210" t="n"/>
      <c r="F124" s="210" t="n"/>
      <c r="G124" s="210" t="n"/>
      <c r="H124" s="210" t="n"/>
      <c r="I124" s="210" t="n"/>
      <c r="J124" s="210" t="n"/>
      <c r="K124" s="210" t="n"/>
      <c r="L124" s="210" t="n"/>
      <c r="M124" s="210" t="n"/>
      <c r="N124" s="209" t="n"/>
    </row>
    <row r="125" ht="15" customHeight="1"/>
    <row r="126" ht="20" customHeight="1">
      <c r="A126" s="6" t="inlineStr">
        <is>
          <t>9. What is in this workbook</t>
        </is>
      </c>
    </row>
    <row r="127" ht="28" customHeight="1">
      <c r="A127" s="11" t="inlineStr">
        <is>
          <t xml:space="preserve">Every sheet in this workbook, with what it holds and a link to it, is listed on the Contents sheet · the first tab. Read sheet 2 for any one person; sheets 3–11 give the detail behind it; the insight sheets and, in the HR Super Master, the calibration tracker follow. </t>
        </is>
      </c>
    </row>
    <row r="128" ht="20" customHeight="1">
      <c r="A128" s="6" t="inlineStr">
        <is>
          <t>10. Data used</t>
        </is>
      </c>
    </row>
    <row r="129" ht="15" customHeight="1">
      <c r="A129" s="12" t="inlineStr">
        <is>
          <t>Source</t>
        </is>
      </c>
      <c r="B129" s="210" t="n"/>
      <c r="C129" s="210" t="n"/>
      <c r="D129" s="209" t="n"/>
      <c r="E129" s="12" t="inlineStr">
        <is>
          <t>People covered</t>
        </is>
      </c>
      <c r="F129" s="210" t="n"/>
      <c r="G129" s="209" t="n"/>
      <c r="H129" s="12" t="inlineStr">
        <is>
          <t>Used for</t>
        </is>
      </c>
      <c r="I129" s="210" t="n"/>
      <c r="J129" s="210" t="n"/>
      <c r="K129" s="210" t="n"/>
      <c r="L129" s="210" t="n"/>
      <c r="M129" s="210" t="n"/>
      <c r="N129" s="209" t="n"/>
    </row>
    <row r="130" ht="15" customHeight="1">
      <c r="A130" s="13" t="inlineStr">
        <is>
          <t>Employee Master · HRIS</t>
        </is>
      </c>
      <c r="B130" s="210" t="n"/>
      <c r="C130" s="210" t="n"/>
      <c r="D130" s="209" t="n"/>
      <c r="E130" s="16" t="inlineStr">
        <is>
          <t>34 of 34</t>
        </is>
      </c>
      <c r="F130" s="210" t="n"/>
      <c r="G130" s="209" t="n"/>
      <c r="H130" s="16" t="inlineStr">
        <is>
          <t>Identity, department, manager, experience, qualification, reports</t>
        </is>
      </c>
      <c r="I130" s="210" t="n"/>
      <c r="J130" s="210" t="n"/>
      <c r="K130" s="210" t="n"/>
      <c r="L130" s="210" t="n"/>
      <c r="M130" s="210" t="n"/>
      <c r="N130" s="209" t="n"/>
    </row>
    <row r="131" ht="15" customHeight="1">
      <c r="A131" s="13" t="inlineStr">
        <is>
          <t>How We Grow survey · 20 questions</t>
        </is>
      </c>
      <c r="B131" s="210" t="n"/>
      <c r="C131" s="210" t="n"/>
      <c r="D131" s="209" t="n"/>
      <c r="E131" s="16" t="inlineStr">
        <is>
          <t>23 of 34</t>
        </is>
      </c>
      <c r="F131" s="210" t="n"/>
      <c r="G131" s="209" t="n"/>
      <c r="H131" s="16" t="inlineStr">
        <is>
          <t>Evidence for the six factors; role profiles; learning needs</t>
        </is>
      </c>
      <c r="I131" s="210" t="n"/>
      <c r="J131" s="210" t="n"/>
      <c r="K131" s="210" t="n"/>
      <c r="L131" s="210" t="n"/>
      <c r="M131" s="210" t="n"/>
      <c r="N131" s="209" t="n"/>
    </row>
    <row r="132" ht="15" customHeight="1">
      <c r="A132" s="13" t="inlineStr">
        <is>
          <t>KRAs · self / manager-set / submitted</t>
        </is>
      </c>
      <c r="B132" s="210" t="n"/>
      <c r="C132" s="210" t="n"/>
      <c r="D132" s="209" t="n"/>
      <c r="E132" s="16" t="inlineStr">
        <is>
          <t>14 of 34</t>
        </is>
      </c>
      <c r="F132" s="210" t="n"/>
      <c r="G132" s="209" t="n"/>
      <c r="H132" s="16" t="inlineStr">
        <is>
          <t>Evidence for Complexity and Accountability; performance measures</t>
        </is>
      </c>
      <c r="I132" s="210" t="n"/>
      <c r="J132" s="210" t="n"/>
      <c r="K132" s="210" t="n"/>
      <c r="L132" s="210" t="n"/>
      <c r="M132" s="210" t="n"/>
      <c r="N132" s="209" t="n"/>
    </row>
    <row r="133" ht="15" customHeight="1">
      <c r="A133" s="13" t="inlineStr">
        <is>
          <t>Manager talent mapping</t>
        </is>
      </c>
      <c r="B133" s="210" t="n"/>
      <c r="C133" s="210" t="n"/>
      <c r="D133" s="209" t="n"/>
      <c r="E133" s="16" t="inlineStr">
        <is>
          <t>34 of 34</t>
        </is>
      </c>
      <c r="F133" s="210" t="n"/>
      <c r="G133" s="209" t="n"/>
      <c r="H133" s="16" t="inlineStr">
        <is>
          <t>Rating, potential, 9-box, player-coach flag, training needs</t>
        </is>
      </c>
      <c r="I133" s="210" t="n"/>
      <c r="J133" s="210" t="n"/>
      <c r="K133" s="210" t="n"/>
      <c r="L133" s="210" t="n"/>
      <c r="M133" s="210" t="n"/>
      <c r="N133" s="209" t="n"/>
    </row>
    <row r="134" ht="28" customHeight="1">
      <c r="A134" s="13" t="inlineStr">
        <is>
          <t>Market standards</t>
        </is>
      </c>
      <c r="B134" s="210" t="n"/>
      <c r="C134" s="210" t="n"/>
      <c r="D134" s="209" t="n"/>
      <c r="E134" s="16" t="inlineStr">
        <is>
          <t>All levels and families</t>
        </is>
      </c>
      <c r="F134" s="210" t="n"/>
      <c r="G134" s="209" t="n"/>
      <c r="H134" s="16" t="inlineStr">
        <is>
          <t>Radford / Mercer codes, SFIA, peer and competitor ladders, professional standards</t>
        </is>
      </c>
      <c r="I134" s="210" t="n"/>
      <c r="J134" s="210" t="n"/>
      <c r="K134" s="210" t="n"/>
      <c r="L134" s="210" t="n"/>
      <c r="M134" s="210" t="n"/>
      <c r="N134" s="209" t="n"/>
    </row>
    <row r="135" ht="28" customHeight="1">
      <c r="A135" s="13" t="inlineStr">
        <is>
          <t>Validated inputs · build/inputs/overrides.csv</t>
        </is>
      </c>
      <c r="B135" s="210" t="n"/>
      <c r="C135" s="210" t="n"/>
      <c r="D135" s="209" t="n"/>
      <c r="E135" s="16" t="inlineStr">
        <is>
          <t>1 people · 1 changes</t>
        </is>
      </c>
      <c r="F135" s="210" t="n"/>
      <c r="G135" s="209" t="n"/>
      <c r="H135" s="16" t="inlineStr">
        <is>
          <t>Corrections confirmed in validation, applied before the engine runs; each is printed on the person's row</t>
        </is>
      </c>
      <c r="I135" s="210" t="n"/>
      <c r="J135" s="210" t="n"/>
      <c r="K135" s="210" t="n"/>
      <c r="L135" s="210" t="n"/>
      <c r="M135" s="210" t="n"/>
      <c r="N135" s="209" t="n"/>
    </row>
    <row r="136" ht="28" customHeight="1">
      <c r="A136" s="13" t="inlineStr">
        <is>
          <t>Pay</t>
        </is>
      </c>
      <c r="B136" s="210" t="n"/>
      <c r="C136" s="210" t="n"/>
      <c r="D136" s="209" t="n"/>
      <c r="E136" s="16" t="inlineStr">
        <is>
          <t>—</t>
        </is>
      </c>
      <c r="F136" s="210" t="n"/>
      <c r="G136" s="209" t="n"/>
      <c r="H136" s="16" t="inlineStr">
        <is>
          <t>Not supplied — every pay column is left blank · grey until the pay survey is bought; not flagged as a missing input</t>
        </is>
      </c>
      <c r="I136" s="210" t="n"/>
      <c r="J136" s="210" t="n"/>
      <c r="K136" s="210" t="n"/>
      <c r="L136" s="210" t="n"/>
      <c r="M136" s="210" t="n"/>
      <c r="N136" s="209" t="n"/>
    </row>
    <row r="137" ht="15" customHeight="1"/>
    <row r="138" ht="20" customHeight="1">
      <c r="A138" s="6" t="inlineStr">
        <is>
          <t>11. How a role's level is worked out — in four steps</t>
        </is>
      </c>
    </row>
    <row r="139" ht="28" customHeight="1">
      <c r="A139" s="11" t="inlineStr">
        <is>
          <t>The score measures the size of the role, not how well the person performs, and it is not linked to pay. It uses the same scale as the ladder · A1 = 1, A2 = 2 … B1 = 4 … E2 = 12, so a score reads as a level.</t>
        </is>
      </c>
    </row>
    <row r="140" ht="15" customHeight="1">
      <c r="A140" s="12" t="inlineStr">
        <is>
          <t>Step</t>
        </is>
      </c>
      <c r="B140" s="12" t="inlineStr">
        <is>
          <t>What happens</t>
        </is>
      </c>
      <c r="C140" s="210" t="n"/>
      <c r="D140" s="210" t="n"/>
      <c r="E140" s="210" t="n"/>
      <c r="F140" s="210" t="n"/>
      <c r="G140" s="209" t="n"/>
      <c r="H140" s="12" t="inlineStr">
        <is>
          <t>In plain words</t>
        </is>
      </c>
      <c r="I140" s="210" t="n"/>
      <c r="J140" s="210" t="n"/>
      <c r="K140" s="210" t="n"/>
      <c r="L140" s="210" t="n"/>
      <c r="M140" s="210" t="n"/>
      <c r="N140" s="209" t="n"/>
    </row>
    <row r="141" ht="54" customHeight="1">
      <c r="A141" s="13" t="inlineStr">
        <is>
          <t>1 · Rate</t>
        </is>
      </c>
      <c r="B141" s="16"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141" s="210" t="n"/>
      <c r="D141" s="210" t="n"/>
      <c r="E141" s="210" t="n"/>
      <c r="F141" s="210" t="n"/>
      <c r="G141" s="209" t="n"/>
      <c r="H141" s="16" t="inlineStr">
        <is>
          <t>How hard the work is, how freely the person decides, what the role answers for, how much it leads others, the experience it needs and its impact on the business.</t>
        </is>
      </c>
      <c r="I141" s="210" t="n"/>
      <c r="J141" s="210" t="n"/>
      <c r="K141" s="210" t="n"/>
      <c r="L141" s="210" t="n"/>
      <c r="M141" s="210" t="n"/>
      <c r="N141" s="209" t="n"/>
    </row>
    <row r="142" ht="41" customHeight="1">
      <c r="A142" s="13" t="inlineStr">
        <is>
          <t>2 · Weigh</t>
        </is>
      </c>
      <c r="B142" s="16" t="inlineStr">
        <is>
          <t>Each factor has a weight; the six weights add to 100%. They depend on the band and track and the department's type of work, and leaders can edit them on the Weightage Matrix.</t>
        </is>
      </c>
      <c r="C142" s="210" t="n"/>
      <c r="D142" s="210" t="n"/>
      <c r="E142" s="210" t="n"/>
      <c r="F142" s="210" t="n"/>
      <c r="G142" s="209" t="n"/>
      <c r="H142" s="16" t="inlineStr">
        <is>
          <t>Junior roles count the work itself most · Leadership counts 0% in Band A. Senior roles count accountability, leadership and business impact most. Experience counts little.</t>
        </is>
      </c>
      <c r="I142" s="210" t="n"/>
      <c r="J142" s="210" t="n"/>
      <c r="K142" s="210" t="n"/>
      <c r="L142" s="210" t="n"/>
      <c r="M142" s="210" t="n"/>
      <c r="N142" s="209" t="n"/>
    </row>
    <row r="143" ht="41" customHeight="1">
      <c r="A143" s="13" t="inlineStr">
        <is>
          <t>3 · Score</t>
        </is>
      </c>
      <c r="B143" s="16" t="inlineStr">
        <is>
          <t>Score = the six ratings × their weights, added up. Rounded to the nearest whole number ·.5 rounds up, it gives the indicated level.</t>
        </is>
      </c>
      <c r="C143" s="210" t="n"/>
      <c r="D143" s="210" t="n"/>
      <c r="E143" s="210" t="n"/>
      <c r="F143" s="210" t="n"/>
      <c r="G143" s="209" t="n"/>
      <c r="H143" s="16" t="inlineStr">
        <is>
          <t>A weighted average rating — so 4.73 means 'between B1 and B2, nearer B2', which rounds to B2.</t>
        </is>
      </c>
      <c r="I143" s="210" t="n"/>
      <c r="J143" s="210" t="n"/>
      <c r="K143" s="210" t="n"/>
      <c r="L143" s="210" t="n"/>
      <c r="M143" s="210" t="n"/>
      <c r="N143" s="209" t="n"/>
    </row>
    <row r="144" ht="67" customHeight="1">
      <c r="A144" s="13" t="inlineStr">
        <is>
          <t>4 · Check</t>
        </is>
      </c>
      <c r="B144" s="16"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144" s="210" t="n"/>
      <c r="D144" s="210" t="n"/>
      <c r="E144" s="210" t="n"/>
      <c r="F144" s="210" t="n"/>
      <c r="G144" s="209" t="n"/>
      <c r="H144" s="16" t="inlineStr">
        <is>
          <t>The score proposes; the rules make sure the role really carries that level. Any change is named, with its numbers, on sheet 2 of this workbook.</t>
        </is>
      </c>
      <c r="I144" s="210" t="n"/>
      <c r="J144" s="210" t="n"/>
      <c r="K144" s="210" t="n"/>
      <c r="L144" s="210" t="n"/>
      <c r="M144" s="210" t="n"/>
      <c r="N144" s="209" t="n"/>
    </row>
    <row r="145" ht="15" customHeight="1"/>
    <row r="146" ht="15" customHeight="1">
      <c r="A146" s="17" t="inlineStr">
        <is>
          <t>Worked example · invented numbers — a Band B individual contributor doing technology work:</t>
        </is>
      </c>
    </row>
    <row r="147" ht="15" customHeight="1">
      <c r="A147" s="12" t="inlineStr">
        <is>
          <t>Factor</t>
        </is>
      </c>
      <c r="B147" s="12" t="inlineStr">
        <is>
          <t>Complexity</t>
        </is>
      </c>
      <c r="C147" s="209" t="n"/>
      <c r="D147" s="12" t="inlineStr">
        <is>
          <t>Autonomy</t>
        </is>
      </c>
      <c r="E147" s="209" t="n"/>
      <c r="F147" s="12" t="inlineStr">
        <is>
          <t>Accountability</t>
        </is>
      </c>
      <c r="G147" s="209" t="n"/>
      <c r="H147" s="12" t="inlineStr">
        <is>
          <t>Leadership</t>
        </is>
      </c>
      <c r="I147" s="209" t="n"/>
      <c r="J147" s="12" t="inlineStr">
        <is>
          <t>Experience</t>
        </is>
      </c>
      <c r="K147" s="209" t="n"/>
      <c r="L147" s="12" t="inlineStr">
        <is>
          <t>Bus. Impact</t>
        </is>
      </c>
      <c r="M147" s="209" t="n"/>
      <c r="N147" s="12" t="inlineStr">
        <is>
          <t>Score</t>
        </is>
      </c>
    </row>
    <row r="148" ht="15" customHeight="1">
      <c r="A148" s="13" t="inlineStr">
        <is>
          <t>Rating</t>
        </is>
      </c>
      <c r="B148" s="15" t="inlineStr">
        <is>
          <t>5</t>
        </is>
      </c>
      <c r="C148" s="209" t="n"/>
      <c r="D148" s="15" t="inlineStr">
        <is>
          <t>4</t>
        </is>
      </c>
      <c r="E148" s="209" t="n"/>
      <c r="F148" s="15" t="inlineStr">
        <is>
          <t>5</t>
        </is>
      </c>
      <c r="G148" s="209" t="n"/>
      <c r="H148" s="15" t="inlineStr">
        <is>
          <t>3</t>
        </is>
      </c>
      <c r="I148" s="209" t="n"/>
      <c r="J148" s="15" t="inlineStr">
        <is>
          <t>5</t>
        </is>
      </c>
      <c r="K148" s="209" t="n"/>
      <c r="L148" s="15" t="inlineStr">
        <is>
          <t>5</t>
        </is>
      </c>
      <c r="M148" s="209" t="n"/>
      <c r="N148" s="15" t="inlineStr"/>
    </row>
    <row r="149" ht="15" customHeight="1">
      <c r="A149" s="13" t="inlineStr">
        <is>
          <t>Weight</t>
        </is>
      </c>
      <c r="B149" s="15" t="inlineStr">
        <is>
          <t>56%</t>
        </is>
      </c>
      <c r="C149" s="209" t="n"/>
      <c r="D149" s="15" t="inlineStr">
        <is>
          <t>17%</t>
        </is>
      </c>
      <c r="E149" s="209" t="n"/>
      <c r="F149" s="15" t="inlineStr">
        <is>
          <t>5%</t>
        </is>
      </c>
      <c r="G149" s="209" t="n"/>
      <c r="H149" s="15" t="inlineStr">
        <is>
          <t>5%</t>
        </is>
      </c>
      <c r="I149" s="209" t="n"/>
      <c r="J149" s="15" t="inlineStr">
        <is>
          <t>10%</t>
        </is>
      </c>
      <c r="K149" s="209" t="n"/>
      <c r="L149" s="15" t="inlineStr">
        <is>
          <t>7%</t>
        </is>
      </c>
      <c r="M149" s="209" t="n"/>
      <c r="N149" s="15" t="inlineStr">
        <is>
          <t>100%</t>
        </is>
      </c>
    </row>
    <row r="150" ht="15" customHeight="1">
      <c r="A150" s="13" t="inlineStr">
        <is>
          <t>Rating × weight</t>
        </is>
      </c>
      <c r="B150" s="15" t="inlineStr">
        <is>
          <t>2.80</t>
        </is>
      </c>
      <c r="C150" s="209" t="n"/>
      <c r="D150" s="15" t="inlineStr">
        <is>
          <t>0.68</t>
        </is>
      </c>
      <c r="E150" s="209" t="n"/>
      <c r="F150" s="15" t="inlineStr">
        <is>
          <t>0.25</t>
        </is>
      </c>
      <c r="G150" s="209" t="n"/>
      <c r="H150" s="15" t="inlineStr">
        <is>
          <t>0.15</t>
        </is>
      </c>
      <c r="I150" s="209" t="n"/>
      <c r="J150" s="15" t="inlineStr">
        <is>
          <t>0.50</t>
        </is>
      </c>
      <c r="K150" s="209" t="n"/>
      <c r="L150" s="15" t="inlineStr">
        <is>
          <t>0.35</t>
        </is>
      </c>
      <c r="M150" s="209" t="n"/>
      <c r="N150" s="15" t="inlineStr">
        <is>
          <t>4.73 → B2</t>
        </is>
      </c>
    </row>
    <row r="151" ht="15" customHeight="1"/>
    <row r="152" ht="15" customHeight="1">
      <c r="A152" s="17" t="inlineStr">
        <is>
          <t>What the numbers mean — Datatech</t>
        </is>
      </c>
    </row>
    <row r="153" ht="15" customHeight="1">
      <c r="A153" s="12" t="inlineStr">
        <is>
          <t>Term</t>
        </is>
      </c>
      <c r="B153" s="12" t="inlineStr">
        <is>
          <t>Meaning</t>
        </is>
      </c>
      <c r="C153" s="210" t="n"/>
      <c r="D153" s="210" t="n"/>
      <c r="E153" s="210" t="n"/>
      <c r="F153" s="210" t="n"/>
      <c r="G153" s="210" t="n"/>
      <c r="H153" s="210" t="n"/>
      <c r="I153" s="210" t="n"/>
      <c r="J153" s="210" t="n"/>
      <c r="K153" s="210" t="n"/>
      <c r="L153" s="209" t="n"/>
      <c r="M153" s="12" t="inlineStr">
        <is>
          <t>People</t>
        </is>
      </c>
      <c r="N153" s="209" t="n"/>
    </row>
    <row r="154" ht="15" customHeight="1">
      <c r="A154" s="13" t="inlineStr">
        <is>
          <t>Score</t>
        </is>
      </c>
      <c r="B154" s="16" t="inlineStr">
        <is>
          <t>The size of the role in level units. Not performance, not pay.</t>
        </is>
      </c>
      <c r="C154" s="210" t="n"/>
      <c r="D154" s="210" t="n"/>
      <c r="E154" s="210" t="n"/>
      <c r="F154" s="210" t="n"/>
      <c r="G154" s="210" t="n"/>
      <c r="H154" s="210" t="n"/>
      <c r="I154" s="210" t="n"/>
      <c r="J154" s="210" t="n"/>
      <c r="K154" s="210" t="n"/>
      <c r="L154" s="209" t="n"/>
      <c r="M154" s="15" t="n">
        <v>27</v>
      </c>
      <c r="N154" s="209" t="n"/>
    </row>
    <row r="155" ht="15" customHeight="1">
      <c r="A155" s="13" t="inlineStr">
        <is>
          <t>Indicated level</t>
        </is>
      </c>
      <c r="B155" s="16" t="inlineStr">
        <is>
          <t>The score rounded to the nearest level.</t>
        </is>
      </c>
      <c r="C155" s="210" t="n"/>
      <c r="D155" s="210" t="n"/>
      <c r="E155" s="210" t="n"/>
      <c r="F155" s="210" t="n"/>
      <c r="G155" s="210" t="n"/>
      <c r="H155" s="210" t="n"/>
      <c r="I155" s="210" t="n"/>
      <c r="J155" s="210" t="n"/>
      <c r="K155" s="210" t="n"/>
      <c r="L155" s="209" t="n"/>
      <c r="M155" s="15" t="n">
        <v>27</v>
      </c>
      <c r="N155" s="209" t="n"/>
    </row>
    <row r="156" ht="15" customHeight="1">
      <c r="A156" s="13" t="inlineStr">
        <is>
          <t>Final level</t>
        </is>
      </c>
      <c r="B156" s="16" t="inlineStr">
        <is>
          <t>The level after the rules. Where it differs from the indicated level, a rule moved it and the reason is recorded.</t>
        </is>
      </c>
      <c r="C156" s="210" t="n"/>
      <c r="D156" s="210" t="n"/>
      <c r="E156" s="210" t="n"/>
      <c r="F156" s="210" t="n"/>
      <c r="G156" s="210" t="n"/>
      <c r="H156" s="210" t="n"/>
      <c r="I156" s="210" t="n"/>
      <c r="J156" s="210" t="n"/>
      <c r="K156" s="210" t="n"/>
      <c r="L156" s="209" t="n"/>
      <c r="M156" s="15" t="inlineStr">
        <is>
          <t>10 differ</t>
        </is>
      </c>
      <c r="N156" s="209" t="n"/>
    </row>
    <row r="157" ht="15" customHeight="1">
      <c r="A157" s="13" t="inlineStr">
        <is>
          <t>Close call</t>
        </is>
      </c>
      <c r="B157" s="16" t="inlineStr">
        <is>
          <t>The score decided the level and sits within ±0.05 of a rounding point. Sent to the calibration panel.</t>
        </is>
      </c>
      <c r="C157" s="210" t="n"/>
      <c r="D157" s="210" t="n"/>
      <c r="E157" s="210" t="n"/>
      <c r="F157" s="210" t="n"/>
      <c r="G157" s="210" t="n"/>
      <c r="H157" s="210" t="n"/>
      <c r="I157" s="210" t="n"/>
      <c r="J157" s="210" t="n"/>
      <c r="K157" s="210" t="n"/>
      <c r="L157" s="209" t="n"/>
      <c r="M157" s="15" t="n">
        <v>0</v>
      </c>
      <c r="N157" s="209" t="n"/>
    </row>
    <row r="158" ht="28" customHeight="1">
      <c r="A158" s="13" t="inlineStr">
        <is>
          <t>Near a gate</t>
        </is>
      </c>
      <c r="B158" s="16" t="inlineStr">
        <is>
          <t>A rule set the level, and the number behind that rule is within a quarter-point of flipping it. Sent to the calibration panel.</t>
        </is>
      </c>
      <c r="C158" s="210" t="n"/>
      <c r="D158" s="210" t="n"/>
      <c r="E158" s="210" t="n"/>
      <c r="F158" s="210" t="n"/>
      <c r="G158" s="210" t="n"/>
      <c r="H158" s="210" t="n"/>
      <c r="I158" s="210" t="n"/>
      <c r="J158" s="210" t="n"/>
      <c r="K158" s="210" t="n"/>
      <c r="L158" s="209" t="n"/>
      <c r="M158" s="15" t="n">
        <v>0</v>
      </c>
      <c r="N158" s="209" t="n"/>
    </row>
    <row r="159" ht="15" customHeight="1">
      <c r="A159" s="13" t="inlineStr">
        <is>
          <t>Not scored</t>
        </is>
      </c>
      <c r="B159" s="16" t="inlineStr">
        <is>
          <t>Interns and first-year trainees, consultants and anyone with incomplete ratings are placed by rule.</t>
        </is>
      </c>
      <c r="C159" s="210" t="n"/>
      <c r="D159" s="210" t="n"/>
      <c r="E159" s="210" t="n"/>
      <c r="F159" s="210" t="n"/>
      <c r="G159" s="210" t="n"/>
      <c r="H159" s="210" t="n"/>
      <c r="I159" s="210" t="n"/>
      <c r="J159" s="210" t="n"/>
      <c r="K159" s="210" t="n"/>
      <c r="L159" s="209" t="n"/>
      <c r="M159" s="15" t="n">
        <v>7</v>
      </c>
      <c r="N159" s="209" t="n"/>
    </row>
    <row r="160"/>
    <row r="161" ht="20" customHeight="1">
      <c r="A161" s="6" t="inlineStr">
        <is>
          <t>Charts — the shape of this population</t>
        </is>
      </c>
    </row>
    <row r="162">
      <c r="A162" s="11" t="inlineStr">
        <is>
          <t>People at each level, and how levels moved from the current structure. Built from the tables beside them.</t>
        </is>
      </c>
    </row>
    <row r="163">
      <c r="A163" s="12" t="inlineStr">
        <is>
          <t>Level</t>
        </is>
      </c>
      <c r="B163" s="12" t="inlineStr">
        <is>
          <t>People</t>
        </is>
      </c>
    </row>
    <row r="164">
      <c r="A164" s="13" t="inlineStr">
        <is>
          <t>A1</t>
        </is>
      </c>
      <c r="B164" s="15" t="n">
        <v>1</v>
      </c>
    </row>
    <row r="165">
      <c r="A165" s="13" t="inlineStr">
        <is>
          <t>A2</t>
        </is>
      </c>
      <c r="B165" s="15" t="n">
        <v>5</v>
      </c>
    </row>
    <row r="166">
      <c r="A166" s="13" t="inlineStr">
        <is>
          <t>A3</t>
        </is>
      </c>
      <c r="B166" s="15" t="n">
        <v>10</v>
      </c>
    </row>
    <row r="167">
      <c r="A167" s="13" t="inlineStr">
        <is>
          <t>B1</t>
        </is>
      </c>
      <c r="B167" s="15" t="n">
        <v>2</v>
      </c>
    </row>
    <row r="168">
      <c r="A168" s="13" t="inlineStr">
        <is>
          <t>B2</t>
        </is>
      </c>
      <c r="B168" s="15" t="n">
        <v>7</v>
      </c>
    </row>
    <row r="169">
      <c r="A169" s="13" t="inlineStr">
        <is>
          <t>C1</t>
        </is>
      </c>
      <c r="B169" s="15" t="n">
        <v>2</v>
      </c>
    </row>
    <row r="170">
      <c r="A170" s="13" t="inlineStr">
        <is>
          <t>D2</t>
        </is>
      </c>
      <c r="B170" s="15" t="n">
        <v>1</v>
      </c>
    </row>
    <row r="171"/>
    <row r="172"/>
    <row r="173"/>
    <row r="174"/>
    <row r="175"/>
    <row r="176"/>
    <row r="177"/>
    <row r="178"/>
    <row r="179"/>
    <row r="180"/>
    <row r="181"/>
    <row r="182">
      <c r="A182" s="12" t="inlineStr">
        <is>
          <t>Current ↓ / New →</t>
        </is>
      </c>
      <c r="B182" s="12" t="inlineStr">
        <is>
          <t>A1</t>
        </is>
      </c>
      <c r="C182" s="12" t="inlineStr">
        <is>
          <t>A2</t>
        </is>
      </c>
      <c r="D182" s="12" t="inlineStr">
        <is>
          <t>A3</t>
        </is>
      </c>
      <c r="E182" s="12" t="inlineStr">
        <is>
          <t>B1</t>
        </is>
      </c>
      <c r="F182" s="12" t="inlineStr">
        <is>
          <t>B2</t>
        </is>
      </c>
      <c r="G182" s="12" t="inlineStr">
        <is>
          <t>C1</t>
        </is>
      </c>
      <c r="H182" s="12" t="inlineStr">
        <is>
          <t>D2</t>
        </is>
      </c>
      <c r="I182" s="12" t="inlineStr">
        <is>
          <t>Total</t>
        </is>
      </c>
    </row>
    <row r="183">
      <c r="A183" s="13" t="inlineStr">
        <is>
          <t>L2</t>
        </is>
      </c>
      <c r="B183" s="15" t="n"/>
      <c r="C183" s="15" t="n"/>
      <c r="D183" s="15" t="n">
        <v>1</v>
      </c>
      <c r="E183" s="15" t="n"/>
      <c r="F183" s="15" t="n"/>
      <c r="G183" s="15" t="n"/>
      <c r="H183" s="15" t="n"/>
      <c r="I183" s="15" t="n">
        <v>1</v>
      </c>
    </row>
    <row r="184">
      <c r="A184" s="13" t="inlineStr">
        <is>
          <t>L3</t>
        </is>
      </c>
      <c r="B184" s="15" t="n"/>
      <c r="C184" s="15" t="n">
        <v>3</v>
      </c>
      <c r="D184" s="15" t="n">
        <v>6</v>
      </c>
      <c r="E184" s="15" t="n"/>
      <c r="F184" s="15" t="n"/>
      <c r="G184" s="15" t="n">
        <v>1</v>
      </c>
      <c r="H184" s="15" t="n"/>
      <c r="I184" s="15" t="n">
        <v>10</v>
      </c>
    </row>
    <row r="185">
      <c r="A185" s="13" t="inlineStr">
        <is>
          <t>L5</t>
        </is>
      </c>
      <c r="B185" s="15" t="n"/>
      <c r="C185" s="15" t="n"/>
      <c r="D185" s="15" t="n"/>
      <c r="E185" s="15" t="n"/>
      <c r="F185" s="15" t="n">
        <v>6</v>
      </c>
      <c r="G185" s="15" t="n"/>
      <c r="H185" s="15" t="n"/>
      <c r="I185" s="15" t="n">
        <v>6</v>
      </c>
    </row>
    <row r="186">
      <c r="A186" s="13" t="inlineStr">
        <is>
          <t>L7</t>
        </is>
      </c>
      <c r="B186" s="15" t="n"/>
      <c r="C186" s="15" t="n"/>
      <c r="D186" s="15" t="n"/>
      <c r="E186" s="15" t="n"/>
      <c r="F186" s="15" t="n"/>
      <c r="G186" s="15" t="n"/>
      <c r="H186" s="15" t="n">
        <v>1</v>
      </c>
      <c r="I186" s="15" t="n">
        <v>1</v>
      </c>
    </row>
    <row r="187">
      <c r="A187" s="13" t="inlineStr">
        <is>
          <t>Not mapped</t>
        </is>
      </c>
      <c r="B187" s="15" t="n">
        <v>1</v>
      </c>
      <c r="C187" s="15" t="n">
        <v>2</v>
      </c>
      <c r="D187" s="15" t="n">
        <v>3</v>
      </c>
      <c r="E187" s="15" t="n">
        <v>2</v>
      </c>
      <c r="F187" s="15" t="n">
        <v>1</v>
      </c>
      <c r="G187" s="15" t="n">
        <v>1</v>
      </c>
      <c r="H187" s="15" t="n"/>
      <c r="I187" s="15" t="n">
        <v>10</v>
      </c>
    </row>
    <row r="188">
      <c r="A188" s="208" t="inlineStr">
        <is>
          <t>Total</t>
        </is>
      </c>
      <c r="B188" s="211" t="n">
        <v>1</v>
      </c>
      <c r="C188" s="211" t="n">
        <v>5</v>
      </c>
      <c r="D188" s="211" t="n">
        <v>10</v>
      </c>
      <c r="E188" s="211" t="n">
        <v>2</v>
      </c>
      <c r="F188" s="211" t="n">
        <v>7</v>
      </c>
      <c r="G188" s="211" t="n">
        <v>2</v>
      </c>
      <c r="H188" s="211" t="n">
        <v>1</v>
      </c>
      <c r="I188" s="211" t="n">
        <v>28</v>
      </c>
    </row>
  </sheetData>
  <mergeCells count="393">
    <mergeCell ref="A48:E48"/>
    <mergeCell ref="L42:N42"/>
    <mergeCell ref="F16:G16"/>
    <mergeCell ref="A134:D134"/>
    <mergeCell ref="E8:F8"/>
    <mergeCell ref="A79:E79"/>
    <mergeCell ref="F36:J36"/>
    <mergeCell ref="F33:J33"/>
    <mergeCell ref="A37:E37"/>
    <mergeCell ref="D70:E70"/>
    <mergeCell ref="F70:G70"/>
    <mergeCell ref="A139:N139"/>
    <mergeCell ref="L108:N108"/>
    <mergeCell ref="F31:J31"/>
    <mergeCell ref="D71:E71"/>
    <mergeCell ref="F71:G71"/>
    <mergeCell ref="L32:N32"/>
    <mergeCell ref="F39:J39"/>
    <mergeCell ref="A43:E43"/>
    <mergeCell ref="B141:G141"/>
    <mergeCell ref="D73:E73"/>
    <mergeCell ref="A63:E63"/>
    <mergeCell ref="L47:N47"/>
    <mergeCell ref="B154:L154"/>
    <mergeCell ref="F64:J64"/>
    <mergeCell ref="B156:L156"/>
    <mergeCell ref="A119:N119"/>
    <mergeCell ref="H107:K107"/>
    <mergeCell ref="E133:G133"/>
    <mergeCell ref="L63:N63"/>
    <mergeCell ref="F21:J21"/>
    <mergeCell ref="L50:N50"/>
    <mergeCell ref="F50:J50"/>
    <mergeCell ref="F17:G17"/>
    <mergeCell ref="L52:N52"/>
    <mergeCell ref="H17:I17"/>
    <mergeCell ref="M7:N7"/>
    <mergeCell ref="H75:I75"/>
    <mergeCell ref="J75:K75"/>
    <mergeCell ref="A73:C73"/>
    <mergeCell ref="A38:E38"/>
    <mergeCell ref="D15:E15"/>
    <mergeCell ref="F49:J49"/>
    <mergeCell ref="H14:I14"/>
    <mergeCell ref="G9:H9"/>
    <mergeCell ref="I9:J9"/>
    <mergeCell ref="L70:M70"/>
    <mergeCell ref="F73:G73"/>
    <mergeCell ref="A82:E82"/>
    <mergeCell ref="L55:N55"/>
    <mergeCell ref="A146:N146"/>
    <mergeCell ref="F55:J55"/>
    <mergeCell ref="A92:D92"/>
    <mergeCell ref="A66:N66"/>
    <mergeCell ref="B142:G142"/>
    <mergeCell ref="A94:D94"/>
    <mergeCell ref="E6:F6"/>
    <mergeCell ref="B157:L157"/>
    <mergeCell ref="F23:J23"/>
    <mergeCell ref="B144:G144"/>
    <mergeCell ref="A133:D133"/>
    <mergeCell ref="F58:J58"/>
    <mergeCell ref="F52:J52"/>
    <mergeCell ref="A122:N122"/>
    <mergeCell ref="F37:J37"/>
    <mergeCell ref="H110:K110"/>
    <mergeCell ref="A28:E28"/>
    <mergeCell ref="D67:E67"/>
    <mergeCell ref="L53:N53"/>
    <mergeCell ref="F60:J60"/>
    <mergeCell ref="A70:C70"/>
    <mergeCell ref="A30:E30"/>
    <mergeCell ref="D69:E69"/>
    <mergeCell ref="F53:J53"/>
    <mergeCell ref="F69:G69"/>
    <mergeCell ref="A59:E59"/>
    <mergeCell ref="J14:K14"/>
    <mergeCell ref="B150:C150"/>
    <mergeCell ref="A74:C74"/>
    <mergeCell ref="A61:E61"/>
    <mergeCell ref="J13:K13"/>
    <mergeCell ref="A88:E88"/>
    <mergeCell ref="A76:C76"/>
    <mergeCell ref="A54:E54"/>
    <mergeCell ref="J15:K15"/>
    <mergeCell ref="F42:J42"/>
    <mergeCell ref="L71:M71"/>
    <mergeCell ref="A41:N41"/>
    <mergeCell ref="A90:N90"/>
    <mergeCell ref="G6:H6"/>
    <mergeCell ref="A56:E56"/>
    <mergeCell ref="A27:E27"/>
    <mergeCell ref="L21:N21"/>
    <mergeCell ref="D16:E16"/>
    <mergeCell ref="B147:C147"/>
    <mergeCell ref="L73:M73"/>
    <mergeCell ref="D147:E147"/>
    <mergeCell ref="A85:E85"/>
    <mergeCell ref="H133:N133"/>
    <mergeCell ref="F67:G67"/>
    <mergeCell ref="L16:N16"/>
    <mergeCell ref="L148:M148"/>
    <mergeCell ref="M159:N159"/>
    <mergeCell ref="A95:D95"/>
    <mergeCell ref="L43:N43"/>
    <mergeCell ref="A97:D97"/>
    <mergeCell ref="F63:J63"/>
    <mergeCell ref="J68:K68"/>
    <mergeCell ref="A71:C71"/>
    <mergeCell ref="L68:M68"/>
    <mergeCell ref="A7:B7"/>
    <mergeCell ref="H113:K113"/>
    <mergeCell ref="D72:E72"/>
    <mergeCell ref="F72:G72"/>
    <mergeCell ref="H72:I72"/>
    <mergeCell ref="A116:N116"/>
    <mergeCell ref="H108:K108"/>
    <mergeCell ref="E135:G135"/>
    <mergeCell ref="D148:E148"/>
    <mergeCell ref="F148:G148"/>
    <mergeCell ref="L24:N24"/>
    <mergeCell ref="L51:N51"/>
    <mergeCell ref="L26:N26"/>
    <mergeCell ref="H136:N136"/>
    <mergeCell ref="F51:J51"/>
    <mergeCell ref="L113:N113"/>
    <mergeCell ref="A98:D98"/>
    <mergeCell ref="A12:N12"/>
    <mergeCell ref="A104:N104"/>
    <mergeCell ref="I8:J8"/>
    <mergeCell ref="L69:M69"/>
    <mergeCell ref="A8:B8"/>
    <mergeCell ref="C8:D8"/>
    <mergeCell ref="E129:G129"/>
    <mergeCell ref="A106:N106"/>
    <mergeCell ref="A81:E81"/>
    <mergeCell ref="L37:N37"/>
    <mergeCell ref="E131:G131"/>
    <mergeCell ref="A113:G113"/>
    <mergeCell ref="A16:C16"/>
    <mergeCell ref="F29:J29"/>
    <mergeCell ref="A91:D91"/>
    <mergeCell ref="L14:N14"/>
    <mergeCell ref="A93:D93"/>
    <mergeCell ref="A138:N138"/>
    <mergeCell ref="F59:J59"/>
    <mergeCell ref="H73:I73"/>
    <mergeCell ref="F24:J24"/>
    <mergeCell ref="A25:E25"/>
    <mergeCell ref="F32:J32"/>
    <mergeCell ref="F26:J26"/>
    <mergeCell ref="E136:G136"/>
    <mergeCell ref="A110:G110"/>
    <mergeCell ref="K8:L8"/>
    <mergeCell ref="A2:N2"/>
    <mergeCell ref="L27:N27"/>
    <mergeCell ref="F149:G149"/>
    <mergeCell ref="A108:G108"/>
    <mergeCell ref="H149:I149"/>
    <mergeCell ref="J149:K149"/>
    <mergeCell ref="F27:J27"/>
    <mergeCell ref="A20:E20"/>
    <mergeCell ref="H150:I150"/>
    <mergeCell ref="J150:K150"/>
    <mergeCell ref="A127:N127"/>
    <mergeCell ref="F44:J44"/>
    <mergeCell ref="A64:E64"/>
    <mergeCell ref="A51:E51"/>
    <mergeCell ref="L45:N45"/>
    <mergeCell ref="L20:N20"/>
    <mergeCell ref="L38:N38"/>
    <mergeCell ref="L109:N109"/>
    <mergeCell ref="F20:J20"/>
    <mergeCell ref="A130:D130"/>
    <mergeCell ref="L22:N22"/>
    <mergeCell ref="A17:C17"/>
    <mergeCell ref="C9:D9"/>
    <mergeCell ref="E9:F9"/>
    <mergeCell ref="H70:I70"/>
    <mergeCell ref="J70:K70"/>
    <mergeCell ref="A132:D132"/>
    <mergeCell ref="M158:N158"/>
    <mergeCell ref="A68:C68"/>
    <mergeCell ref="M6:N6"/>
    <mergeCell ref="A33:E33"/>
    <mergeCell ref="A35:E35"/>
    <mergeCell ref="D74:E74"/>
    <mergeCell ref="A62:E62"/>
    <mergeCell ref="D68:E68"/>
    <mergeCell ref="H76:I76"/>
    <mergeCell ref="J76:K76"/>
    <mergeCell ref="A39:E39"/>
    <mergeCell ref="L33:N33"/>
    <mergeCell ref="C6:D6"/>
    <mergeCell ref="A109:G109"/>
    <mergeCell ref="L35:N35"/>
    <mergeCell ref="A103:N103"/>
    <mergeCell ref="A111:G111"/>
    <mergeCell ref="M153:N153"/>
    <mergeCell ref="A128:N128"/>
    <mergeCell ref="F45:J45"/>
    <mergeCell ref="L59:N59"/>
    <mergeCell ref="A21:E21"/>
    <mergeCell ref="L46:N46"/>
    <mergeCell ref="A57:E57"/>
    <mergeCell ref="J147:K147"/>
    <mergeCell ref="F47:J47"/>
    <mergeCell ref="L111:N111"/>
    <mergeCell ref="L147:M147"/>
    <mergeCell ref="L61:N61"/>
    <mergeCell ref="A23:E23"/>
    <mergeCell ref="F46:J46"/>
    <mergeCell ref="F13:G13"/>
    <mergeCell ref="L48:N48"/>
    <mergeCell ref="H13:I13"/>
    <mergeCell ref="F61:J61"/>
    <mergeCell ref="F48:J48"/>
    <mergeCell ref="A52:E52"/>
    <mergeCell ref="L112:N112"/>
    <mergeCell ref="H15:I15"/>
    <mergeCell ref="H71:I71"/>
    <mergeCell ref="J71:K71"/>
    <mergeCell ref="A69:C69"/>
    <mergeCell ref="A34:E34"/>
    <mergeCell ref="A83:E83"/>
    <mergeCell ref="J73:K73"/>
    <mergeCell ref="A135:D135"/>
    <mergeCell ref="A49:E49"/>
    <mergeCell ref="A36:E36"/>
    <mergeCell ref="A1:N1"/>
    <mergeCell ref="H148:I148"/>
    <mergeCell ref="G7:H7"/>
    <mergeCell ref="I7:J7"/>
    <mergeCell ref="A78:N78"/>
    <mergeCell ref="L34:N34"/>
    <mergeCell ref="F35:J35"/>
    <mergeCell ref="A80:E80"/>
    <mergeCell ref="D75:E75"/>
    <mergeCell ref="F75:G75"/>
    <mergeCell ref="A55:E55"/>
    <mergeCell ref="A13:C13"/>
    <mergeCell ref="L49:N49"/>
    <mergeCell ref="L36:N36"/>
    <mergeCell ref="A67:C67"/>
    <mergeCell ref="M154:N154"/>
    <mergeCell ref="A15:C15"/>
    <mergeCell ref="B158:L158"/>
    <mergeCell ref="A29:E29"/>
    <mergeCell ref="A136:D136"/>
    <mergeCell ref="M156:N156"/>
    <mergeCell ref="B140:G140"/>
    <mergeCell ref="H109:K109"/>
    <mergeCell ref="A129:D129"/>
    <mergeCell ref="A31:E31"/>
    <mergeCell ref="M155:N155"/>
    <mergeCell ref="A58:E58"/>
    <mergeCell ref="H111:K111"/>
    <mergeCell ref="L62:N62"/>
    <mergeCell ref="A24:E24"/>
    <mergeCell ref="B153:L153"/>
    <mergeCell ref="A131:D131"/>
    <mergeCell ref="A60:E60"/>
    <mergeCell ref="K9:L9"/>
    <mergeCell ref="L64:N64"/>
    <mergeCell ref="A124:N124"/>
    <mergeCell ref="A84:E84"/>
    <mergeCell ref="J74:K74"/>
    <mergeCell ref="D17:E17"/>
    <mergeCell ref="H134:N134"/>
    <mergeCell ref="L74:M74"/>
    <mergeCell ref="B148:C148"/>
    <mergeCell ref="A72:C72"/>
    <mergeCell ref="A50:E50"/>
    <mergeCell ref="H16:I16"/>
    <mergeCell ref="A86:E86"/>
    <mergeCell ref="J16:K16"/>
    <mergeCell ref="F38:J38"/>
    <mergeCell ref="A42:E42"/>
    <mergeCell ref="L76:M76"/>
    <mergeCell ref="L17:N17"/>
    <mergeCell ref="L57:N57"/>
    <mergeCell ref="D14:E14"/>
    <mergeCell ref="A152:N152"/>
    <mergeCell ref="F14:G14"/>
    <mergeCell ref="F57:J57"/>
    <mergeCell ref="H67:I67"/>
    <mergeCell ref="J67:K67"/>
    <mergeCell ref="H131:N131"/>
    <mergeCell ref="L67:M67"/>
    <mergeCell ref="L39:N39"/>
    <mergeCell ref="B159:L159"/>
    <mergeCell ref="G8:H8"/>
    <mergeCell ref="J69:K69"/>
    <mergeCell ref="A6:B6"/>
    <mergeCell ref="M157:N157"/>
    <mergeCell ref="B143:G143"/>
    <mergeCell ref="H112:K112"/>
    <mergeCell ref="F62:J62"/>
    <mergeCell ref="F28:J28"/>
    <mergeCell ref="H142:N142"/>
    <mergeCell ref="H129:N129"/>
    <mergeCell ref="H144:N144"/>
    <mergeCell ref="J17:K17"/>
    <mergeCell ref="F68:G68"/>
    <mergeCell ref="F54:J54"/>
    <mergeCell ref="A45:E45"/>
    <mergeCell ref="B149:C149"/>
    <mergeCell ref="L75:M75"/>
    <mergeCell ref="B155:L155"/>
    <mergeCell ref="D149:E149"/>
    <mergeCell ref="L58:N58"/>
    <mergeCell ref="A87:E87"/>
    <mergeCell ref="L25:N25"/>
    <mergeCell ref="F15:G15"/>
    <mergeCell ref="D13:E13"/>
    <mergeCell ref="L60:N60"/>
    <mergeCell ref="A46:E46"/>
    <mergeCell ref="D150:E150"/>
    <mergeCell ref="A26:E26"/>
    <mergeCell ref="A105:N105"/>
    <mergeCell ref="H130:N130"/>
    <mergeCell ref="A99:D99"/>
    <mergeCell ref="H132:N132"/>
    <mergeCell ref="L72:M72"/>
    <mergeCell ref="A101:D101"/>
    <mergeCell ref="L13:N13"/>
    <mergeCell ref="A10:N10"/>
    <mergeCell ref="A9:B9"/>
    <mergeCell ref="A115:N115"/>
    <mergeCell ref="L15:N15"/>
    <mergeCell ref="I6:J6"/>
    <mergeCell ref="A75:C75"/>
    <mergeCell ref="F74:G74"/>
    <mergeCell ref="H74:I74"/>
    <mergeCell ref="H68:I68"/>
    <mergeCell ref="A14:C14"/>
    <mergeCell ref="D76:E76"/>
    <mergeCell ref="F76:G76"/>
    <mergeCell ref="H69:I69"/>
    <mergeCell ref="A120:N120"/>
    <mergeCell ref="A3:N3"/>
    <mergeCell ref="E134:G134"/>
    <mergeCell ref="F150:G150"/>
    <mergeCell ref="A32:E32"/>
    <mergeCell ref="A5:N5"/>
    <mergeCell ref="F22:J22"/>
    <mergeCell ref="L149:M149"/>
    <mergeCell ref="L28:N28"/>
    <mergeCell ref="A161:N161"/>
    <mergeCell ref="K6:L6"/>
    <mergeCell ref="H140:N140"/>
    <mergeCell ref="F147:G147"/>
    <mergeCell ref="H147:I147"/>
    <mergeCell ref="A100:D100"/>
    <mergeCell ref="L23:N23"/>
    <mergeCell ref="A123:N123"/>
    <mergeCell ref="H141:N141"/>
    <mergeCell ref="L54:N54"/>
    <mergeCell ref="H135:N135"/>
    <mergeCell ref="L56:N56"/>
    <mergeCell ref="A118:N118"/>
    <mergeCell ref="L110:N110"/>
    <mergeCell ref="A47:E47"/>
    <mergeCell ref="A22:E22"/>
    <mergeCell ref="K7:L7"/>
    <mergeCell ref="C7:D7"/>
    <mergeCell ref="E7:F7"/>
    <mergeCell ref="A121:N121"/>
    <mergeCell ref="A44:E44"/>
    <mergeCell ref="F34:J34"/>
    <mergeCell ref="J72:K72"/>
    <mergeCell ref="A96:D96"/>
    <mergeCell ref="F25:J25"/>
    <mergeCell ref="L30:N30"/>
    <mergeCell ref="L150:M150"/>
    <mergeCell ref="A112:G112"/>
    <mergeCell ref="L29:N29"/>
    <mergeCell ref="F30:J30"/>
    <mergeCell ref="A162:N162"/>
    <mergeCell ref="L44:N44"/>
    <mergeCell ref="L31:N31"/>
    <mergeCell ref="A107:G107"/>
    <mergeCell ref="J148:K148"/>
    <mergeCell ref="H143:N143"/>
    <mergeCell ref="E130:G130"/>
    <mergeCell ref="F56:J56"/>
    <mergeCell ref="A53:E53"/>
    <mergeCell ref="A126:N126"/>
    <mergeCell ref="F43:J43"/>
    <mergeCell ref="L107:N107"/>
    <mergeCell ref="E132:G132"/>
    <mergeCell ref="A19:N19"/>
    <mergeCell ref="A117:N117"/>
  </mergeCells>
  <conditionalFormatting sqref="B183:H187">
    <cfRule type="colorScale" priority="1">
      <colorScale>
        <cfvo type="num" val="0"/>
        <cfvo type="max"/>
        <color rgb="00FFFFFF"/>
        <color rgb="002E75B6"/>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4.xml><?xml version="1.0" encoding="utf-8"?>
<worksheet xmlns="http://schemas.openxmlformats.org/spreadsheetml/2006/main">
  <sheetPr>
    <tabColor rgb="001F3864"/>
    <outlinePr summaryBelow="1" summaryRight="1"/>
    <pageSetUpPr fitToPage="1"/>
  </sheetPr>
  <dimension ref="A1:W40"/>
  <sheetViews>
    <sheetView showGridLines="0"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10" customWidth="1" min="3" max="3"/>
    <col width="18" customWidth="1" min="4" max="4"/>
    <col width="22" customWidth="1" min="5" max="5"/>
    <col width="24" customWidth="1" min="6" max="6"/>
    <col width="24" customWidth="1" min="7" max="7"/>
    <col width="26" customWidth="1" min="8" max="8"/>
    <col width="14" customWidth="1" min="9" max="9"/>
    <col width="9" customWidth="1" min="10" max="10"/>
    <col width="13" customWidth="1" min="11" max="11"/>
    <col width="12" customWidth="1" min="12" max="12"/>
    <col width="8" customWidth="1" min="13" max="13"/>
    <col width="9" customWidth="1" min="14" max="14"/>
    <col width="9" customWidth="1" min="15" max="15"/>
    <col width="10" customWidth="1" min="16" max="16"/>
    <col width="9" customWidth="1" min="17" max="17"/>
    <col width="9" customWidth="1" min="18" max="18"/>
    <col width="9" customWidth="1" min="19" max="19"/>
    <col width="44" customWidth="1" min="20" max="20"/>
    <col width="24" customWidth="1" min="21" max="21"/>
    <col width="10" customWidth="1" min="22" max="22"/>
    <col width="13" customWidth="1" min="23" max="23"/>
  </cols>
  <sheetData>
    <row r="1" ht="34" customHeight="1">
      <c r="A1" s="1" t="inlineStr">
        <is>
          <t>Placements — one line per person · the slim view</t>
        </is>
      </c>
      <c r="W1" s="241" t="inlineStr">
        <is>
          <t>◂ Contents</t>
        </is>
      </c>
    </row>
    <row r="2" ht="32" customHeight="1">
      <c r="A2" s="3" t="inlineStr">
        <is>
          <t>Sheet 1a · 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3">
      <c r="A3" s="4" t="inlineStr">
        <is>
          <t>IRIS · Job Architecture &amp; Job Design · Final v1.12 · October 2026 · Internal — Confidential</t>
        </is>
      </c>
    </row>
    <row r="4"/>
    <row r="5"/>
    <row r="6" ht="30" customHeight="1">
      <c r="A6" s="92" t="inlineStr">
        <is>
          <t>Emp ID</t>
        </is>
      </c>
      <c r="B6" s="92" t="inlineStr">
        <is>
          <t>Employee name</t>
        </is>
      </c>
      <c r="C6" s="92" t="inlineStr">
        <is>
          <t>Business</t>
        </is>
      </c>
      <c r="D6" s="92" t="inlineStr">
        <is>
          <t>Department</t>
        </is>
      </c>
      <c r="E6" s="92" t="inlineStr">
        <is>
          <t>Job family</t>
        </is>
      </c>
      <c r="F6" s="92" t="inlineStr">
        <is>
          <t>Sub-family</t>
        </is>
      </c>
      <c r="G6" s="92" t="inlineStr">
        <is>
          <t>Current designation</t>
        </is>
      </c>
      <c r="H6" s="92" t="inlineStr">
        <is>
          <t>Final designation</t>
        </is>
      </c>
      <c r="I6" s="92" t="inlineStr">
        <is>
          <t>Current level</t>
        </is>
      </c>
      <c r="J6" s="92" t="inlineStr">
        <is>
          <t>FINAL LEVEL</t>
        </is>
      </c>
      <c r="K6" s="92" t="inlineStr">
        <is>
          <t>Track</t>
        </is>
      </c>
      <c r="L6" s="92" t="inlineStr">
        <is>
          <t>Change</t>
        </is>
      </c>
      <c r="M6" s="92" t="inlineStr">
        <is>
          <t>Score</t>
        </is>
      </c>
      <c r="N6" s="92" t="inlineStr">
        <is>
          <t>Complexity</t>
        </is>
      </c>
      <c r="O6" s="92" t="inlineStr">
        <is>
          <t>Autonomy</t>
        </is>
      </c>
      <c r="P6" s="92" t="inlineStr">
        <is>
          <t>Accountability</t>
        </is>
      </c>
      <c r="Q6" s="92" t="inlineStr">
        <is>
          <t>Leadership</t>
        </is>
      </c>
      <c r="R6" s="92" t="inlineStr">
        <is>
          <t>Exp &amp; Qual</t>
        </is>
      </c>
      <c r="S6" s="92" t="inlineStr">
        <is>
          <t>Bus. Impact</t>
        </is>
      </c>
      <c r="T6" s="92" t="inlineStr">
        <is>
          <t>What set the level</t>
        </is>
      </c>
      <c r="U6" s="92" t="inlineStr">
        <is>
          <t>Flags</t>
        </is>
      </c>
      <c r="V6" s="92" t="inlineStr">
        <is>
          <t>Confidence</t>
        </is>
      </c>
    </row>
    <row r="7">
      <c r="A7" s="15" t="inlineStr">
        <is>
          <t>IRISDT0012</t>
        </is>
      </c>
      <c r="B7" s="212" t="inlineStr">
        <is>
          <t>Jeevan Khokale</t>
        </is>
      </c>
      <c r="C7" s="212" t="inlineStr">
        <is>
          <t>Datatech</t>
        </is>
      </c>
      <c r="D7" s="212" t="inlineStr">
        <is>
          <t>Datatech - Outreach</t>
        </is>
      </c>
      <c r="E7" s="212" t="inlineStr">
        <is>
          <t>Sales &amp; Business Development</t>
        </is>
      </c>
      <c r="F7" s="212" t="inlineStr">
        <is>
          <t>Field Outreach &amp; Programme Sales</t>
        </is>
      </c>
      <c r="G7" s="212" t="inlineStr">
        <is>
          <t>Program Manager</t>
        </is>
      </c>
      <c r="H7" s="212" t="inlineStr">
        <is>
          <t>Senior Program Specialist – POD Lead</t>
        </is>
      </c>
      <c r="I7" s="15" t="inlineStr">
        <is>
          <t>L5</t>
        </is>
      </c>
      <c r="J7" s="116" t="inlineStr">
        <is>
          <t>B2</t>
        </is>
      </c>
      <c r="K7" s="15" t="inlineStr">
        <is>
          <t>POD Lead</t>
        </is>
      </c>
      <c r="L7" s="15" t="inlineStr">
        <is>
          <t>Same level</t>
        </is>
      </c>
      <c r="M7" s="15" t="n">
        <v>4.83</v>
      </c>
      <c r="N7" s="15" t="n">
        <v>5</v>
      </c>
      <c r="O7" s="15" t="n">
        <v>5</v>
      </c>
      <c r="P7" s="15" t="n">
        <v>4</v>
      </c>
      <c r="Q7" s="15" t="n">
        <v>4</v>
      </c>
      <c r="R7" s="15" t="n">
        <v>5.5</v>
      </c>
      <c r="S7" s="15" t="n">
        <v>4</v>
      </c>
      <c r="T7" s="212" t="inlineStr">
        <is>
          <t>The score decided the level</t>
        </is>
      </c>
      <c r="U7" s="212" t="inlineStr">
        <is>
          <t>—</t>
        </is>
      </c>
      <c r="V7" s="15" t="inlineStr">
        <is>
          <t>Medium</t>
        </is>
      </c>
    </row>
    <row r="8">
      <c r="A8" s="15" t="inlineStr">
        <is>
          <t>IRISDT0011</t>
        </is>
      </c>
      <c r="B8" s="212" t="inlineStr">
        <is>
          <t>Raghin Nair</t>
        </is>
      </c>
      <c r="C8" s="212" t="inlineStr">
        <is>
          <t>Datatech</t>
        </is>
      </c>
      <c r="D8" s="212" t="inlineStr">
        <is>
          <t>Datatech - Outreach</t>
        </is>
      </c>
      <c r="E8" s="212" t="inlineStr">
        <is>
          <t>Sales &amp; Business Development</t>
        </is>
      </c>
      <c r="F8" s="212" t="inlineStr">
        <is>
          <t>Field Outreach &amp; Programme Sales</t>
        </is>
      </c>
      <c r="G8" s="212" t="inlineStr">
        <is>
          <t>Program Lead</t>
        </is>
      </c>
      <c r="H8" s="212" t="inlineStr">
        <is>
          <t>Program Manager – Outreach</t>
        </is>
      </c>
      <c r="I8" s="15" t="inlineStr">
        <is>
          <t>L5</t>
        </is>
      </c>
      <c r="J8" s="116" t="inlineStr">
        <is>
          <t>B2</t>
        </is>
      </c>
      <c r="K8" s="15" t="inlineStr">
        <is>
          <t>People Manager</t>
        </is>
      </c>
      <c r="L8" s="213" t="inlineStr">
        <is>
          <t>Down</t>
        </is>
      </c>
      <c r="M8" s="15" t="n">
        <v>5.25</v>
      </c>
      <c r="N8" s="15" t="n">
        <v>4.5</v>
      </c>
      <c r="O8" s="15" t="n">
        <v>4.5</v>
      </c>
      <c r="P8" s="15" t="n">
        <v>5</v>
      </c>
      <c r="Q8" s="15" t="n">
        <v>5</v>
      </c>
      <c r="R8" s="15" t="n">
        <v>9.5</v>
      </c>
      <c r="S8" s="15" t="n">
        <v>5.5</v>
      </c>
      <c r="T8" s="212" t="inlineStr">
        <is>
          <t>The score decided the level</t>
        </is>
      </c>
      <c r="U8" s="214" t="inlineStr">
        <is>
          <t>Down — protected</t>
        </is>
      </c>
      <c r="V8" s="15" t="inlineStr">
        <is>
          <t>Medium</t>
        </is>
      </c>
    </row>
    <row r="9">
      <c r="A9" s="15" t="inlineStr">
        <is>
          <t>IRISDT0013</t>
        </is>
      </c>
      <c r="B9" s="212" t="inlineStr">
        <is>
          <t>Bharati Durgaprasad Paranjape</t>
        </is>
      </c>
      <c r="C9" s="212" t="inlineStr">
        <is>
          <t>Datatech</t>
        </is>
      </c>
      <c r="D9" s="212" t="inlineStr">
        <is>
          <t>Datatech - Outreach</t>
        </is>
      </c>
      <c r="E9" s="212" t="inlineStr">
        <is>
          <t>Sales &amp; Business Development</t>
        </is>
      </c>
      <c r="F9" s="212" t="inlineStr">
        <is>
          <t>Field Outreach &amp; Programme Sales</t>
        </is>
      </c>
      <c r="G9" s="212" t="inlineStr">
        <is>
          <t>Program Executive - MSME</t>
        </is>
      </c>
      <c r="H9" s="212" t="inlineStr">
        <is>
          <t>Senior Program Executive</t>
        </is>
      </c>
      <c r="I9" s="15" t="inlineStr">
        <is>
          <t>L3</t>
        </is>
      </c>
      <c r="J9" s="144" t="inlineStr">
        <is>
          <t>A3</t>
        </is>
      </c>
      <c r="K9" s="15" t="inlineStr">
        <is>
          <t>IC</t>
        </is>
      </c>
      <c r="L9" s="215" t="inlineStr">
        <is>
          <t>Up</t>
        </is>
      </c>
      <c r="M9" s="15" t="n">
        <v>2.2</v>
      </c>
      <c r="N9" s="15" t="n">
        <v>2</v>
      </c>
      <c r="O9" s="15" t="n">
        <v>2</v>
      </c>
      <c r="P9" s="15" t="n">
        <v>2</v>
      </c>
      <c r="Q9" s="15" t="n">
        <v>1</v>
      </c>
      <c r="R9" s="15" t="n">
        <v>4</v>
      </c>
      <c r="S9" s="15" t="n">
        <v>2</v>
      </c>
      <c r="T9" s="212" t="inlineStr">
        <is>
          <r>
            <rPr>
              <rFont val="Calibri"/>
              <b val="1"/>
              <sz val="10"/>
            </rPr>
            <t>Rule:</t>
          </r>
          <r>
            <rPr>
              <rFont val="Calibri"/>
              <sz val="10"/>
            </rPr>
            <t xml:space="preserve"> R7 Band A experience</t>
          </r>
        </is>
      </c>
      <c r="U9" s="212" t="inlineStr">
        <is>
          <t>—</t>
        </is>
      </c>
      <c r="V9" s="15" t="inlineStr">
        <is>
          <t>Medium</t>
        </is>
      </c>
    </row>
    <row r="10">
      <c r="A10" s="15" t="inlineStr">
        <is>
          <t>IRISDT0017</t>
        </is>
      </c>
      <c r="B10" s="212" t="inlineStr">
        <is>
          <t>Lakshmikantha RN</t>
        </is>
      </c>
      <c r="C10" s="212" t="inlineStr">
        <is>
          <t>Datatech</t>
        </is>
      </c>
      <c r="D10" s="212" t="inlineStr">
        <is>
          <t>Datatech - Outreach</t>
        </is>
      </c>
      <c r="E10" s="212" t="inlineStr">
        <is>
          <t>Sales &amp; Business Development</t>
        </is>
      </c>
      <c r="F10" s="212" t="inlineStr">
        <is>
          <t>Field Outreach &amp; Programme Sales</t>
        </is>
      </c>
      <c r="G10" s="212" t="inlineStr">
        <is>
          <t>Program Executive - MSME</t>
        </is>
      </c>
      <c r="H10" s="212" t="inlineStr">
        <is>
          <t>Senior Program Executive</t>
        </is>
      </c>
      <c r="I10" s="15" t="inlineStr">
        <is>
          <t>L3</t>
        </is>
      </c>
      <c r="J10" s="144" t="inlineStr">
        <is>
          <t>A3</t>
        </is>
      </c>
      <c r="K10" s="15" t="inlineStr">
        <is>
          <t>IC</t>
        </is>
      </c>
      <c r="L10" s="215" t="inlineStr">
        <is>
          <t>Up</t>
        </is>
      </c>
      <c r="M10" s="15" t="n">
        <v>2.15</v>
      </c>
      <c r="N10" s="15" t="n">
        <v>2</v>
      </c>
      <c r="O10" s="15" t="n">
        <v>2</v>
      </c>
      <c r="P10" s="15" t="n">
        <v>2</v>
      </c>
      <c r="Q10" s="15" t="n">
        <v>1</v>
      </c>
      <c r="R10" s="15" t="n">
        <v>3.5</v>
      </c>
      <c r="S10" s="15" t="n">
        <v>2</v>
      </c>
      <c r="T10" s="212" t="inlineStr">
        <is>
          <r>
            <rPr>
              <rFont val="Calibri"/>
              <b val="1"/>
              <sz val="10"/>
            </rPr>
            <t>Rule:</t>
          </r>
          <r>
            <rPr>
              <rFont val="Calibri"/>
              <sz val="10"/>
            </rPr>
            <t xml:space="preserve"> R7 Band A experience</t>
          </r>
        </is>
      </c>
      <c r="U10" s="212" t="inlineStr">
        <is>
          <t>—</t>
        </is>
      </c>
      <c r="V10" s="15" t="inlineStr">
        <is>
          <t>Medium</t>
        </is>
      </c>
    </row>
    <row r="11">
      <c r="A11" s="15" t="inlineStr">
        <is>
          <t>IRISDT0003</t>
        </is>
      </c>
      <c r="B11" s="212" t="inlineStr">
        <is>
          <t>Nalini Niranjan Damisetti</t>
        </is>
      </c>
      <c r="C11" s="212" t="inlineStr">
        <is>
          <t>Datatech</t>
        </is>
      </c>
      <c r="D11" s="212" t="inlineStr">
        <is>
          <t>Datatech - Outreach</t>
        </is>
      </c>
      <c r="E11" s="212" t="inlineStr">
        <is>
          <t>Sales &amp; Business Development</t>
        </is>
      </c>
      <c r="F11" s="212" t="inlineStr">
        <is>
          <t>Field Outreach &amp; Programme Sales</t>
        </is>
      </c>
      <c r="G11" s="212" t="inlineStr">
        <is>
          <t>Program Coordinator</t>
        </is>
      </c>
      <c r="H11" s="212" t="inlineStr">
        <is>
          <t>Senior Program Executive</t>
        </is>
      </c>
      <c r="I11" s="15" t="inlineStr">
        <is>
          <t>L3</t>
        </is>
      </c>
      <c r="J11" s="144" t="inlineStr">
        <is>
          <t>A3</t>
        </is>
      </c>
      <c r="K11" s="15" t="inlineStr">
        <is>
          <t>IC</t>
        </is>
      </c>
      <c r="L11" s="215" t="inlineStr">
        <is>
          <t>Up</t>
        </is>
      </c>
      <c r="M11" s="15" t="n">
        <v>2.35</v>
      </c>
      <c r="N11" s="15" t="n">
        <v>2</v>
      </c>
      <c r="O11" s="15" t="n">
        <v>2</v>
      </c>
      <c r="P11" s="15" t="n">
        <v>2</v>
      </c>
      <c r="Q11" s="15" t="n">
        <v>1</v>
      </c>
      <c r="R11" s="15" t="n">
        <v>5.5</v>
      </c>
      <c r="S11" s="15" t="n">
        <v>2</v>
      </c>
      <c r="T11" s="212" t="inlineStr">
        <is>
          <r>
            <rPr>
              <rFont val="Calibri"/>
              <b val="1"/>
              <sz val="10"/>
            </rPr>
            <t>Rule:</t>
          </r>
          <r>
            <rPr>
              <rFont val="Calibri"/>
              <sz val="10"/>
            </rPr>
            <t xml:space="preserve"> R7 Band A experience</t>
          </r>
        </is>
      </c>
      <c r="U11" s="212" t="inlineStr">
        <is>
          <t>—</t>
        </is>
      </c>
      <c r="V11" s="15" t="inlineStr">
        <is>
          <t>Medium</t>
        </is>
      </c>
    </row>
    <row r="12">
      <c r="A12" s="15" t="inlineStr">
        <is>
          <t>IRISDT0015</t>
        </is>
      </c>
      <c r="B12" s="212" t="inlineStr">
        <is>
          <t>Jothi Pillai</t>
        </is>
      </c>
      <c r="C12" s="212" t="inlineStr">
        <is>
          <t>Datatech</t>
        </is>
      </c>
      <c r="D12" s="212" t="inlineStr">
        <is>
          <t>Datatech - Outreach</t>
        </is>
      </c>
      <c r="E12" s="212" t="inlineStr">
        <is>
          <t>Sales &amp; Business Development</t>
        </is>
      </c>
      <c r="F12" s="212" t="inlineStr">
        <is>
          <t>Field Outreach &amp; Programme Sales</t>
        </is>
      </c>
      <c r="G12" s="212" t="inlineStr">
        <is>
          <t>Operations Executive</t>
        </is>
      </c>
      <c r="H12" s="212" t="inlineStr">
        <is>
          <t>Program Executive</t>
        </is>
      </c>
      <c r="I12" s="15" t="inlineStr">
        <is>
          <t>L3</t>
        </is>
      </c>
      <c r="J12" s="144" t="inlineStr">
        <is>
          <t>A2</t>
        </is>
      </c>
      <c r="K12" s="15" t="inlineStr">
        <is>
          <t>IC</t>
        </is>
      </c>
      <c r="L12" s="15" t="inlineStr">
        <is>
          <t>Same level</t>
        </is>
      </c>
      <c r="M12" s="15" t="n">
        <v>2.06</v>
      </c>
      <c r="N12" s="15" t="n">
        <v>2</v>
      </c>
      <c r="O12" s="15" t="n">
        <v>2</v>
      </c>
      <c r="P12" s="15" t="n">
        <v>2</v>
      </c>
      <c r="Q12" s="15" t="n">
        <v>1</v>
      </c>
      <c r="R12" s="15" t="n">
        <v>2</v>
      </c>
      <c r="S12" s="15" t="n">
        <v>2.5</v>
      </c>
      <c r="T12" s="212" t="inlineStr">
        <is>
          <t>The score decided the level</t>
        </is>
      </c>
      <c r="U12" s="212" t="inlineStr">
        <is>
          <t>—</t>
        </is>
      </c>
      <c r="V12" s="15" t="inlineStr">
        <is>
          <t>Medium</t>
        </is>
      </c>
    </row>
    <row r="13">
      <c r="A13" s="15" t="inlineStr">
        <is>
          <t>IRISDTC004</t>
        </is>
      </c>
      <c r="B13" s="212" t="inlineStr">
        <is>
          <t>Sameeksha More</t>
        </is>
      </c>
      <c r="C13" s="212" t="inlineStr">
        <is>
          <t>Datatech</t>
        </is>
      </c>
      <c r="D13" s="212" t="inlineStr">
        <is>
          <t>Datatech - Outreach</t>
        </is>
      </c>
      <c r="E13" s="212" t="inlineStr">
        <is>
          <t>Data &amp; Analytics</t>
        </is>
      </c>
      <c r="F13" s="212" t="inlineStr">
        <is>
          <t>MIS &amp; Business Reporting</t>
        </is>
      </c>
      <c r="G13" s="212" t="inlineStr">
        <is>
          <t>MIS Associate</t>
        </is>
      </c>
      <c r="H13" s="212" t="inlineStr">
        <is>
          <t>MIS Associate</t>
        </is>
      </c>
      <c r="I13" s="15" t="inlineStr">
        <is>
          <t>Not mapped</t>
        </is>
      </c>
      <c r="J13" s="144" t="inlineStr">
        <is>
          <t>A2</t>
        </is>
      </c>
      <c r="K13" s="15" t="inlineStr">
        <is>
          <t>IC</t>
        </is>
      </c>
      <c r="L13" s="216" t="inlineStr">
        <is>
          <t>Newly mapped</t>
        </is>
      </c>
      <c r="M13" s="15" t="n">
        <v>1.96</v>
      </c>
      <c r="N13" s="15" t="n">
        <v>2</v>
      </c>
      <c r="O13" s="15" t="n">
        <v>2</v>
      </c>
      <c r="P13" s="15" t="n">
        <v>2</v>
      </c>
      <c r="Q13" s="15" t="n">
        <v>1</v>
      </c>
      <c r="R13" s="15" t="n">
        <v>1</v>
      </c>
      <c r="S13" s="15" t="n">
        <v>2.5</v>
      </c>
      <c r="T13" s="212" t="inlineStr">
        <is>
          <t>The score decided the level</t>
        </is>
      </c>
      <c r="U13" s="212" t="inlineStr">
        <is>
          <t>—</t>
        </is>
      </c>
      <c r="V13" s="15" t="inlineStr">
        <is>
          <t>High</t>
        </is>
      </c>
    </row>
    <row r="14">
      <c r="A14" s="15" t="inlineStr">
        <is>
          <t>IRISDTC003</t>
        </is>
      </c>
      <c r="B14" s="212" t="inlineStr">
        <is>
          <t>Vaibhav Dukare</t>
        </is>
      </c>
      <c r="C14" s="212" t="inlineStr">
        <is>
          <t>Datatech</t>
        </is>
      </c>
      <c r="D14" s="212" t="inlineStr">
        <is>
          <t>Datatech - Outreach</t>
        </is>
      </c>
      <c r="E14" s="212" t="inlineStr">
        <is>
          <t>Sales &amp; Business Development</t>
        </is>
      </c>
      <c r="F14" s="212" t="inlineStr">
        <is>
          <t>Field Outreach &amp; Programme Sales</t>
        </is>
      </c>
      <c r="G14" s="212" t="inlineStr">
        <is>
          <t>Customer Engagement Executive</t>
        </is>
      </c>
      <c r="H14" s="212" t="inlineStr">
        <is>
          <t>Program Executive</t>
        </is>
      </c>
      <c r="I14" s="15" t="inlineStr">
        <is>
          <t>L3</t>
        </is>
      </c>
      <c r="J14" s="144" t="inlineStr">
        <is>
          <t>A2</t>
        </is>
      </c>
      <c r="K14" s="15" t="inlineStr">
        <is>
          <t>IC</t>
        </is>
      </c>
      <c r="L14" s="15" t="inlineStr">
        <is>
          <t>Same level</t>
        </is>
      </c>
      <c r="M14" s="15" t="n">
        <v>2.1</v>
      </c>
      <c r="N14" s="15" t="n">
        <v>2</v>
      </c>
      <c r="O14" s="15" t="n">
        <v>2</v>
      </c>
      <c r="P14" s="15" t="n">
        <v>2</v>
      </c>
      <c r="Q14" s="15" t="n">
        <v>1</v>
      </c>
      <c r="R14" s="15" t="n">
        <v>2.5</v>
      </c>
      <c r="S14" s="15" t="n">
        <v>2.5</v>
      </c>
      <c r="T14" s="212" t="inlineStr">
        <is>
          <t>The score decided the level</t>
        </is>
      </c>
      <c r="U14" s="212" t="inlineStr">
        <is>
          <t>—</t>
        </is>
      </c>
      <c r="V14" s="15" t="inlineStr">
        <is>
          <t>Medium</t>
        </is>
      </c>
    </row>
    <row r="15">
      <c r="A15" s="15" t="inlineStr">
        <is>
          <t>IRISDT0001</t>
        </is>
      </c>
      <c r="B15" s="212" t="inlineStr">
        <is>
          <t>Shilpa Dhobale</t>
        </is>
      </c>
      <c r="C15" s="212" t="inlineStr">
        <is>
          <t>Datatech</t>
        </is>
      </c>
      <c r="D15" s="212" t="inlineStr">
        <is>
          <t>Datatech Business Head</t>
        </is>
      </c>
      <c r="E15" s="212" t="inlineStr">
        <is>
          <t>Executive Leadership</t>
        </is>
      </c>
      <c r="F15" s="212" t="inlineStr">
        <is>
          <t>Business &amp; Functional Leadership</t>
        </is>
      </c>
      <c r="G15" s="212" t="inlineStr">
        <is>
          <t>Business Head - DataTech</t>
        </is>
      </c>
      <c r="H15" s="212" t="inlineStr">
        <is>
          <t>Business Head – DataTech</t>
        </is>
      </c>
      <c r="I15" s="15" t="inlineStr">
        <is>
          <t>L7</t>
        </is>
      </c>
      <c r="J15" s="181" t="inlineStr">
        <is>
          <t>D2</t>
        </is>
      </c>
      <c r="K15" s="15" t="inlineStr">
        <is>
          <t>People Manager</t>
        </is>
      </c>
      <c r="L15" s="215" t="inlineStr">
        <is>
          <t>Up</t>
        </is>
      </c>
      <c r="M15" s="15" t="n">
        <v>8.81</v>
      </c>
      <c r="N15" s="15" t="n">
        <v>9</v>
      </c>
      <c r="O15" s="15" t="n">
        <v>9</v>
      </c>
      <c r="P15" s="15" t="n">
        <v>9</v>
      </c>
      <c r="Q15" s="15" t="n">
        <v>9</v>
      </c>
      <c r="R15" s="15" t="n">
        <v>4.5</v>
      </c>
      <c r="S15" s="15" t="n">
        <v>9.5</v>
      </c>
      <c r="T15" s="212" t="inlineStr">
        <is>
          <r>
            <rPr>
              <rFont val="Calibri"/>
              <b val="1"/>
              <sz val="10"/>
            </rPr>
            <t>Rule:</t>
          </r>
          <r>
            <rPr>
              <rFont val="Calibri"/>
              <sz val="10"/>
            </rPr>
            <t xml:space="preserve"> R11 leadership decision</t>
          </r>
        </is>
      </c>
      <c r="U15" s="214" t="inlineStr">
        <is>
          <t>Input needed</t>
        </is>
      </c>
      <c r="V15" s="15" t="inlineStr">
        <is>
          <t>Low</t>
        </is>
      </c>
    </row>
    <row r="16">
      <c r="A16" s="15" t="inlineStr">
        <is>
          <t>IRISDT0009</t>
        </is>
      </c>
      <c r="B16" s="212" t="inlineStr">
        <is>
          <t>Ankita Pathak</t>
        </is>
      </c>
      <c r="C16" s="212" t="inlineStr">
        <is>
          <t>Datatech</t>
        </is>
      </c>
      <c r="D16" s="212" t="inlineStr">
        <is>
          <t>Marketing</t>
        </is>
      </c>
      <c r="E16" s="212" t="inlineStr">
        <is>
          <t>Marketing &amp; Communications</t>
        </is>
      </c>
      <c r="F16" s="212" t="inlineStr">
        <is>
          <t>Marketing Leadership</t>
        </is>
      </c>
      <c r="G16" s="212" t="inlineStr">
        <is>
          <t>Manager Marketing</t>
        </is>
      </c>
      <c r="H16" s="212" t="inlineStr">
        <is>
          <t>Marketing Specialist – POD Lead</t>
        </is>
      </c>
      <c r="I16" s="15" t="inlineStr">
        <is>
          <t>L5</t>
        </is>
      </c>
      <c r="J16" s="116" t="inlineStr">
        <is>
          <t>B2</t>
        </is>
      </c>
      <c r="K16" s="15" t="inlineStr">
        <is>
          <t>POD Lead</t>
        </is>
      </c>
      <c r="L16" s="213" t="inlineStr">
        <is>
          <t>Down</t>
        </is>
      </c>
      <c r="M16" s="15" t="n">
        <v>4.68</v>
      </c>
      <c r="N16" s="15" t="n">
        <v>5</v>
      </c>
      <c r="O16" s="15" t="n">
        <v>4.5</v>
      </c>
      <c r="P16" s="15" t="n">
        <v>4</v>
      </c>
      <c r="Q16" s="15" t="n">
        <v>4</v>
      </c>
      <c r="R16" s="15" t="n">
        <v>4.5</v>
      </c>
      <c r="S16" s="15" t="n">
        <v>4.5</v>
      </c>
      <c r="T16" s="212" t="inlineStr">
        <is>
          <t>The score decided the level</t>
        </is>
      </c>
      <c r="U16" s="214" t="inlineStr">
        <is>
          <t>Down — protected</t>
        </is>
      </c>
      <c r="V16" s="15" t="inlineStr">
        <is>
          <t>Medium</t>
        </is>
      </c>
    </row>
    <row r="17">
      <c r="A17" s="15" t="inlineStr">
        <is>
          <t>IRISDTC001</t>
        </is>
      </c>
      <c r="B17" s="212" t="inlineStr">
        <is>
          <t>Lalit Subhash Dhamale</t>
        </is>
      </c>
      <c r="C17" s="212" t="inlineStr">
        <is>
          <t>Datatech</t>
        </is>
      </c>
      <c r="D17" s="212" t="inlineStr">
        <is>
          <t>Marketing</t>
        </is>
      </c>
      <c r="E17" s="212" t="inlineStr">
        <is>
          <t>Marketing &amp; Communications</t>
        </is>
      </c>
      <c r="F17" s="212" t="inlineStr">
        <is>
          <t>Digital Marketing, Web &amp; Social</t>
        </is>
      </c>
      <c r="G17" s="212" t="inlineStr">
        <is>
          <t>Social Media &amp; ORM Specialist</t>
        </is>
      </c>
      <c r="H17" s="212" t="inlineStr">
        <is>
          <t>Senior Digital Marketing Associate</t>
        </is>
      </c>
      <c r="I17" s="15" t="inlineStr">
        <is>
          <t>Not mapped</t>
        </is>
      </c>
      <c r="J17" s="144" t="inlineStr">
        <is>
          <t>A3</t>
        </is>
      </c>
      <c r="K17" s="15" t="inlineStr">
        <is>
          <t>IC</t>
        </is>
      </c>
      <c r="L17" s="216" t="inlineStr">
        <is>
          <t>Newly mapped</t>
        </is>
      </c>
      <c r="M17" s="15" t="n">
        <v>2.95</v>
      </c>
      <c r="N17" s="15" t="n">
        <v>3</v>
      </c>
      <c r="O17" s="15" t="n">
        <v>3</v>
      </c>
      <c r="P17" s="15" t="n">
        <v>3</v>
      </c>
      <c r="Q17" s="15" t="n">
        <v>2</v>
      </c>
      <c r="R17" s="15" t="n">
        <v>2.5</v>
      </c>
      <c r="S17" s="15" t="n">
        <v>3</v>
      </c>
      <c r="T17" s="212" t="inlineStr">
        <is>
          <t>The score decided the level</t>
        </is>
      </c>
      <c r="U17" s="212" t="inlineStr">
        <is>
          <t>—</t>
        </is>
      </c>
      <c r="V17" s="15" t="inlineStr">
        <is>
          <t>High</t>
        </is>
      </c>
    </row>
    <row r="18">
      <c r="A18" s="15" t="inlineStr">
        <is>
          <t>IRISDT0007</t>
        </is>
      </c>
      <c r="B18" s="212" t="inlineStr">
        <is>
          <t>Vasundhara Lella</t>
        </is>
      </c>
      <c r="C18" s="212" t="inlineStr">
        <is>
          <t>Datatech</t>
        </is>
      </c>
      <c r="D18" s="212" t="inlineStr">
        <is>
          <t>Marketing</t>
        </is>
      </c>
      <c r="E18" s="212" t="inlineStr">
        <is>
          <t>Marketing &amp; Communications</t>
        </is>
      </c>
      <c r="F18" s="212" t="inlineStr">
        <is>
          <t>Content Marketing</t>
        </is>
      </c>
      <c r="G18" s="212" t="inlineStr">
        <is>
          <t>Content Marketer</t>
        </is>
      </c>
      <c r="H18" s="212" t="inlineStr">
        <is>
          <t>Senior Content Marketing Associate</t>
        </is>
      </c>
      <c r="I18" s="15" t="inlineStr">
        <is>
          <t>L3</t>
        </is>
      </c>
      <c r="J18" s="144" t="inlineStr">
        <is>
          <t>A3</t>
        </is>
      </c>
      <c r="K18" s="15" t="inlineStr">
        <is>
          <t>IC</t>
        </is>
      </c>
      <c r="L18" s="215" t="inlineStr">
        <is>
          <t>Up</t>
        </is>
      </c>
      <c r="M18" s="15" t="n">
        <v>2.21</v>
      </c>
      <c r="N18" s="15" t="n">
        <v>2</v>
      </c>
      <c r="O18" s="15" t="n">
        <v>2</v>
      </c>
      <c r="P18" s="15" t="n">
        <v>2</v>
      </c>
      <c r="Q18" s="15" t="n">
        <v>1</v>
      </c>
      <c r="R18" s="15" t="n">
        <v>3.5</v>
      </c>
      <c r="S18" s="15" t="n">
        <v>2.5</v>
      </c>
      <c r="T18" s="212" t="inlineStr">
        <is>
          <r>
            <rPr>
              <rFont val="Calibri"/>
              <b val="1"/>
              <sz val="10"/>
            </rPr>
            <t>Rule:</t>
          </r>
          <r>
            <rPr>
              <rFont val="Calibri"/>
              <sz val="10"/>
            </rPr>
            <t xml:space="preserve"> R7 Band A experience</t>
          </r>
        </is>
      </c>
      <c r="U18" s="212" t="inlineStr">
        <is>
          <t>—</t>
        </is>
      </c>
      <c r="V18" s="15" t="inlineStr">
        <is>
          <t>Medium</t>
        </is>
      </c>
    </row>
    <row r="19">
      <c r="A19" s="15" t="inlineStr">
        <is>
          <t>IRISDTC006</t>
        </is>
      </c>
      <c r="B19" s="212" t="inlineStr">
        <is>
          <t>Vaishnavi Dhuri</t>
        </is>
      </c>
      <c r="C19" s="212" t="inlineStr">
        <is>
          <t>Datatech</t>
        </is>
      </c>
      <c r="D19" s="212" t="inlineStr">
        <is>
          <t>Marketing</t>
        </is>
      </c>
      <c r="E19" s="212" t="inlineStr">
        <is>
          <t>Design &amp; Creative</t>
        </is>
      </c>
      <c r="F19" s="212" t="inlineStr">
        <is>
          <t>Brand, Graphic &amp; Video Design</t>
        </is>
      </c>
      <c r="G19" s="212" t="inlineStr">
        <is>
          <t>Graphic Designer and Video Editor</t>
        </is>
      </c>
      <c r="H19" s="212" t="inlineStr">
        <is>
          <t>Designer</t>
        </is>
      </c>
      <c r="I19" s="15" t="inlineStr">
        <is>
          <t>Not mapped</t>
        </is>
      </c>
      <c r="J19" s="144" t="inlineStr">
        <is>
          <t>A2</t>
        </is>
      </c>
      <c r="K19" s="15" t="inlineStr">
        <is>
          <t>IC</t>
        </is>
      </c>
      <c r="L19" s="216" t="inlineStr">
        <is>
          <t>Newly mapped</t>
        </is>
      </c>
      <c r="M19" s="15" t="n">
        <v>1.9</v>
      </c>
      <c r="N19" s="15" t="n">
        <v>2</v>
      </c>
      <c r="O19" s="15" t="n">
        <v>1.5</v>
      </c>
      <c r="P19" s="15" t="n">
        <v>2</v>
      </c>
      <c r="Q19" s="15" t="n">
        <v>1</v>
      </c>
      <c r="R19" s="15" t="n">
        <v>2</v>
      </c>
      <c r="S19" s="15" t="n">
        <v>2</v>
      </c>
      <c r="T19" s="212" t="inlineStr">
        <is>
          <r>
            <rPr>
              <rFont val="Calibri"/>
              <b val="1"/>
              <sz val="10"/>
            </rPr>
            <t>Rule:</t>
          </r>
          <r>
            <rPr>
              <rFont val="Calibri"/>
              <sz val="10"/>
            </rPr>
            <t xml:space="preserve"> R2</t>
          </r>
        </is>
      </c>
      <c r="U19" s="214" t="inlineStr">
        <is>
          <t>Input needed</t>
        </is>
      </c>
      <c r="V19" s="15" t="inlineStr">
        <is>
          <t>Low</t>
        </is>
      </c>
    </row>
    <row r="20">
      <c r="A20" s="15" t="inlineStr">
        <is>
          <t>No Emp ID · in-house consultant</t>
        </is>
      </c>
      <c r="B20" s="212" t="inlineStr">
        <is>
          <t>R Indumathi</t>
        </is>
      </c>
      <c r="C20" s="212" t="inlineStr">
        <is>
          <t>Datatech</t>
        </is>
      </c>
      <c r="D20" s="212" t="inlineStr">
        <is>
          <t>Marketing</t>
        </is>
      </c>
      <c r="E20" s="212" t="inlineStr">
        <is>
          <t>Marketing &amp; Communications</t>
        </is>
      </c>
      <c r="F20" s="212" t="inlineStr">
        <is>
          <t>Marketing · role not recorded</t>
        </is>
      </c>
      <c r="G20" s="212" t="inlineStr">
        <is>
          <t>Consultant</t>
        </is>
      </c>
      <c r="H20" s="212" t="inlineStr">
        <is>
          <t>Associate Consultant – Demand Generation, Brand &amp; Events</t>
        </is>
      </c>
      <c r="I20" s="15" t="inlineStr">
        <is>
          <t>Not mapped</t>
        </is>
      </c>
      <c r="J20" s="150" t="inlineStr">
        <is>
          <t>X1</t>
        </is>
      </c>
      <c r="K20" s="15" t="inlineStr">
        <is>
          <t>Consultant</t>
        </is>
      </c>
      <c r="L20" s="15" t="inlineStr">
        <is>
          <t>Same level</t>
        </is>
      </c>
      <c r="M20" s="15" t="n"/>
      <c r="N20" s="15" t="n"/>
      <c r="O20" s="15" t="n"/>
      <c r="P20" s="15" t="n"/>
      <c r="Q20" s="15" t="n"/>
      <c r="R20" s="15" t="n"/>
      <c r="S20" s="15" t="n"/>
      <c r="T20" s="212" t="inlineStr">
        <is>
          <t>Placed by rule</t>
        </is>
      </c>
      <c r="U20" s="212" t="inlineStr">
        <is>
          <t>—</t>
        </is>
      </c>
      <c r="V20" s="15" t="inlineStr">
        <is>
          <t>—</t>
        </is>
      </c>
    </row>
    <row r="21">
      <c r="A21" s="15" t="inlineStr">
        <is>
          <t>No Emp ID · external consultant</t>
        </is>
      </c>
      <c r="B21" s="212" t="inlineStr">
        <is>
          <t>Arindam Bose</t>
        </is>
      </c>
      <c r="C21" s="212" t="inlineStr">
        <is>
          <t>Datatech</t>
        </is>
      </c>
      <c r="D21" s="212" t="inlineStr">
        <is>
          <t>Not provided · HRIS</t>
        </is>
      </c>
      <c r="E21" s="212" t="inlineStr">
        <is>
          <t>Unassigned</t>
        </is>
      </c>
      <c r="F21" s="212" t="inlineStr">
        <is>
          <t>Role not recorded · external consultant</t>
        </is>
      </c>
      <c r="G21" s="212" t="inlineStr">
        <is>
          <t>Consultant</t>
        </is>
      </c>
      <c r="H21" s="212" t="inlineStr">
        <is>
          <t>Associate Consultant – Software Development</t>
        </is>
      </c>
      <c r="I21" s="15" t="inlineStr">
        <is>
          <t>Not mapped</t>
        </is>
      </c>
      <c r="J21" s="150" t="inlineStr">
        <is>
          <t>X1</t>
        </is>
      </c>
      <c r="K21" s="15" t="inlineStr">
        <is>
          <t>Consultant</t>
        </is>
      </c>
      <c r="L21" s="15" t="inlineStr">
        <is>
          <t>Same level</t>
        </is>
      </c>
      <c r="M21" s="15" t="n"/>
      <c r="N21" s="15" t="n"/>
      <c r="O21" s="15" t="n"/>
      <c r="P21" s="15" t="n"/>
      <c r="Q21" s="15" t="n"/>
      <c r="R21" s="15" t="n"/>
      <c r="S21" s="15" t="n"/>
      <c r="T21" s="212" t="inlineStr">
        <is>
          <t>Placed by rule</t>
        </is>
      </c>
      <c r="U21" s="214" t="inlineStr">
        <is>
          <t>Input needed</t>
        </is>
      </c>
      <c r="V21" s="15" t="inlineStr">
        <is>
          <t>—</t>
        </is>
      </c>
    </row>
    <row r="22">
      <c r="A22" s="15" t="inlineStr">
        <is>
          <t>No Emp ID · external consultant</t>
        </is>
      </c>
      <c r="B22" s="212" t="inlineStr">
        <is>
          <t>Shweta Vijay</t>
        </is>
      </c>
      <c r="C22" s="212" t="inlineStr">
        <is>
          <t>Datatech</t>
        </is>
      </c>
      <c r="D22" s="212" t="inlineStr">
        <is>
          <t>Not provided · HRIS</t>
        </is>
      </c>
      <c r="E22" s="212" t="inlineStr">
        <is>
          <t>Unassigned</t>
        </is>
      </c>
      <c r="F22" s="212" t="inlineStr">
        <is>
          <t>Role not recorded · external consultant</t>
        </is>
      </c>
      <c r="G22" s="212" t="inlineStr">
        <is>
          <t>Consultant</t>
        </is>
      </c>
      <c r="H22" s="212" t="inlineStr">
        <is>
          <t>Associate Consultant – Software Development</t>
        </is>
      </c>
      <c r="I22" s="15" t="inlineStr">
        <is>
          <t>Not mapped</t>
        </is>
      </c>
      <c r="J22" s="150" t="inlineStr">
        <is>
          <t>X1</t>
        </is>
      </c>
      <c r="K22" s="15" t="inlineStr">
        <is>
          <t>Consultant</t>
        </is>
      </c>
      <c r="L22" s="15" t="inlineStr">
        <is>
          <t>Same level</t>
        </is>
      </c>
      <c r="M22" s="15" t="n"/>
      <c r="N22" s="15" t="n"/>
      <c r="O22" s="15" t="n"/>
      <c r="P22" s="15" t="n"/>
      <c r="Q22" s="15" t="n"/>
      <c r="R22" s="15" t="n"/>
      <c r="S22" s="15" t="n"/>
      <c r="T22" s="212" t="inlineStr">
        <is>
          <t>Placed by rule</t>
        </is>
      </c>
      <c r="U22" s="214" t="inlineStr">
        <is>
          <t>Input needed</t>
        </is>
      </c>
      <c r="V22" s="15" t="inlineStr">
        <is>
          <t>—</t>
        </is>
      </c>
    </row>
    <row r="23">
      <c r="A23" s="15" t="inlineStr">
        <is>
          <t>IRISDT0008</t>
        </is>
      </c>
      <c r="B23" s="212" t="inlineStr">
        <is>
          <t>Nilesh Majumdar</t>
        </is>
      </c>
      <c r="C23" s="212" t="inlineStr">
        <is>
          <t>Datatech</t>
        </is>
      </c>
      <c r="D23" s="212" t="inlineStr">
        <is>
          <t>Product Management</t>
        </is>
      </c>
      <c r="E23" s="212" t="inlineStr">
        <is>
          <t>Product Management</t>
        </is>
      </c>
      <c r="F23" s="212" t="inlineStr">
        <is>
          <t>Product Management</t>
        </is>
      </c>
      <c r="G23" s="212" t="inlineStr">
        <is>
          <t>Senior Product Manager</t>
        </is>
      </c>
      <c r="H23" s="212" t="inlineStr">
        <is>
          <t>Product Manager</t>
        </is>
      </c>
      <c r="I23" s="15" t="inlineStr">
        <is>
          <t>L5</t>
        </is>
      </c>
      <c r="J23" s="116" t="inlineStr">
        <is>
          <t>B2</t>
        </is>
      </c>
      <c r="K23" s="15" t="inlineStr">
        <is>
          <t>People Manager</t>
        </is>
      </c>
      <c r="L23" s="15" t="inlineStr">
        <is>
          <t>Same level</t>
        </is>
      </c>
      <c r="M23" s="15" t="n">
        <v>5.84</v>
      </c>
      <c r="N23" s="15" t="n">
        <v>6</v>
      </c>
      <c r="O23" s="15" t="n">
        <v>6</v>
      </c>
      <c r="P23" s="15" t="n">
        <v>6</v>
      </c>
      <c r="Q23" s="15" t="n">
        <v>5</v>
      </c>
      <c r="R23" s="15" t="n">
        <v>5.5</v>
      </c>
      <c r="S23" s="15" t="n">
        <v>6.5</v>
      </c>
      <c r="T23" s="212" t="inlineStr">
        <is>
          <r>
            <rPr>
              <rFont val="Calibri"/>
              <b val="1"/>
              <sz val="10"/>
            </rPr>
            <t>Rule:</t>
          </r>
          <r>
            <rPr>
              <rFont val="Calibri"/>
              <sz val="10"/>
            </rPr>
            <t xml:space="preserve"> R5 structural gate</t>
          </r>
        </is>
      </c>
      <c r="U23" s="214" t="inlineStr">
        <is>
          <t>Input needed</t>
        </is>
      </c>
      <c r="V23" s="15" t="inlineStr">
        <is>
          <t>Medium</t>
        </is>
      </c>
    </row>
    <row r="24">
      <c r="A24" s="15" t="inlineStr">
        <is>
          <t>IRISDT0010</t>
        </is>
      </c>
      <c r="B24" s="212" t="inlineStr">
        <is>
          <t>Piyush Raj</t>
        </is>
      </c>
      <c r="C24" s="212" t="inlineStr">
        <is>
          <t>Datatech</t>
        </is>
      </c>
      <c r="D24" s="212" t="inlineStr">
        <is>
          <t>Product Management</t>
        </is>
      </c>
      <c r="E24" s="212" t="inlineStr">
        <is>
          <t>Product Management</t>
        </is>
      </c>
      <c r="F24" s="212" t="inlineStr">
        <is>
          <t>Product Management</t>
        </is>
      </c>
      <c r="G24" s="212" t="inlineStr">
        <is>
          <t>Product Manager</t>
        </is>
      </c>
      <c r="H24" s="212" t="inlineStr">
        <is>
          <t>Product Manager</t>
        </is>
      </c>
      <c r="I24" s="15" t="inlineStr">
        <is>
          <t>L5</t>
        </is>
      </c>
      <c r="J24" s="116" t="inlineStr">
        <is>
          <t>B2</t>
        </is>
      </c>
      <c r="K24" s="15" t="inlineStr">
        <is>
          <t>IC</t>
        </is>
      </c>
      <c r="L24" s="15" t="inlineStr">
        <is>
          <t>Same level</t>
        </is>
      </c>
      <c r="M24" s="15" t="n">
        <v>4.67</v>
      </c>
      <c r="N24" s="15" t="n">
        <v>4.5</v>
      </c>
      <c r="O24" s="15" t="n">
        <v>4.5</v>
      </c>
      <c r="P24" s="15" t="n">
        <v>5</v>
      </c>
      <c r="Q24" s="15" t="n">
        <v>3.5</v>
      </c>
      <c r="R24" s="15" t="n">
        <v>5.5</v>
      </c>
      <c r="S24" s="15" t="n">
        <v>5.5</v>
      </c>
      <c r="T24" s="212" t="inlineStr">
        <is>
          <t>The score decided the level</t>
        </is>
      </c>
      <c r="U24" s="212" t="inlineStr">
        <is>
          <t>—</t>
        </is>
      </c>
      <c r="V24" s="15" t="inlineStr">
        <is>
          <t>Low</t>
        </is>
      </c>
    </row>
    <row r="25">
      <c r="A25" s="15" t="inlineStr">
        <is>
          <t>IRISDT0023</t>
        </is>
      </c>
      <c r="B25" s="212" t="inlineStr">
        <is>
          <t>Sachinam Sawant</t>
        </is>
      </c>
      <c r="C25" s="212" t="inlineStr">
        <is>
          <t>Datatech</t>
        </is>
      </c>
      <c r="D25" s="212" t="inlineStr">
        <is>
          <t>Product Management</t>
        </is>
      </c>
      <c r="E25" s="212" t="inlineStr">
        <is>
          <t>Product Management</t>
        </is>
      </c>
      <c r="F25" s="212" t="inlineStr">
        <is>
          <t>Product Management</t>
        </is>
      </c>
      <c r="G25" s="212" t="inlineStr">
        <is>
          <t>Regulatory &amp; Policy Lead</t>
        </is>
      </c>
      <c r="H25" s="212" t="inlineStr">
        <is>
          <t>Product Manager</t>
        </is>
      </c>
      <c r="I25" s="15" t="inlineStr">
        <is>
          <t>Not mapped</t>
        </is>
      </c>
      <c r="J25" s="116" t="inlineStr">
        <is>
          <t>B2</t>
        </is>
      </c>
      <c r="K25" s="15" t="inlineStr">
        <is>
          <t>IC</t>
        </is>
      </c>
      <c r="L25" s="216" t="inlineStr">
        <is>
          <t>Newly mapped</t>
        </is>
      </c>
      <c r="M25" s="15" t="n">
        <v>4.55</v>
      </c>
      <c r="N25" s="15" t="n">
        <v>4.5</v>
      </c>
      <c r="O25" s="15" t="n">
        <v>4.5</v>
      </c>
      <c r="P25" s="15" t="n">
        <v>4.5</v>
      </c>
      <c r="Q25" s="15" t="n">
        <v>3.5</v>
      </c>
      <c r="R25" s="15" t="n">
        <v>5.5</v>
      </c>
      <c r="S25" s="15" t="n">
        <v>4.5</v>
      </c>
      <c r="T25" s="212" t="inlineStr">
        <is>
          <r>
            <rPr>
              <rFont val="Calibri"/>
              <b val="1"/>
              <sz val="10"/>
            </rPr>
            <t>Rule:</t>
          </r>
          <r>
            <rPr>
              <rFont val="Calibri"/>
              <sz val="10"/>
            </rPr>
            <t xml:space="preserve"> R2</t>
          </r>
        </is>
      </c>
      <c r="U25" s="214" t="inlineStr">
        <is>
          <t>Input needed</t>
        </is>
      </c>
      <c r="V25" s="15" t="inlineStr">
        <is>
          <t>Low</t>
        </is>
      </c>
    </row>
    <row r="26">
      <c r="A26" s="15" t="inlineStr">
        <is>
          <t>IRISDT0024</t>
        </is>
      </c>
      <c r="B26" s="212" t="inlineStr">
        <is>
          <t>Ayushi Maurya</t>
        </is>
      </c>
      <c r="C26" s="212" t="inlineStr">
        <is>
          <t>Datatech</t>
        </is>
      </c>
      <c r="D26" s="212" t="inlineStr">
        <is>
          <t>Product Management</t>
        </is>
      </c>
      <c r="E26" s="212" t="inlineStr">
        <is>
          <t>Product Management</t>
        </is>
      </c>
      <c r="F26" s="212" t="inlineStr">
        <is>
          <t>Product Management</t>
        </is>
      </c>
      <c r="G26" s="212" t="inlineStr">
        <is>
          <t>Product Manager</t>
        </is>
      </c>
      <c r="H26" s="212" t="inlineStr">
        <is>
          <t>Associate Product Manager</t>
        </is>
      </c>
      <c r="I26" s="15" t="inlineStr">
        <is>
          <t>Not mapped</t>
        </is>
      </c>
      <c r="J26" s="116" t="inlineStr">
        <is>
          <t>B1</t>
        </is>
      </c>
      <c r="K26" s="15" t="inlineStr">
        <is>
          <t>IC</t>
        </is>
      </c>
      <c r="L26" s="216" t="inlineStr">
        <is>
          <t>Newly mapped</t>
        </is>
      </c>
      <c r="M26" s="15" t="n">
        <v>4</v>
      </c>
      <c r="N26" s="15" t="n">
        <v>4</v>
      </c>
      <c r="O26" s="15" t="n">
        <v>4</v>
      </c>
      <c r="P26" s="15" t="n">
        <v>4</v>
      </c>
      <c r="Q26" s="15" t="n">
        <v>3</v>
      </c>
      <c r="R26" s="15" t="n">
        <v>4.5</v>
      </c>
      <c r="S26" s="15" t="n">
        <v>4</v>
      </c>
      <c r="T26" s="212" t="inlineStr">
        <is>
          <r>
            <rPr>
              <rFont val="Calibri"/>
              <b val="1"/>
              <sz val="10"/>
            </rPr>
            <t>Rule:</t>
          </r>
          <r>
            <rPr>
              <rFont val="Calibri"/>
              <sz val="10"/>
            </rPr>
            <t xml:space="preserve"> R2</t>
          </r>
        </is>
      </c>
      <c r="U26" s="214" t="inlineStr">
        <is>
          <t>Input needed</t>
        </is>
      </c>
      <c r="V26" s="15" t="inlineStr">
        <is>
          <t>Low</t>
        </is>
      </c>
    </row>
    <row r="27">
      <c r="A27" s="15" t="inlineStr">
        <is>
          <t>IRISDT0021</t>
        </is>
      </c>
      <c r="B27" s="212" t="inlineStr">
        <is>
          <t>Gaurav Bansal</t>
        </is>
      </c>
      <c r="C27" s="212" t="inlineStr">
        <is>
          <t>Datatech</t>
        </is>
      </c>
      <c r="D27" s="212" t="inlineStr">
        <is>
          <t>Product Management</t>
        </is>
      </c>
      <c r="E27" s="212" t="inlineStr">
        <is>
          <t>Product Management</t>
        </is>
      </c>
      <c r="F27" s="212" t="inlineStr">
        <is>
          <t>Product Management</t>
        </is>
      </c>
      <c r="G27" s="212" t="inlineStr">
        <is>
          <t>Product Manager</t>
        </is>
      </c>
      <c r="H27" s="212" t="inlineStr">
        <is>
          <t>Associate Product Manager</t>
        </is>
      </c>
      <c r="I27" s="15" t="inlineStr">
        <is>
          <t>Not mapped</t>
        </is>
      </c>
      <c r="J27" s="116" t="inlineStr">
        <is>
          <t>B1</t>
        </is>
      </c>
      <c r="K27" s="15" t="inlineStr">
        <is>
          <t>IC</t>
        </is>
      </c>
      <c r="L27" s="216" t="inlineStr">
        <is>
          <t>Newly mapped</t>
        </is>
      </c>
      <c r="M27" s="15" t="n">
        <v>4.25</v>
      </c>
      <c r="N27" s="15" t="n">
        <v>4.5</v>
      </c>
      <c r="O27" s="15" t="n">
        <v>4.5</v>
      </c>
      <c r="P27" s="15" t="n">
        <v>4.5</v>
      </c>
      <c r="Q27" s="15" t="n">
        <v>3.5</v>
      </c>
      <c r="R27" s="15" t="n">
        <v>2.5</v>
      </c>
      <c r="S27" s="15" t="n">
        <v>4.5</v>
      </c>
      <c r="T27" s="212" t="inlineStr">
        <is>
          <t>The score decided the level</t>
        </is>
      </c>
      <c r="U27" s="212" t="inlineStr">
        <is>
          <t>—</t>
        </is>
      </c>
      <c r="V27" s="15" t="inlineStr">
        <is>
          <t>Medium</t>
        </is>
      </c>
    </row>
    <row r="28">
      <c r="A28" s="15" t="inlineStr">
        <is>
          <t>IRISDTC005</t>
        </is>
      </c>
      <c r="B28" s="212" t="inlineStr">
        <is>
          <t>Smita Londhe</t>
        </is>
      </c>
      <c r="C28" s="212" t="inlineStr">
        <is>
          <t>Datatech</t>
        </is>
      </c>
      <c r="D28" s="212" t="inlineStr">
        <is>
          <t>Quality Assurance</t>
        </is>
      </c>
      <c r="E28" s="212" t="inlineStr">
        <is>
          <t>Quality Assurance</t>
        </is>
      </c>
      <c r="F28" s="212" t="inlineStr">
        <is>
          <t>Test Automation</t>
        </is>
      </c>
      <c r="G28" s="212" t="inlineStr">
        <is>
          <t>QA Engineer</t>
        </is>
      </c>
      <c r="H28" s="212" t="inlineStr">
        <is>
          <t>Senior QA Automation Engineer</t>
        </is>
      </c>
      <c r="I28" s="15" t="inlineStr">
        <is>
          <t>Not mapped</t>
        </is>
      </c>
      <c r="J28" s="144" t="inlineStr">
        <is>
          <t>A3</t>
        </is>
      </c>
      <c r="K28" s="15" t="inlineStr">
        <is>
          <t>IC</t>
        </is>
      </c>
      <c r="L28" s="216" t="inlineStr">
        <is>
          <t>Newly mapped</t>
        </is>
      </c>
      <c r="M28" s="15" t="n">
        <v>2.25</v>
      </c>
      <c r="N28" s="15" t="n">
        <v>2</v>
      </c>
      <c r="O28" s="15" t="n">
        <v>2</v>
      </c>
      <c r="P28" s="15" t="n">
        <v>2.5</v>
      </c>
      <c r="Q28" s="15" t="n">
        <v>1</v>
      </c>
      <c r="R28" s="15" t="n">
        <v>4</v>
      </c>
      <c r="S28" s="15" t="n">
        <v>2.5</v>
      </c>
      <c r="T28" s="212" t="inlineStr">
        <is>
          <r>
            <rPr>
              <rFont val="Calibri"/>
              <b val="1"/>
              <sz val="10"/>
            </rPr>
            <t>Rule:</t>
          </r>
          <r>
            <rPr>
              <rFont val="Calibri"/>
              <sz val="10"/>
            </rPr>
            <t xml:space="preserve"> R7 Band A experience</t>
          </r>
        </is>
      </c>
      <c r="U28" s="214" t="inlineStr">
        <is>
          <t>Input needed</t>
        </is>
      </c>
      <c r="V28" s="15" t="inlineStr">
        <is>
          <t>Low</t>
        </is>
      </c>
    </row>
    <row r="29">
      <c r="A29" s="15" t="inlineStr">
        <is>
          <t>IRISDT0014</t>
        </is>
      </c>
      <c r="B29" s="212" t="inlineStr">
        <is>
          <t>Supriya Patil</t>
        </is>
      </c>
      <c r="C29" s="212" t="inlineStr">
        <is>
          <t>Datatech</t>
        </is>
      </c>
      <c r="D29" s="212" t="inlineStr">
        <is>
          <t>Quality Assurance</t>
        </is>
      </c>
      <c r="E29" s="212" t="inlineStr">
        <is>
          <t>Quality Assurance</t>
        </is>
      </c>
      <c r="F29" s="212" t="inlineStr">
        <is>
          <t>Functional &amp; Domain Testing</t>
        </is>
      </c>
      <c r="G29" s="212" t="inlineStr">
        <is>
          <t>QA Engineer</t>
        </is>
      </c>
      <c r="H29" s="212" t="inlineStr">
        <is>
          <t>Senior QA Engineer</t>
        </is>
      </c>
      <c r="I29" s="15" t="inlineStr">
        <is>
          <t>L3</t>
        </is>
      </c>
      <c r="J29" s="144" t="inlineStr">
        <is>
          <t>A3</t>
        </is>
      </c>
      <c r="K29" s="15" t="inlineStr">
        <is>
          <t>IC</t>
        </is>
      </c>
      <c r="L29" s="215" t="inlineStr">
        <is>
          <t>Up</t>
        </is>
      </c>
      <c r="M29" s="15" t="n">
        <v>2.38</v>
      </c>
      <c r="N29" s="15" t="n">
        <v>2</v>
      </c>
      <c r="O29" s="15" t="n">
        <v>2</v>
      </c>
      <c r="P29" s="15" t="n">
        <v>2.5</v>
      </c>
      <c r="Q29" s="15" t="n">
        <v>1</v>
      </c>
      <c r="R29" s="15" t="n">
        <v>5</v>
      </c>
      <c r="S29" s="15" t="n">
        <v>3</v>
      </c>
      <c r="T29" s="212" t="inlineStr">
        <is>
          <r>
            <rPr>
              <rFont val="Calibri"/>
              <b val="1"/>
              <sz val="10"/>
            </rPr>
            <t>Rule:</t>
          </r>
          <r>
            <rPr>
              <rFont val="Calibri"/>
              <sz val="10"/>
            </rPr>
            <t xml:space="preserve"> R7 Band A experience</t>
          </r>
        </is>
      </c>
      <c r="U29" s="212" t="inlineStr">
        <is>
          <t>—</t>
        </is>
      </c>
      <c r="V29" s="15" t="inlineStr">
        <is>
          <t>High</t>
        </is>
      </c>
    </row>
    <row r="30">
      <c r="A30" s="15" t="inlineStr">
        <is>
          <t>IRISDT0019</t>
        </is>
      </c>
      <c r="B30" s="212" t="inlineStr">
        <is>
          <t>Abhishek Gite</t>
        </is>
      </c>
      <c r="C30" s="212" t="inlineStr">
        <is>
          <t>Datatech</t>
        </is>
      </c>
      <c r="D30" s="212" t="inlineStr">
        <is>
          <t>Sales</t>
        </is>
      </c>
      <c r="E30" s="212" t="inlineStr">
        <is>
          <t>Sales &amp; Business Development</t>
        </is>
      </c>
      <c r="F30" s="212" t="inlineStr">
        <is>
          <t>Sales Leadership</t>
        </is>
      </c>
      <c r="G30" s="212" t="inlineStr">
        <is>
          <t>Head - Sales and Alliances</t>
        </is>
      </c>
      <c r="H30" s="212" t="inlineStr">
        <is>
          <t>Principal – Sales</t>
        </is>
      </c>
      <c r="I30" s="15" t="inlineStr">
        <is>
          <t>Not mapped</t>
        </is>
      </c>
      <c r="J30" s="179" t="inlineStr">
        <is>
          <t>C1</t>
        </is>
      </c>
      <c r="K30" s="15" t="inlineStr">
        <is>
          <t>IC</t>
        </is>
      </c>
      <c r="L30" s="216" t="inlineStr">
        <is>
          <t>Newly mapped</t>
        </is>
      </c>
      <c r="M30" s="15" t="n">
        <v>8.119999999999999</v>
      </c>
      <c r="N30" s="15" t="n">
        <v>8</v>
      </c>
      <c r="O30" s="15" t="n">
        <v>8</v>
      </c>
      <c r="P30" s="15" t="n">
        <v>8</v>
      </c>
      <c r="Q30" s="15" t="n">
        <v>7</v>
      </c>
      <c r="R30" s="15" t="n">
        <v>11.5</v>
      </c>
      <c r="S30" s="15" t="n">
        <v>8</v>
      </c>
      <c r="T30" s="212" t="inlineStr">
        <is>
          <r>
            <rPr>
              <rFont val="Calibri"/>
              <b val="1"/>
              <sz val="10"/>
            </rPr>
            <t>Rule:</t>
          </r>
          <r>
            <rPr>
              <rFont val="Calibri"/>
              <sz val="10"/>
            </rPr>
            <t xml:space="preserve"> R5 structural gate</t>
          </r>
        </is>
      </c>
      <c r="U30" s="214" t="inlineStr">
        <is>
          <t>Input needed</t>
        </is>
      </c>
      <c r="V30" s="15" t="inlineStr">
        <is>
          <t>Low</t>
        </is>
      </c>
    </row>
    <row r="31">
      <c r="A31" s="15" t="inlineStr">
        <is>
          <t>IRISDT0006</t>
        </is>
      </c>
      <c r="B31" s="212" t="inlineStr">
        <is>
          <t>Sanghamitra Saxena</t>
        </is>
      </c>
      <c r="C31" s="212" t="inlineStr">
        <is>
          <t>Datatech</t>
        </is>
      </c>
      <c r="D31" s="212" t="inlineStr">
        <is>
          <t>Technology</t>
        </is>
      </c>
      <c r="E31" s="212" t="inlineStr">
        <is>
          <t>Engineering &amp; Architecture</t>
        </is>
      </c>
      <c r="F31" s="212" t="inlineStr">
        <is>
          <t>Solution &amp; Technical Architecture</t>
        </is>
      </c>
      <c r="G31" s="212" t="inlineStr">
        <is>
          <t>Solution Architect</t>
        </is>
      </c>
      <c r="H31" s="212" t="inlineStr">
        <is>
          <t>Solution Architect</t>
        </is>
      </c>
      <c r="I31" s="15" t="inlineStr">
        <is>
          <t>L3</t>
        </is>
      </c>
      <c r="J31" s="179" t="inlineStr">
        <is>
          <t>C1</t>
        </is>
      </c>
      <c r="K31" s="15" t="inlineStr">
        <is>
          <t>IC</t>
        </is>
      </c>
      <c r="L31" s="215" t="inlineStr">
        <is>
          <t>Up</t>
        </is>
      </c>
      <c r="M31" s="15" t="n">
        <v>7.01</v>
      </c>
      <c r="N31" s="15" t="n">
        <v>7</v>
      </c>
      <c r="O31" s="15" t="n">
        <v>7</v>
      </c>
      <c r="P31" s="15" t="n">
        <v>7</v>
      </c>
      <c r="Q31" s="15" t="n">
        <v>6</v>
      </c>
      <c r="R31" s="15" t="n">
        <v>7.5</v>
      </c>
      <c r="S31" s="15" t="n">
        <v>7.5</v>
      </c>
      <c r="T31" s="212" t="inlineStr">
        <is>
          <t>The score decided the level</t>
        </is>
      </c>
      <c r="U31" s="214" t="inlineStr">
        <is>
          <t>Input needed</t>
        </is>
      </c>
      <c r="V31" s="15" t="inlineStr">
        <is>
          <t>Low</t>
        </is>
      </c>
    </row>
    <row r="32">
      <c r="A32" s="15" t="inlineStr">
        <is>
          <t>IRISDTC002</t>
        </is>
      </c>
      <c r="B32" s="212" t="inlineStr">
        <is>
          <t>Akshay Shetty</t>
        </is>
      </c>
      <c r="C32" s="212" t="inlineStr">
        <is>
          <t>Datatech</t>
        </is>
      </c>
      <c r="D32" s="212" t="inlineStr">
        <is>
          <t>Technology</t>
        </is>
      </c>
      <c r="E32" s="212" t="inlineStr">
        <is>
          <t>Engineering &amp; Development</t>
        </is>
      </c>
      <c r="F32" s="212" t="inlineStr">
        <is>
          <t>Backend Development</t>
        </is>
      </c>
      <c r="G32" s="212" t="inlineStr">
        <is>
          <t>Consultant -Lead Developer</t>
        </is>
      </c>
      <c r="H32" s="212" t="inlineStr">
        <is>
          <t>Senior Technical Specialist – POD Lead</t>
        </is>
      </c>
      <c r="I32" s="15" t="inlineStr">
        <is>
          <t>L5</t>
        </is>
      </c>
      <c r="J32" s="116" t="inlineStr">
        <is>
          <t>B2</t>
        </is>
      </c>
      <c r="K32" s="15" t="inlineStr">
        <is>
          <t>POD Lead</t>
        </is>
      </c>
      <c r="L32" s="213" t="inlineStr">
        <is>
          <t>Down</t>
        </is>
      </c>
      <c r="M32" s="15" t="n">
        <v>4.59</v>
      </c>
      <c r="N32" s="15" t="n">
        <v>4.5</v>
      </c>
      <c r="O32" s="15" t="n">
        <v>4.5</v>
      </c>
      <c r="P32" s="15" t="n">
        <v>4</v>
      </c>
      <c r="Q32" s="15" t="n">
        <v>3.5</v>
      </c>
      <c r="R32" s="15" t="n">
        <v>6.5</v>
      </c>
      <c r="S32" s="15" t="n">
        <v>4</v>
      </c>
      <c r="T32" s="212" t="inlineStr">
        <is>
          <t>The score decided the level</t>
        </is>
      </c>
      <c r="U32" s="214" t="inlineStr">
        <is>
          <t>Down — protected</t>
        </is>
      </c>
      <c r="V32" s="15" t="inlineStr">
        <is>
          <t>Medium</t>
        </is>
      </c>
    </row>
    <row r="33">
      <c r="A33" s="15" t="inlineStr">
        <is>
          <t>IRISDT0002</t>
        </is>
      </c>
      <c r="B33" s="212" t="inlineStr">
        <is>
          <t>Niraj Santosh Patil</t>
        </is>
      </c>
      <c r="C33" s="212" t="inlineStr">
        <is>
          <t>Datatech</t>
        </is>
      </c>
      <c r="D33" s="212" t="inlineStr">
        <is>
          <t>Technology</t>
        </is>
      </c>
      <c r="E33" s="212" t="inlineStr">
        <is>
          <t>Engineering &amp; Development</t>
        </is>
      </c>
      <c r="F33" s="212" t="inlineStr">
        <is>
          <t>Backend Development</t>
        </is>
      </c>
      <c r="G33" s="212" t="inlineStr">
        <is>
          <t>Junior Software Engineer</t>
        </is>
      </c>
      <c r="H33" s="212" t="inlineStr">
        <is>
          <t>Senior Software Engineer</t>
        </is>
      </c>
      <c r="I33" s="15" t="inlineStr">
        <is>
          <t>L2</t>
        </is>
      </c>
      <c r="J33" s="144" t="inlineStr">
        <is>
          <t>A3</t>
        </is>
      </c>
      <c r="K33" s="15" t="inlineStr">
        <is>
          <t>IC</t>
        </is>
      </c>
      <c r="L33" s="215" t="inlineStr">
        <is>
          <t>Up</t>
        </is>
      </c>
      <c r="M33" s="15" t="n">
        <v>2.08</v>
      </c>
      <c r="N33" s="15" t="n">
        <v>2</v>
      </c>
      <c r="O33" s="15" t="n">
        <v>2</v>
      </c>
      <c r="P33" s="15" t="n">
        <v>2</v>
      </c>
      <c r="Q33" s="15" t="n">
        <v>1</v>
      </c>
      <c r="R33" s="15" t="n">
        <v>2.5</v>
      </c>
      <c r="S33" s="15" t="n">
        <v>2.5</v>
      </c>
      <c r="T33" s="212" t="inlineStr">
        <is>
          <r>
            <rPr>
              <rFont val="Calibri"/>
              <b val="1"/>
              <sz val="10"/>
            </rPr>
            <t>Rule:</t>
          </r>
          <r>
            <rPr>
              <rFont val="Calibri"/>
              <sz val="10"/>
            </rPr>
            <t xml:space="preserve"> R7 Band A experience</t>
          </r>
        </is>
      </c>
      <c r="U33" s="212" t="inlineStr">
        <is>
          <t>—</t>
        </is>
      </c>
      <c r="V33" s="15" t="inlineStr">
        <is>
          <t>Low</t>
        </is>
      </c>
    </row>
    <row r="34">
      <c r="A34" s="15" t="inlineStr">
        <is>
          <t>IRISDT0018</t>
        </is>
      </c>
      <c r="B34" s="212" t="inlineStr">
        <is>
          <t>Shivam Dhumal</t>
        </is>
      </c>
      <c r="C34" s="212" t="inlineStr">
        <is>
          <t>Datatech</t>
        </is>
      </c>
      <c r="D34" s="212" t="inlineStr">
        <is>
          <t>Technology</t>
        </is>
      </c>
      <c r="E34" s="212" t="inlineStr">
        <is>
          <t>Engineering &amp; Development</t>
        </is>
      </c>
      <c r="F34" s="212" t="inlineStr">
        <is>
          <t>Backend Development</t>
        </is>
      </c>
      <c r="G34" s="212" t="inlineStr">
        <is>
          <t>Software Engineer</t>
        </is>
      </c>
      <c r="H34" s="212" t="inlineStr">
        <is>
          <t>Senior Software Engineer</t>
        </is>
      </c>
      <c r="I34" s="15" t="inlineStr">
        <is>
          <t>L3</t>
        </is>
      </c>
      <c r="J34" s="144" t="inlineStr">
        <is>
          <t>A3</t>
        </is>
      </c>
      <c r="K34" s="15" t="inlineStr">
        <is>
          <t>IC</t>
        </is>
      </c>
      <c r="L34" s="215" t="inlineStr">
        <is>
          <t>Up</t>
        </is>
      </c>
      <c r="M34" s="15" t="n">
        <v>2.55</v>
      </c>
      <c r="N34" s="15" t="n">
        <v>2.5</v>
      </c>
      <c r="O34" s="15" t="n">
        <v>2</v>
      </c>
      <c r="P34" s="15" t="n">
        <v>2.5</v>
      </c>
      <c r="Q34" s="15" t="n">
        <v>1</v>
      </c>
      <c r="R34" s="15" t="n">
        <v>3.5</v>
      </c>
      <c r="S34" s="15" t="n">
        <v>3</v>
      </c>
      <c r="T34" s="212" t="inlineStr">
        <is>
          <t>The score decided the level</t>
        </is>
      </c>
      <c r="U34" s="212" t="inlineStr">
        <is>
          <t>—</t>
        </is>
      </c>
      <c r="V34" s="15" t="inlineStr">
        <is>
          <t>Low</t>
        </is>
      </c>
    </row>
    <row r="35">
      <c r="A35" s="15" t="inlineStr">
        <is>
          <t>IRISDT0020</t>
        </is>
      </c>
      <c r="B35" s="212" t="inlineStr">
        <is>
          <t>Utkarsh Sagar Bafana</t>
        </is>
      </c>
      <c r="C35" s="212" t="inlineStr">
        <is>
          <t>Datatech</t>
        </is>
      </c>
      <c r="D35" s="212" t="inlineStr">
        <is>
          <t>Technology</t>
        </is>
      </c>
      <c r="E35" s="212" t="inlineStr">
        <is>
          <t>Design &amp; Creative</t>
        </is>
      </c>
      <c r="F35" s="212" t="inlineStr">
        <is>
          <t>UX / UI Design</t>
        </is>
      </c>
      <c r="G35" s="212" t="inlineStr">
        <is>
          <t>UX Designer</t>
        </is>
      </c>
      <c r="H35" s="212" t="inlineStr">
        <is>
          <t>Senior Product Designer</t>
        </is>
      </c>
      <c r="I35" s="15" t="inlineStr">
        <is>
          <t>Not mapped</t>
        </is>
      </c>
      <c r="J35" s="144" t="inlineStr">
        <is>
          <t>A3</t>
        </is>
      </c>
      <c r="K35" s="15" t="inlineStr">
        <is>
          <t>IC</t>
        </is>
      </c>
      <c r="L35" s="216" t="inlineStr">
        <is>
          <t>Newly mapped</t>
        </is>
      </c>
      <c r="M35" s="15" t="n">
        <v>2.6</v>
      </c>
      <c r="N35" s="15" t="n">
        <v>2.5</v>
      </c>
      <c r="O35" s="15" t="n">
        <v>2.5</v>
      </c>
      <c r="P35" s="15" t="n">
        <v>2.5</v>
      </c>
      <c r="Q35" s="15" t="n">
        <v>1.5</v>
      </c>
      <c r="R35" s="15" t="n">
        <v>3.5</v>
      </c>
      <c r="S35" s="15" t="n">
        <v>2.5</v>
      </c>
      <c r="T35" s="212" t="inlineStr">
        <is>
          <t>The score decided the level</t>
        </is>
      </c>
      <c r="U35" s="212" t="inlineStr">
        <is>
          <t>—</t>
        </is>
      </c>
      <c r="V35" s="15" t="inlineStr">
        <is>
          <t>Medium</t>
        </is>
      </c>
    </row>
    <row r="36">
      <c r="A36" s="15" t="inlineStr">
        <is>
          <t>IRISDT0004</t>
        </is>
      </c>
      <c r="B36" s="212" t="inlineStr">
        <is>
          <t>Krishnadev Arya</t>
        </is>
      </c>
      <c r="C36" s="212" t="inlineStr">
        <is>
          <t>Datatech</t>
        </is>
      </c>
      <c r="D36" s="212" t="inlineStr">
        <is>
          <t>Technology</t>
        </is>
      </c>
      <c r="E36" s="212" t="inlineStr">
        <is>
          <t>Engineering &amp; Development</t>
        </is>
      </c>
      <c r="F36" s="212" t="inlineStr">
        <is>
          <t>Backend Development</t>
        </is>
      </c>
      <c r="G36" s="212" t="inlineStr">
        <is>
          <t>Junior Software Engineer</t>
        </is>
      </c>
      <c r="H36" s="212" t="inlineStr">
        <is>
          <t>Software Engineer</t>
        </is>
      </c>
      <c r="I36" s="15" t="inlineStr">
        <is>
          <t>L3</t>
        </is>
      </c>
      <c r="J36" s="144" t="inlineStr">
        <is>
          <t>A2</t>
        </is>
      </c>
      <c r="K36" s="15" t="inlineStr">
        <is>
          <t>IC</t>
        </is>
      </c>
      <c r="L36" s="15" t="inlineStr">
        <is>
          <t>Same level</t>
        </is>
      </c>
      <c r="M36" s="15" t="n">
        <v>2.08</v>
      </c>
      <c r="N36" s="15" t="n">
        <v>2</v>
      </c>
      <c r="O36" s="15" t="n">
        <v>2</v>
      </c>
      <c r="P36" s="15" t="n">
        <v>2</v>
      </c>
      <c r="Q36" s="15" t="n">
        <v>1</v>
      </c>
      <c r="R36" s="15" t="n">
        <v>2.5</v>
      </c>
      <c r="S36" s="15" t="n">
        <v>2.5</v>
      </c>
      <c r="T36" s="212" t="inlineStr">
        <is>
          <t>The score decided the level</t>
        </is>
      </c>
      <c r="U36" s="212" t="inlineStr">
        <is>
          <t>—</t>
        </is>
      </c>
      <c r="V36" s="15" t="inlineStr">
        <is>
          <t>Low</t>
        </is>
      </c>
    </row>
    <row r="37">
      <c r="A37" s="15" t="inlineStr">
        <is>
          <t>IRISDTN001</t>
        </is>
      </c>
      <c r="B37" s="212" t="inlineStr">
        <is>
          <t>Riyanka Dey</t>
        </is>
      </c>
      <c r="C37" s="212" t="inlineStr">
        <is>
          <t>Datatech</t>
        </is>
      </c>
      <c r="D37" s="212" t="inlineStr">
        <is>
          <t>Technology</t>
        </is>
      </c>
      <c r="E37" s="212" t="inlineStr">
        <is>
          <t>Product Management</t>
        </is>
      </c>
      <c r="F37" s="212" t="inlineStr">
        <is>
          <t>Product Operations &amp; Research</t>
        </is>
      </c>
      <c r="G37" s="212" t="inlineStr">
        <is>
          <t>Intern</t>
        </is>
      </c>
      <c r="H37" s="212" t="inlineStr">
        <is>
          <t>Intern – Product Operations &amp; Research</t>
        </is>
      </c>
      <c r="I37" s="15" t="inlineStr">
        <is>
          <t>Not mapped</t>
        </is>
      </c>
      <c r="J37" s="144" t="inlineStr">
        <is>
          <t>A1</t>
        </is>
      </c>
      <c r="K37" s="15" t="inlineStr">
        <is>
          <t>IC</t>
        </is>
      </c>
      <c r="L37" s="216" t="inlineStr">
        <is>
          <t>Newly mapped</t>
        </is>
      </c>
      <c r="M37" s="15" t="n"/>
      <c r="N37" s="15" t="n"/>
      <c r="O37" s="15" t="n"/>
      <c r="P37" s="15" t="n"/>
      <c r="Q37" s="15" t="n"/>
      <c r="R37" s="15" t="n"/>
      <c r="S37" s="15" t="n"/>
      <c r="T37" s="212" t="inlineStr">
        <is>
          <t>Placed by rule</t>
        </is>
      </c>
      <c r="U37" s="212" t="inlineStr">
        <is>
          <t>—</t>
        </is>
      </c>
      <c r="V37" s="15" t="inlineStr">
        <is>
          <t>Medium</t>
        </is>
      </c>
    </row>
    <row r="38">
      <c r="A38" s="15" t="inlineStr">
        <is>
          <t>No Emp ID · external consultant</t>
        </is>
      </c>
      <c r="B38" s="212" t="inlineStr">
        <is>
          <t>Sadhan Kumar</t>
        </is>
      </c>
      <c r="C38" s="212" t="inlineStr">
        <is>
          <t>Datatech</t>
        </is>
      </c>
      <c r="D38" s="212" t="inlineStr">
        <is>
          <t>Technology</t>
        </is>
      </c>
      <c r="E38" s="212" t="inlineStr">
        <is>
          <t>Engineering &amp; Development</t>
        </is>
      </c>
      <c r="F38" s="212" t="inlineStr">
        <is>
          <t>Backend Development</t>
        </is>
      </c>
      <c r="G38" s="212" t="inlineStr">
        <is>
          <t>Consultant</t>
        </is>
      </c>
      <c r="H38" s="212" t="inlineStr">
        <is>
          <t>Associate Consultant – Software Development</t>
        </is>
      </c>
      <c r="I38" s="15" t="inlineStr">
        <is>
          <t>Not mapped</t>
        </is>
      </c>
      <c r="J38" s="150" t="inlineStr">
        <is>
          <t>X1</t>
        </is>
      </c>
      <c r="K38" s="15" t="inlineStr">
        <is>
          <t>Consultant</t>
        </is>
      </c>
      <c r="L38" s="15" t="inlineStr">
        <is>
          <t>Same level</t>
        </is>
      </c>
      <c r="M38" s="15" t="n"/>
      <c r="N38" s="15" t="n"/>
      <c r="O38" s="15" t="n"/>
      <c r="P38" s="15" t="n"/>
      <c r="Q38" s="15" t="n"/>
      <c r="R38" s="15" t="n"/>
      <c r="S38" s="15" t="n"/>
      <c r="T38" s="212" t="inlineStr">
        <is>
          <t>Placed by rule</t>
        </is>
      </c>
      <c r="U38" s="212" t="inlineStr">
        <is>
          <t>—</t>
        </is>
      </c>
      <c r="V38" s="15" t="inlineStr">
        <is>
          <t>—</t>
        </is>
      </c>
    </row>
    <row r="39">
      <c r="A39" s="15" t="inlineStr">
        <is>
          <t>No Emp ID · external consultant</t>
        </is>
      </c>
      <c r="B39" s="212" t="inlineStr">
        <is>
          <t>Sohel Yadav</t>
        </is>
      </c>
      <c r="C39" s="212" t="inlineStr">
        <is>
          <t>Datatech</t>
        </is>
      </c>
      <c r="D39" s="212" t="inlineStr">
        <is>
          <t>Technology</t>
        </is>
      </c>
      <c r="E39" s="212" t="inlineStr">
        <is>
          <t>Engineering &amp; Development</t>
        </is>
      </c>
      <c r="F39" s="212" t="inlineStr">
        <is>
          <t>Backend Development</t>
        </is>
      </c>
      <c r="G39" s="212" t="inlineStr">
        <is>
          <t>Consultant</t>
        </is>
      </c>
      <c r="H39" s="212" t="inlineStr">
        <is>
          <t>Associate Consultant – Software Development</t>
        </is>
      </c>
      <c r="I39" s="15" t="inlineStr">
        <is>
          <t>Not mapped</t>
        </is>
      </c>
      <c r="J39" s="150" t="inlineStr">
        <is>
          <t>X1</t>
        </is>
      </c>
      <c r="K39" s="15" t="inlineStr">
        <is>
          <t>Consultant</t>
        </is>
      </c>
      <c r="L39" s="15" t="inlineStr">
        <is>
          <t>Same level</t>
        </is>
      </c>
      <c r="M39" s="15" t="n"/>
      <c r="N39" s="15" t="n"/>
      <c r="O39" s="15" t="n"/>
      <c r="P39" s="15" t="n"/>
      <c r="Q39" s="15" t="n"/>
      <c r="R39" s="15" t="n"/>
      <c r="S39" s="15" t="n"/>
      <c r="T39" s="212" t="inlineStr">
        <is>
          <t>Placed by rule</t>
        </is>
      </c>
      <c r="U39" s="212" t="inlineStr">
        <is>
          <t>—</t>
        </is>
      </c>
      <c r="V39" s="15" t="inlineStr">
        <is>
          <t>—</t>
        </is>
      </c>
    </row>
    <row r="40">
      <c r="A40" s="15" t="inlineStr">
        <is>
          <t>No Emp ID · in-house consultant</t>
        </is>
      </c>
      <c r="B40" s="212" t="inlineStr">
        <is>
          <t>Vivek Kumar</t>
        </is>
      </c>
      <c r="C40" s="212" t="inlineStr">
        <is>
          <t>Datatech</t>
        </is>
      </c>
      <c r="D40" s="212" t="inlineStr">
        <is>
          <t>Technology</t>
        </is>
      </c>
      <c r="E40" s="212" t="inlineStr">
        <is>
          <t>Engineering &amp; Development</t>
        </is>
      </c>
      <c r="F40" s="212" t="inlineStr">
        <is>
          <t>Backend Development</t>
        </is>
      </c>
      <c r="G40" s="212" t="inlineStr">
        <is>
          <t>Consultant</t>
        </is>
      </c>
      <c r="H40" s="212" t="inlineStr">
        <is>
          <t>Associate Consultant – Software Development</t>
        </is>
      </c>
      <c r="I40" s="15" t="inlineStr">
        <is>
          <t>Not mapped</t>
        </is>
      </c>
      <c r="J40" s="150" t="inlineStr">
        <is>
          <t>X1</t>
        </is>
      </c>
      <c r="K40" s="15" t="inlineStr">
        <is>
          <t>Consultant</t>
        </is>
      </c>
      <c r="L40" s="15" t="inlineStr">
        <is>
          <t>Same level</t>
        </is>
      </c>
      <c r="M40" s="15" t="n"/>
      <c r="N40" s="15" t="n"/>
      <c r="O40" s="15" t="n"/>
      <c r="P40" s="15" t="n"/>
      <c r="Q40" s="15" t="n"/>
      <c r="R40" s="15" t="n"/>
      <c r="S40" s="15" t="n"/>
      <c r="T40" s="212" t="inlineStr">
        <is>
          <t>Placed by rule</t>
        </is>
      </c>
      <c r="U40" s="212" t="inlineStr">
        <is>
          <t>—</t>
        </is>
      </c>
      <c r="V40" s="15" t="inlineStr">
        <is>
          <t>—</t>
        </is>
      </c>
    </row>
  </sheetData>
  <mergeCells count="3">
    <mergeCell ref="A2:V2"/>
    <mergeCell ref="A1:V1"/>
    <mergeCell ref="A3:V3"/>
  </mergeCells>
  <conditionalFormatting sqref="N7:N40">
    <cfRule type="dataBar" priority="1">
      <dataBar showValue="1">
        <cfvo type="num" val="0"/>
        <cfvo type="num" val="12"/>
        <color rgb="005B9BD5"/>
      </dataBar>
    </cfRule>
  </conditionalFormatting>
  <conditionalFormatting sqref="O7:O40">
    <cfRule type="dataBar" priority="2">
      <dataBar showValue="1">
        <cfvo type="num" val="0"/>
        <cfvo type="num" val="12"/>
        <color rgb="005B9BD5"/>
      </dataBar>
    </cfRule>
  </conditionalFormatting>
  <conditionalFormatting sqref="P7:P40">
    <cfRule type="dataBar" priority="3">
      <dataBar showValue="1">
        <cfvo type="num" val="0"/>
        <cfvo type="num" val="12"/>
        <color rgb="005B9BD5"/>
      </dataBar>
    </cfRule>
  </conditionalFormatting>
  <conditionalFormatting sqref="Q7:Q40">
    <cfRule type="dataBar" priority="4">
      <dataBar showValue="1">
        <cfvo type="num" val="0"/>
        <cfvo type="num" val="12"/>
        <color rgb="005B9BD5"/>
      </dataBar>
    </cfRule>
  </conditionalFormatting>
  <conditionalFormatting sqref="R7:R40">
    <cfRule type="dataBar" priority="5">
      <dataBar showValue="1">
        <cfvo type="num" val="0"/>
        <cfvo type="num" val="12"/>
        <color rgb="005B9BD5"/>
      </dataBar>
    </cfRule>
  </conditionalFormatting>
  <conditionalFormatting sqref="S7:S40">
    <cfRule type="dataBar" priority="6">
      <dataBar showValue="1">
        <cfvo type="num" val="0"/>
        <cfvo type="num" val="12"/>
        <color rgb="005B9BD5"/>
      </dataBar>
    </cfRule>
  </conditionalFormatting>
  <conditionalFormatting sqref="M7:M40">
    <cfRule type="dataBar" priority="7">
      <dataBar showValue="1">
        <cfvo type="num" val="0"/>
        <cfvo type="num" val="12"/>
        <color rgb="00A9D08E"/>
      </dataBar>
    </cfRule>
  </conditionalFormatting>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5.xml><?xml version="1.0" encoding="utf-8"?>
<worksheet xmlns="http://schemas.openxmlformats.org/spreadsheetml/2006/main">
  <sheetPr>
    <tabColor rgb="002E75B6"/>
    <outlinePr summaryBelow="1" summaryRight="1"/>
    <pageSetUpPr fitToPage="1"/>
  </sheetPr>
  <dimension ref="A1:J57"/>
  <sheetViews>
    <sheetView showGridLines="0" workbookViewId="0">
      <pane ySplit="7" topLeftCell="A8" activePane="bottomLeft" state="frozen"/>
      <selection pane="bottomLeft" activeCell="A1" sqref="A1"/>
    </sheetView>
  </sheetViews>
  <sheetFormatPr baseColWidth="8" defaultRowHeight="15"/>
  <cols>
    <col width="20" customWidth="1" min="1" max="1"/>
    <col width="16" customWidth="1" min="2" max="2"/>
    <col width="14" customWidth="1" min="3" max="3"/>
    <col width="10" customWidth="1" min="4" max="4"/>
    <col width="10" customWidth="1" min="5" max="5"/>
    <col width="10" customWidth="1" min="6" max="6"/>
    <col width="30" customWidth="1" min="7" max="7"/>
    <col width="30" customWidth="1" min="8" max="8"/>
    <col width="13" customWidth="1" min="9" max="9"/>
    <col hidden="1" width="13" customWidth="1" min="10" max="10"/>
  </cols>
  <sheetData>
    <row r="1" ht="34" customHeight="1">
      <c r="A1" s="1" t="inlineStr">
        <is>
          <t>Person card — one person's placement on one page</t>
        </is>
      </c>
      <c r="I1" s="241" t="inlineStr">
        <is>
          <t>◂ Contents</t>
        </is>
      </c>
    </row>
    <row r="2" ht="46" customHeight="1">
      <c r="A2" s="3" t="inlineStr">
        <is>
          <r>
            <rPr>
              <rFont val="Calibri"/>
              <b val="1"/>
              <i val="1"/>
              <color rgb="00404040"/>
              <sz val="10"/>
            </rPr>
            <t>Sheet 1b · Find a person:</t>
          </r>
          <r>
            <rPr>
              <rFont val="Calibri"/>
              <i val="1"/>
              <color rgb="00404040"/>
              <sz val="10"/>
            </rPr>
            <t xml:space="preserve"> paste or type an Emp ID, or pick Department → Name from the yellow drop-downs — type part of a word in the Search box beside a drop-down to shorten its list. Everything below fills in from sheet 2: the role before and after, the six ratings as bars with weights and points, the score and the level, the rules applied, the justification for each rating and the evidence.</t>
          </r>
        </is>
      </c>
    </row>
    <row r="3">
      <c r="A3" s="4" t="inlineStr">
        <is>
          <t>IRIS · Job Architecture &amp; Job Design · Final v1.12 · October 2026 · Internal — Confidential</t>
        </is>
      </c>
    </row>
    <row r="4"/>
    <row r="5" ht="22" customHeight="1">
      <c r="A5" s="217" t="inlineStr">
        <is>
          <t>Department</t>
        </is>
      </c>
      <c r="B5" s="218" t="inlineStr">
        <is>
          <t>Datatech - Outreach</t>
        </is>
      </c>
      <c r="E5" s="219" t="inlineStr">
        <is>
          <t>Search ▸</t>
        </is>
      </c>
      <c r="F5" s="220" t="n"/>
      <c r="G5" s="221" t="inlineStr">
        <is>
          <t>Showing  ▸</t>
        </is>
      </c>
      <c r="H5" s="222" t="str">
        <f>IFERROR(INDEX('2. Talent Mapping'!$B$7:$B$40,$J$7),"")</f>
        <v>Bharati Durgaprasad Paranjape</v>
      </c>
      <c r="J5" t="inlineStr">
        <is>
          <t>Datatech</t>
        </is>
      </c>
    </row>
    <row r="6" ht="22" customHeight="1">
      <c r="A6" s="217" t="inlineStr">
        <is>
          <t>Name</t>
        </is>
      </c>
      <c r="B6" s="218" t="inlineStr">
        <is>
          <t>Bharati Durgaprasad Paranjape</t>
        </is>
      </c>
      <c r="E6" s="219" t="inlineStr">
        <is>
          <t>Search ▸</t>
        </is>
      </c>
      <c r="F6" s="220" t="n"/>
      <c r="G6" s="11" t="n"/>
      <c r="H6" s="223" t="str">
        <f>IF($J$7="","No match — check the Emp ID" &amp; IF(COUNTA(PC_Products)=1," · this file holds one product only","") &amp; ", or clear it and pick a name",IF(LEFT($J$6,3)="No ",$J$6,"Emp ID "&amp;$J$6)&amp;IF($B$7&lt;&gt;""," · by Emp ID"," · by name"))</f>
        <v>Emp ID IRISDT0013 · by name</v>
      </c>
      <c r="J6" t="str">
        <f>IF(TRIM($B$7)&lt;&gt;"",TRIM($B$7),IFERROR(INDEX(PC_NKIds,MATCH($J$5&amp;"|"&amp;$B$5&amp;"|"&amp;$B$6,PC_NK,0)),""))</f>
        <v>IRISDT0013</v>
      </c>
    </row>
    <row r="7" ht="22" customHeight="1">
      <c r="A7" s="217" t="inlineStr">
        <is>
          <t>Emp ID — paste or type</t>
        </is>
      </c>
      <c r="B7" s="218" t="n"/>
      <c r="J7">
        <f>IFERROR(INDEX(PC_NKRow,MATCH($J$6,PC_NKIds,0)),"")</f>
        <v>3</v>
      </c>
    </row>
    <row r="8">
      <c r="A8" s="11" t="inlineStr">
        <is>
          <t>Paste or type an Emp ID — any person, any product, upper or lower case — or leave it blank and pick Department → Name. To shorten a drop-down, type part of a word in its Search box first. A typed Emp ID wins — clear it to pick by name.</t>
        </is>
      </c>
    </row>
    <row r="9"/>
    <row r="10" ht="20" customHeight="1">
      <c r="A10" s="224" t="inlineStr">
        <is>
          <t>WHO</t>
        </is>
      </c>
    </row>
    <row r="11">
      <c r="A11" s="225" t="inlineStr">
        <is>
          <t>Business</t>
        </is>
      </c>
      <c r="C11" s="207" t="inlineStr">
        <is>
          <t>Datatech</t>
        </is>
      </c>
      <c r="E11" s="225" t="inlineStr">
        <is>
          <t>Department</t>
        </is>
      </c>
      <c r="G11" s="207" t="str">
        <f>IFERROR(INDEX('2. Talent Mapping'!$C$7:$C$40,$J$7),"")</f>
        <v>Datatech - Outreach</v>
      </c>
    </row>
    <row r="12">
      <c r="A12" s="225" t="inlineStr">
        <is>
          <t>Reporting manager</t>
        </is>
      </c>
      <c r="C12" s="207" t="str">
        <f>IFERROR(INDEX('2. Talent Mapping'!$D$7:$D$40,$J$7),"")</f>
        <v>Raghin Nair</v>
      </c>
      <c r="E12" s="225" t="inlineStr">
        <is>
          <t>Qualification</t>
        </is>
      </c>
      <c r="G12" s="207" t="str">
        <f>IFERROR(INDEX('2. Talent Mapping'!$G$7:$G$40,$J$7),"")</f>
        <v>MA</v>
      </c>
    </row>
    <row r="13">
      <c r="A13" s="225" t="inlineStr">
        <is>
          <t>Total experience · yrs</t>
        </is>
      </c>
      <c r="C13" s="207">
        <f>IFERROR(INDEX('2. Talent Mapping'!$E$7:$E$40,$J$7),"")</f>
        <v>4.4</v>
      </c>
      <c r="E13" s="225" t="inlineStr">
        <is>
          <t>Experience at IRIS · yrs</t>
        </is>
      </c>
      <c r="G13" s="207">
        <f>IFERROR(INDEX('2. Talent Mapping'!$F$7:$F$40,$J$7),"")</f>
        <v>0.7</v>
      </c>
    </row>
    <row r="14"/>
    <row r="15" ht="20" customHeight="1">
      <c r="A15" s="224" t="inlineStr">
        <is>
          <t>ROLE — BEFORE → AFTER</t>
        </is>
      </c>
    </row>
    <row r="16">
      <c r="A16" s="225" t="inlineStr">
        <is>
          <t>Current designation</t>
        </is>
      </c>
      <c r="C16" s="207" t="str">
        <f>IFERROR(INDEX('2. Talent Mapping'!$H$7:$H$40,$J$7),"")</f>
        <v>Program Executive - MSME</v>
      </c>
      <c r="E16" s="225" t="inlineStr">
        <is>
          <t>Final designation</t>
        </is>
      </c>
      <c r="G16" s="207" t="str">
        <f>IFERROR(INDEX('2. Talent Mapping'!$I$7:$I$40,$J$7),"")</f>
        <v>Senior Program Executive</v>
      </c>
    </row>
    <row r="17">
      <c r="A17" s="225" t="inlineStr">
        <is>
          <t>Current level</t>
        </is>
      </c>
      <c r="C17" s="207" t="str">
        <f>IFERROR(INDEX('2. Talent Mapping'!$L$7:$L$40,$J$7),"")</f>
        <v>L3 – Professional / Associate</v>
      </c>
      <c r="E17" s="225" t="inlineStr">
        <is>
          <t>FINAL LEVEL</t>
        </is>
      </c>
      <c r="G17" s="207" t="str">
        <f>IFERROR(INDEX('2. Talent Mapping'!$M$7:$M$40,$J$7),"")</f>
        <v>A3</v>
      </c>
    </row>
    <row r="18">
      <c r="A18" s="225" t="inlineStr">
        <is>
          <t>Level title</t>
        </is>
      </c>
      <c r="C18" s="207" t="str">
        <f>IFERROR(INDEX('2. Talent Mapping'!$N$7:$N$40,$J$7),"")</f>
        <v>Senior Associate</v>
      </c>
      <c r="E18" s="225" t="inlineStr">
        <is>
          <t>Band</t>
        </is>
      </c>
      <c r="G18" s="207" t="str">
        <f>IFERROR(INDEX('2. Talent Mapping'!$O$7:$O$40,$J$7),"")</f>
        <v>A</v>
      </c>
    </row>
    <row r="19">
      <c r="A19" s="225" t="inlineStr">
        <is>
          <t>Job family</t>
        </is>
      </c>
      <c r="C19" s="207" t="str">
        <f>IFERROR(INDEX('2. Talent Mapping'!$J$7:$J$40,$J$7),"")</f>
        <v>Sales &amp; Business Development</v>
      </c>
      <c r="E19" s="225" t="inlineStr">
        <is>
          <t>Sub-family</t>
        </is>
      </c>
      <c r="G19" s="207" t="str">
        <f>IFERROR(INDEX('2. Talent Mapping'!$K$7:$K$40,$J$7),"")</f>
        <v>Field Outreach &amp; Programme Sales</v>
      </c>
    </row>
    <row r="20">
      <c r="A20" s="225" t="inlineStr">
        <is>
          <t>Track</t>
        </is>
      </c>
      <c r="C20" s="207" t="str">
        <f>IFERROR(INDEX('2. Talent Mapping'!$P$7:$P$40,$J$7),"")</f>
        <v>IC</v>
      </c>
      <c r="E20" s="225" t="inlineStr">
        <is>
          <t>Change vs current</t>
        </is>
      </c>
      <c r="G20" s="207" t="str">
        <f>IFERROR(INDEX('2. Talent Mapping'!$Q$7:$Q$40,$J$7),"")</f>
        <v>▲ Up</v>
      </c>
    </row>
    <row r="21"/>
    <row r="22" ht="210" customHeight="1">
      <c r="A22" s="225" t="inlineStr">
        <is>
          <t>WHAT THEY DO — role, responsibilities &amp; competencies required</t>
        </is>
      </c>
      <c r="B22" s="207" t="str">
        <f>IFERROR(IF(INDEX('2. Talent Mapping'!$R$7:$R$40,$J$7)="","—",INDEX('2. Talent Mapping'!$R$7:$R$40,$J$7)),"")</f>
        <v>WHAT THE ROLE DOES: Onboards MSMEs and partners in the field; generates programme leads and engagement. At A3: varied work; reviews juniors; go-to for a process.
Common themes in role-holders' answers: partners · business · services · msme
KEY RESPONSIBILITIES: Onboards MSMEs and partners in the field; generates programme leads and engagement; Varied and non-standard work; handles exceptions; A module / process, or work with client or regulatory consequences
DELIVERS: A module / process, or work with client or regulatory consequences
DECIDES ALONE: Technical / QC / client calls on own work
Common themes in role-holders' answers: leads
SKILLS &amp; KNOWLEDGE · role-holders: Sales
MANAGER-SET KRAs: Common themes in manager-set KRAs: month quarter · minimum msmes · applications quarter · business · bhr units · onboard minimum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RC-156</v>
      </c>
    </row>
    <row r="23" ht="120" customHeight="1">
      <c r="A23" s="225" t="inlineStr">
        <is>
          <t>BUSINESS IMPACT — from survey and data</t>
        </is>
      </c>
      <c r="B23" s="207" t="str">
        <f>IFERROR(IF(INDEX('2. Talent Mapping'!$S$7:$S$40,$J$7)="","—",INDEX('2. Talent Mapping'!$S$7:$S$40,$J$7)),"")</f>
        <v>What the role answers for: A module / process, or work with client or regulatory consequences.
Accountability &amp; Impact rating: 2 of 12 · A2-level impact.
If the work is missed · role-holders' themes: sales · customer.
Measured on · manager-set KRA themes: month quarter · minimum msmes · applications quarter · business · bhr units · onboard minimum.
Manager talent mapping — Latest rating: 3 · Potential: Medium · 9-Box Grid placement: Emerging Talent.</v>
      </c>
    </row>
    <row r="24" ht="45" customHeight="1">
      <c r="A24" s="225" t="inlineStr">
        <is>
          <t>BUSINESS IMPACT — from manager / head</t>
        </is>
      </c>
      <c r="B24" s="207" t="str">
        <f>IFERROR(IF(INDEX('2. Talent Mapping'!$T$7:$T$40,$J$7)="","—",INDEX('2. Talent Mapping'!$T$7:$T$40,$J$7)),"")</f>
        <v>—</v>
      </c>
    </row>
    <row r="25" ht="20" customHeight="1">
      <c r="A25" s="224" t="inlineStr">
        <is>
          <t>RECRUITMENT — FIND A REPLACEMENT FOR THIS ROLE</t>
        </is>
      </c>
    </row>
    <row r="26" ht="120" customHeight="1">
      <c r="A26" s="225" t="inlineStr">
        <is>
          <t>What they do · simple</t>
        </is>
      </c>
      <c r="B26" s="207" t="str">
        <f>IFERROR(IF(INDEX('2. Talent Mapping'!$U$7:$U$40,$J$7)="","—",INDEX('2. Talent Mapping'!$U$7:$U$40,$J$7)),"")</f>
        <v>Senior Program Executive in Datatech - Outreach · Datatech, A3 — IC.
The work: Onboards MSMEs and partners in the field; generates programme leads and engagement.
At this level the role owns varied work; reviews juniors; go-to for a process.
Key responsibilities: Onboards MSMEs and partners in the field; generates programme leads and engagement; Varied and non-standard work; handles exceptions; A module / process, or work with client or regulatory consequences.</v>
      </c>
    </row>
    <row r="27" ht="120" customHeight="1">
      <c r="A27" s="225" t="inlineStr">
        <is>
          <t>Hire equivalent · external market</t>
        </is>
      </c>
      <c r="B27" s="207" t="str">
        <f>IFERROR(IF(INDEX('2. Talent Mapping'!$V$7:$V$40,$J$7)="","—",INDEX('2. Talent Mapping'!$V$7:$V$40,$J$7)),"")</f>
        <v>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v>
      </c>
    </row>
    <row r="28" ht="330" customHeight="1">
      <c r="A28" s="225" t="inlineStr">
        <is>
          <t>Competencies &amp; skill level to hire for</t>
        </is>
      </c>
      <c r="B28" s="207" t="str">
        <f>IFERROR(IF(INDEX('2. Talent Mapping'!$W$7:$W$40,$J$7)="","—",INDEX('2. Talent Mapping'!$W$7:$W$40,$J$7)),"")</f>
        <v>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v>
      </c>
    </row>
    <row r="29" ht="330" customHeight="1">
      <c r="A29" s="225" t="inlineStr">
        <is>
          <t>Interview questions for the perfect fit</t>
        </is>
      </c>
      <c r="B29" s="207" t="str">
        <f>IFERROR(IF(INDEX('2. Talent Mapping'!$X$7:$X$40,$J$7)="","—",INDEX('2. Talent Mapping'!$X$7:$X$40,$J$7)),"")</f>
        <v>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v>
      </c>
    </row>
    <row r="30" ht="20" customHeight="1">
      <c r="A30" s="224" t="inlineStr">
        <is>
          <t>HOW THE LEVEL IS WORKED OUT</t>
        </is>
      </c>
    </row>
    <row r="31">
      <c r="A31" s="226" t="inlineStr">
        <is>
          <t>Factor</t>
        </is>
      </c>
      <c r="B31" s="226" t="inlineStr">
        <is>
          <t>Rating</t>
        </is>
      </c>
      <c r="C31" s="226" t="inlineStr">
        <is>
          <t>Bar</t>
        </is>
      </c>
      <c r="E31" s="226" t="inlineStr">
        <is>
          <t>Weight</t>
        </is>
      </c>
      <c r="F31" s="226" t="inlineStr">
        <is>
          <t>Points</t>
        </is>
      </c>
    </row>
    <row r="32">
      <c r="A32" s="225" t="inlineStr">
        <is>
          <t>Complexity &amp; Expertise</t>
        </is>
      </c>
      <c r="B32" s="227">
        <f>IFERROR(INDEX('2. Talent Mapping'!$Z$7:$Z$40,$J$7),"")</f>
        <v>2</v>
      </c>
      <c r="C32" s="228" t="str">
        <f>IF(B32="","",REPT("█",ROUND(B32,0))&amp;REPT("░",12-ROUND(B32,0)))</f>
        <v>██░░░░░░░░░░</v>
      </c>
      <c r="E32" s="229">
        <f>IFERROR(INDEX('2. Talent Mapping'!$AA$7:$AA$40,$J$7),"")</f>
        <v>0.54</v>
      </c>
      <c r="F32" s="230">
        <f>IF(OR(B32="",E32=""),"",B32*E32)</f>
        <v>1.08</v>
      </c>
    </row>
    <row r="33">
      <c r="A33" s="225" t="inlineStr">
        <is>
          <t>Autonomy &amp; Decision</t>
        </is>
      </c>
      <c r="B33" s="227">
        <f>IFERROR(INDEX('2. Talent Mapping'!$AC$7:$AC$40,$J$7),"")</f>
        <v>2</v>
      </c>
      <c r="C33" s="228" t="str">
        <f>IF(B33="","",REPT("█",ROUND(B33,0))&amp;REPT("░",12-ROUND(B33,0)))</f>
        <v>██░░░░░░░░░░</v>
      </c>
      <c r="E33" s="229">
        <f>IFERROR(INDEX('2. Talent Mapping'!$AD$7:$AD$40,$J$7),"")</f>
        <v>0.21</v>
      </c>
      <c r="F33" s="230">
        <f>IF(OR(B33="",E33=""),"",B33*E33)</f>
        <v>0.42</v>
      </c>
    </row>
    <row r="34">
      <c r="A34" s="225" t="inlineStr">
        <is>
          <t>Accountability &amp; Impact</t>
        </is>
      </c>
      <c r="B34" s="227">
        <f>IFERROR(INDEX('2. Talent Mapping'!$AF$7:$AF$40,$J$7),"")</f>
        <v>2</v>
      </c>
      <c r="C34" s="228" t="str">
        <f>IF(B34="","",REPT("█",ROUND(B34,0))&amp;REPT("░",12-ROUND(B34,0)))</f>
        <v>██░░░░░░░░░░</v>
      </c>
      <c r="E34" s="229">
        <f>IFERROR(INDEX('2. Talent Mapping'!$AG$7:$AG$40,$J$7),"")</f>
        <v>0.04</v>
      </c>
      <c r="F34" s="230">
        <f>IF(OR(B34="",E34=""),"",B34*E34)</f>
        <v>0.08</v>
      </c>
    </row>
    <row r="35">
      <c r="A35" s="225" t="inlineStr">
        <is>
          <t>Leadership &amp; Strategy</t>
        </is>
      </c>
      <c r="B35" s="227">
        <f>IFERROR(INDEX('2. Talent Mapping'!$AI$7:$AI$40,$J$7),"")</f>
        <v>1</v>
      </c>
      <c r="C35" s="228" t="str">
        <f>IF(B35="","",REPT("█",ROUND(B35,0))&amp;REPT("░",12-ROUND(B35,0)))</f>
        <v>█░░░░░░░░░░░</v>
      </c>
      <c r="E35" s="229">
        <f>IFERROR(INDEX('2. Talent Mapping'!$AJ$7:$AJ$40,$J$7),"")</f>
        <v>0</v>
      </c>
      <c r="F35" s="230">
        <f>IF(OR(B35="",E35=""),"",B35*E35)</f>
        <v>0</v>
      </c>
    </row>
    <row r="36">
      <c r="A36" s="225" t="inlineStr">
        <is>
          <t>Experience &amp; Qualification</t>
        </is>
      </c>
      <c r="B36" s="227">
        <f>IFERROR(INDEX('2. Talent Mapping'!$AL$7:$AL$40,$J$7),"")</f>
        <v>4</v>
      </c>
      <c r="C36" s="228" t="str">
        <f>IF(B36="","",REPT("█",ROUND(B36,0))&amp;REPT("░",12-ROUND(B36,0)))</f>
        <v>████░░░░░░░░</v>
      </c>
      <c r="E36" s="229">
        <f>IFERROR(INDEX('2. Talent Mapping'!$AM$7:$AM$40,$J$7),"")</f>
        <v>0.1</v>
      </c>
      <c r="F36" s="230">
        <f>IF(OR(B36="",E36=""),"",B36*E36)</f>
        <v>0.4</v>
      </c>
    </row>
    <row r="37">
      <c r="A37" s="225" t="inlineStr">
        <is>
          <t>Business Impact</t>
        </is>
      </c>
      <c r="B37" s="227">
        <f>IFERROR(INDEX('2. Talent Mapping'!$AO$7:$AO$40,$J$7),"")</f>
        <v>2</v>
      </c>
      <c r="C37" s="228" t="str">
        <f>IF(B37="","",REPT("█",ROUND(B37,0))&amp;REPT("░",12-ROUND(B37,0)))</f>
        <v>██░░░░░░░░░░</v>
      </c>
      <c r="E37" s="229">
        <f>IFERROR(INDEX('2. Talent Mapping'!$AP$7:$AP$40,$J$7),"")</f>
        <v>0.11</v>
      </c>
      <c r="F37" s="230">
        <f>IF(OR(B37="",E37=""),"",B37*E37)</f>
        <v>0.22</v>
      </c>
    </row>
    <row r="38">
      <c r="A38" s="231" t="inlineStr">
        <is>
          <t>Weighted score</t>
        </is>
      </c>
      <c r="F38" s="232">
        <f>IF(COUNT(F32:F37)=6,SUM(F32:F37),"Placed by rule")</f>
        <v>2.2</v>
      </c>
    </row>
    <row r="39">
      <c r="A39" s="231" t="inlineStr">
        <is>
          <t>Level the score indicates</t>
        </is>
      </c>
      <c r="F39" s="233" t="str">
        <f>IFERROR(INDEX('2. Talent Mapping'!$AS$7:$AS$40,$J$7),"")</f>
        <v>A2</v>
      </c>
    </row>
    <row r="40">
      <c r="A40" s="231" t="inlineStr">
        <is>
          <t>FINAL LEVEL</t>
        </is>
      </c>
      <c r="F40" s="233" t="str">
        <f>IFERROR(INDEX('2. Talent Mapping'!$M$7:$M$40,$J$7),"")</f>
        <v>A3</v>
      </c>
    </row>
    <row r="41"/>
    <row r="42" ht="60" customHeight="1">
      <c r="A42" s="225" t="inlineStr">
        <is>
          <t>Why these weights</t>
        </is>
      </c>
      <c r="B42" s="207" t="str">
        <f>IFERROR(IF(INDEX('2. Talent Mapping'!$AT$7:$AT$40,$J$7)="","—",INDEX('2. Talent Mapping'!$AT$7:$AT$40,$J$7)),"")</f>
        <v>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v>
      </c>
    </row>
    <row r="43" ht="60" customHeight="1">
      <c r="A43" s="225" t="inlineStr">
        <is>
          <t>Calculation</t>
        </is>
      </c>
      <c r="B43" s="207" t="str">
        <f>IFERROR(IF(INDEX('2. Talent Mapping'!$AU$7:$AU$40,$J$7)="","—",INDEX('2. Talent Mapping'!$AU$7:$AU$40,$J$7)),"")</f>
        <v>At build: Complexity 1.08 + Autonomy 0.42 + Accountability 0.08 + Leadership 0.00 + Experience 0.40 + Business impact 0.22
= 2.20 points → nearest level 2 = A2
Final level: A3 · a rule applied: see the next column</v>
      </c>
    </row>
    <row r="44" ht="60" customHeight="1">
      <c r="A44" s="225" t="inlineStr">
        <is>
          <t>Rules applied — with the numbers</t>
        </is>
      </c>
      <c r="B44" s="207" t="str">
        <f>IFERROR(IF(INDEX('2. Talent Mapping'!$AV$7:$AV$40,$J$7)="","—",INDEX('2. Talent Mapping'!$AV$7:$AV$40,$J$7)),"")</f>
        <v>• Raised to A3: 4.4 years' experience is 2 years or more.
Final level: A3.</v>
      </c>
    </row>
    <row r="45" ht="20" customHeight="1">
      <c r="A45" s="224" t="inlineStr">
        <is>
          <t>JUSTIFICATION FOR EACH RATING</t>
        </is>
      </c>
    </row>
    <row r="46" ht="105" customHeight="1">
      <c r="A46" s="225" t="inlineStr">
        <is>
          <t>Complexity &amp; Expertise</t>
        </is>
      </c>
      <c r="B46" s="207" t="str">
        <f>IFERROR(IF(INDEX('2. Talent Mapping'!$AW$7:$AW$40,$J$7)="","—",INDEX('2. Talent Mapping'!$AW$7:$AW$40,$J$7)),"")</f>
        <v>Rated 2 of 12
Start: 2.0 · practitioner title
Evidence reads like A2: Engages government officers and industry bodies to sell company services; little detail → matches the start
KRA: “1. MSME Onboarding - Onboard minimum 30 MSMEs per month, 90 per quarter - Weightage: 30% 2. Business Loan Applications - Submit 35 loan…”
Market: A2 = Standard work of the discipline</v>
      </c>
    </row>
    <row r="47" ht="105" customHeight="1">
      <c r="A47" s="225" t="inlineStr">
        <is>
          <t>Autonomy &amp; Decision</t>
        </is>
      </c>
      <c r="B47" s="207" t="str">
        <f>IFERROR(IF(INDEX('2. Talent Mapping'!$AX$7:$AX$40,$J$7)="","—",INDEX('2. Talent Mapping'!$AX$7:$AX$40,$J$7)),"")</f>
        <v>Rated 2 of 12
Start: 2.0 · practitioner title
Evidence reads like A2: Decides own engagement and sales activity; nothing beyond own work → matches the start
Market: A2 = Chooses own approach within standards</v>
      </c>
    </row>
    <row r="48" ht="105" customHeight="1">
      <c r="A48" s="225" t="inlineStr">
        <is>
          <t>Accountability &amp; Impact</t>
        </is>
      </c>
      <c r="B48" s="207" t="str">
        <f>IFERROR(IF(INDEX('2. Talent Mapping'!$AY$7:$AY$40,$J$7)="","—",INDEX('2. Talent Mapping'!$AY$7:$AY$40,$J$7)),"")</f>
        <v>Rated 2 of 12
Start: 2.0 · practitioner title
Evidence reads like A2: States only 'engagement' as accountability → matches the start
KRA: “1. MSME Onboarding - Onboard minimum 30 MSMEs per month, 90 per quarter - Weightage: 30% 2. Business Loan Applications - Submit 35 loan…”
Market: A2 = Own deliverables · accuracy, TAT</v>
      </c>
    </row>
    <row r="49" ht="105" customHeight="1">
      <c r="A49" s="225" t="inlineStr">
        <is>
          <t>Leadership &amp; Strategy</t>
        </is>
      </c>
      <c r="B49" s="207" t="str">
        <f>IFERROR(IF(INDEX('2. Talent Mapping'!$AZ$7:$AZ$40,$J$7)="","—",INDEX('2. Talent Mapping'!$AZ$7:$AZ$40,$J$7)),"")</f>
        <v>Rated 1 of 12 — not counted: the weight is 0% at this level
Start: 1.0 · individual contributor, so influence only
Evidence reads like A1: No guidance or leadership of others described → matches the start
Team: 0 direct reports · IC
Market: A1 = Not scored in Band A</v>
      </c>
    </row>
    <row r="50" ht="105" customHeight="1">
      <c r="A50" s="225" t="inlineStr">
        <is>
          <t>Experience &amp; Qualification</t>
        </is>
      </c>
      <c r="B50" s="207" t="str">
        <f>IFERROR(IF(INDEX('2. Talent Mapping'!$BA$7:$BA$40,$J$7)="","—",INDEX('2. Talent Mapping'!$BA$7:$BA$40,$J$7)),"")</f>
        <v>Rated 4 of 12
Experience: 4.4 yrs total · 3.7 before IRIS + 0.7 at IRIS = 3.6 on the experience scale
Qualification: MA · postgraduate, relevant to the work → +0.5
Market: A3 roles typically have 2–5 yrs · IRIS guide 2–4</v>
      </c>
    </row>
    <row r="51" ht="105" customHeight="1">
      <c r="A51" s="225" t="inlineStr">
        <is>
          <t>Business Impact</t>
        </is>
      </c>
      <c r="B51" s="207" t="str">
        <f>IFERROR(IF(INDEX('2. Talent Mapping'!$BB$7:$BB$40,$J$7)="","—",INDEX('2. Talent Mapping'!$BB$7:$BB$40,$J$7)),"")</f>
        <v>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v>
      </c>
    </row>
    <row r="52" ht="20" customHeight="1">
      <c r="A52" s="224" t="inlineStr">
        <is>
          <t>EVIDENCE, MARKET AND POINTS TO CONFIRM</t>
        </is>
      </c>
    </row>
    <row r="53" ht="45" customHeight="1">
      <c r="A53" s="225" t="inlineStr">
        <is>
          <t>Data used</t>
        </is>
      </c>
      <c r="B53" s="207" t="str">
        <f>IFERROR(IF(INDEX('2. Talent Mapping'!$BD$7:$BD$40,$J$7)="","—",INDEX('2. Talent Mapping'!$BD$7:$BD$40,$J$7)),"")</f>
        <v>✓ HRIS: 4.4 yrs, MA, 0 direct reports
✓ Survey: 19 of 20 questions answered
✓ KRAs: manager-set, quarterly
✓ Manager mapping: rating, potential, 9-box
✗ Job description: not on file</v>
      </c>
    </row>
    <row r="54" ht="45" customHeight="1">
      <c r="A54" s="225" t="inlineStr">
        <is>
          <t>Market standard</t>
        </is>
      </c>
      <c r="B54" s="207" t="str">
        <f>IFERROR(IF(INDEX('2. Talent Mapping'!$BE$7:$BE$40,$J$7)="","—",INDEX('2. Talent Mapping'!$BE$7:$BE$40,$J$7)),"")</f>
        <v>Market level: P2 · SFIA 3 Apply
Typical title: SDR / Inside Sales
At peers: IRIS Vs Competitor Benchmark — SaaS sales ladder — IC: Senior SDR
Typical experience: 2–5 yrs · IRIS guide 2–4
Standard: SaaS sales ladder; MEDDICC-style qualification</v>
      </c>
    </row>
    <row r="55" ht="45" customHeight="1">
      <c r="A55" s="225" t="inlineStr">
        <is>
          <t>Confidence</t>
        </is>
      </c>
      <c r="B55" s="207" t="str">
        <f>IFERROR(IF(INDEX('2. Talent Mapping'!$BF$7:$BF$40,$J$7)="","—",INDEX('2. Talent Mapping'!$BF$7:$BF$40,$J$7)),"")</f>
        <v>Medium</v>
      </c>
    </row>
    <row r="56" ht="45" customHeight="1">
      <c r="A56" s="225" t="inlineStr">
        <is>
          <t>Points to confirm</t>
        </is>
      </c>
      <c r="B56" s="207" t="str">
        <f>IFERROR(IF(INDEX('2. Talent Mapping'!$BG$7:$BG$40,$J$7)="","—",INDEX('2. Talent Mapping'!$BG$7:$BG$40,$J$7)),"")</f>
        <v>—</v>
      </c>
    </row>
    <row r="57" ht="45" customHeight="1">
      <c r="A57" s="225" t="inlineStr">
        <is>
          <t>Inputs still needed</t>
        </is>
      </c>
      <c r="B57" s="207" t="str">
        <f>IFERROR(IF(INDEX('2. Talent Mapping'!$BC$7:$BC$40,$J$7)="","—",INDEX('2. Talent Mapping'!$BC$7:$BC$40,$J$7)),"")</f>
        <v>—</v>
      </c>
    </row>
  </sheetData>
  <mergeCells count="73">
    <mergeCell ref="E12:F12"/>
    <mergeCell ref="C34:D34"/>
    <mergeCell ref="G12:H12"/>
    <mergeCell ref="A30:H30"/>
    <mergeCell ref="A15:H15"/>
    <mergeCell ref="C33:D33"/>
    <mergeCell ref="B49:H49"/>
    <mergeCell ref="A11:B11"/>
    <mergeCell ref="G11:H11"/>
    <mergeCell ref="B55:H55"/>
    <mergeCell ref="B24:H24"/>
    <mergeCell ref="A1:H1"/>
    <mergeCell ref="A45:H45"/>
    <mergeCell ref="E17:F17"/>
    <mergeCell ref="B51:H51"/>
    <mergeCell ref="G17:H17"/>
    <mergeCell ref="C35:D35"/>
    <mergeCell ref="C20:D20"/>
    <mergeCell ref="A16:B16"/>
    <mergeCell ref="E20:F20"/>
    <mergeCell ref="B26:H26"/>
    <mergeCell ref="C16:D16"/>
    <mergeCell ref="B50:H50"/>
    <mergeCell ref="A25:H25"/>
    <mergeCell ref="E19:F19"/>
    <mergeCell ref="G19:H19"/>
    <mergeCell ref="B47:H47"/>
    <mergeCell ref="B54:H54"/>
    <mergeCell ref="E13:F13"/>
    <mergeCell ref="G13:H13"/>
    <mergeCell ref="A18:B18"/>
    <mergeCell ref="G18:H18"/>
    <mergeCell ref="C31:D31"/>
    <mergeCell ref="B6:D6"/>
    <mergeCell ref="A12:B12"/>
    <mergeCell ref="B46:H46"/>
    <mergeCell ref="B22:H22"/>
    <mergeCell ref="C12:D12"/>
    <mergeCell ref="A3:H3"/>
    <mergeCell ref="B5:D5"/>
    <mergeCell ref="B27:H27"/>
    <mergeCell ref="B56:H56"/>
    <mergeCell ref="C11:D11"/>
    <mergeCell ref="A2:H2"/>
    <mergeCell ref="B43:H43"/>
    <mergeCell ref="E11:F11"/>
    <mergeCell ref="C36:D36"/>
    <mergeCell ref="B48:H48"/>
    <mergeCell ref="A17:B17"/>
    <mergeCell ref="B42:H42"/>
    <mergeCell ref="B7:D7"/>
    <mergeCell ref="C17:D17"/>
    <mergeCell ref="A8:H8"/>
    <mergeCell ref="B23:H23"/>
    <mergeCell ref="A20:B20"/>
    <mergeCell ref="G20:H20"/>
    <mergeCell ref="C32:D32"/>
    <mergeCell ref="E16:F16"/>
    <mergeCell ref="B57:H57"/>
    <mergeCell ref="G16:H16"/>
    <mergeCell ref="A19:B19"/>
    <mergeCell ref="B44:H44"/>
    <mergeCell ref="B53:H53"/>
    <mergeCell ref="C19:D19"/>
    <mergeCell ref="A10:H10"/>
    <mergeCell ref="C37:D37"/>
    <mergeCell ref="A52:H52"/>
    <mergeCell ref="A13:B13"/>
    <mergeCell ref="C13:D13"/>
    <mergeCell ref="B29:H29"/>
    <mergeCell ref="C18:D18"/>
    <mergeCell ref="E18:F18"/>
    <mergeCell ref="B28:H28"/>
  </mergeCells>
  <dataValidations count="2">
    <dataValidation sqref="B5" showDropDown="0" showInputMessage="0" showErrorMessage="0" allowBlank="1" type="list">
      <formula1>PC_DeptF</formula1>
    </dataValidation>
    <dataValidation sqref="B6" showDropDown="0" showInputMessage="0" showErrorMessage="0" allowBlank="1" type="list">
      <formula1>PC_NameF</formula1>
    </dataValidation>
  </dataValidation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6.xml><?xml version="1.0" encoding="utf-8"?>
<worksheet xmlns="http://schemas.openxmlformats.org/spreadsheetml/2006/main">
  <sheetPr>
    <tabColor rgb="002E75B6"/>
    <outlinePr summaryBelow="1" summaryRight="1"/>
    <pageSetUpPr fitToPage="1"/>
  </sheetPr>
  <dimension ref="A1:Z87"/>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241" t="inlineStr">
        <is>
          <t>◂ Contents</t>
        </is>
      </c>
    </row>
    <row r="2" ht="30" customHeight="1">
      <c r="A2" s="3" t="inlineStr">
        <is>
          <t>1d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46" t="inlineStr">
        <is>
          <t>Experience &amp; Qualification weight — Bands A–B</t>
        </is>
      </c>
      <c r="B6" s="234" t="n">
        <v>10</v>
      </c>
      <c r="C6" s="11" t="inlineStr">
        <is>
          <t>Band A, Band B and B+ · Corporate functions rows add 5 for professional qualifications</t>
        </is>
      </c>
    </row>
    <row r="7">
      <c r="A7" s="46" t="inlineStr">
        <is>
          <t>Experience &amp; Qualification weight — Bands C–E</t>
        </is>
      </c>
      <c r="B7" s="234" t="n">
        <v>5</v>
      </c>
      <c r="C7" s="11" t="inlineStr">
        <is>
          <t>Band C, C+ and Bands D–E · Corporate functions rows add 5 for professional qualifications</t>
        </is>
      </c>
    </row>
    <row r="8">
      <c r="A8" s="11"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207" t="inlineStr">
        <is>
          <t>1. Find your department and role group in the matrix below · filter the Department column.</t>
        </is>
      </c>
    </row>
    <row r="12">
      <c r="A12" s="207" t="inlineStr">
        <is>
          <t>2. Change the yellow weights in steps of 5%. Each row should add up to about 100% — the 'Used' columns show the weights actually applied.</t>
        </is>
      </c>
    </row>
    <row r="13">
      <c r="A13" s="207" t="inlineStr">
        <is>
          <t>3. Look at sheet 2: points, the score and 'Level the score indicates' have already changed for everyone in that department and role group.</t>
        </is>
      </c>
    </row>
    <row r="14">
      <c r="A14" s="207"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92" t="inlineStr">
        <is>
          <t>Weight row</t>
        </is>
      </c>
      <c r="B16" s="92" t="inlineStr">
        <is>
          <t>Business</t>
        </is>
      </c>
      <c r="C16" s="92" t="inlineStr">
        <is>
          <t>Department</t>
        </is>
      </c>
      <c r="D16" s="92" t="inlineStr">
        <is>
          <t>Role group</t>
        </is>
      </c>
      <c r="E16" s="92" t="inlineStr">
        <is>
          <t>People</t>
        </is>
      </c>
      <c r="F16" s="92" t="inlineStr">
        <is>
          <t>Main type of work</t>
        </is>
      </c>
      <c r="G16" s="12" t="inlineStr">
        <is>
          <t>How hard %</t>
        </is>
      </c>
      <c r="H16" s="12" t="inlineStr">
        <is>
          <t>Decides alone %</t>
        </is>
      </c>
      <c r="I16" s="12" t="inlineStr">
        <is>
          <t>Answers for %</t>
        </is>
      </c>
      <c r="J16" s="12" t="inlineStr">
        <is>
          <t>Leads %</t>
        </is>
      </c>
      <c r="K16" s="12" t="inlineStr">
        <is>
          <t>Experience %</t>
        </is>
      </c>
      <c r="L16" s="12" t="inlineStr">
        <is>
          <t>Business impact %</t>
        </is>
      </c>
      <c r="M16" s="12" t="inlineStr">
        <is>
          <t>Entered total</t>
        </is>
      </c>
      <c r="N16" s="92" t="inlineStr">
        <is>
          <t>Used · How hard</t>
        </is>
      </c>
      <c r="O16" s="92" t="inlineStr">
        <is>
          <t>Used · Decides alone</t>
        </is>
      </c>
      <c r="P16" s="92" t="inlineStr">
        <is>
          <t>Used · Answers for</t>
        </is>
      </c>
      <c r="Q16" s="92" t="inlineStr">
        <is>
          <t>Used · Leads</t>
        </is>
      </c>
      <c r="R16" s="92" t="inlineStr">
        <is>
          <t>Used · Experience</t>
        </is>
      </c>
      <c r="S16" s="92" t="inlineStr">
        <is>
          <t>Used · Business impact</t>
        </is>
      </c>
      <c r="T16" s="92" t="inlineStr">
        <is>
          <t>Why changed · leader</t>
        </is>
      </c>
      <c r="U16" s="235" t="inlineStr">
        <is>
          <t>Default · How hard</t>
        </is>
      </c>
      <c r="V16" s="235" t="inlineStr">
        <is>
          <t>Default · Decides alone</t>
        </is>
      </c>
      <c r="W16" s="235" t="inlineStr">
        <is>
          <t>Default · Answers for</t>
        </is>
      </c>
      <c r="X16" s="235" t="inlineStr">
        <is>
          <t>Default · Leads</t>
        </is>
      </c>
      <c r="Y16" s="235" t="inlineStr">
        <is>
          <t>Default · Experience</t>
        </is>
      </c>
      <c r="Z16" s="235" t="inlineStr">
        <is>
          <t>Default · Business impact</t>
        </is>
      </c>
    </row>
    <row r="17" ht="30" customHeight="1">
      <c r="A17" s="16" t="inlineStr">
        <is>
          <t>Datatech · Datatech - Outreach · Band A · Early career</t>
        </is>
      </c>
      <c r="B17" s="16" t="inlineStr">
        <is>
          <t>Datatech</t>
        </is>
      </c>
      <c r="C17" s="16" t="inlineStr">
        <is>
          <t>Datatech - Outreach</t>
        </is>
      </c>
      <c r="D17" s="13" t="inlineStr">
        <is>
          <t>Band A · Early career</t>
        </is>
      </c>
      <c r="E17" s="15" t="n">
        <v>6</v>
      </c>
      <c r="F17" s="16" t="inlineStr">
        <is>
          <t>Sales &amp; marketing</t>
        </is>
      </c>
      <c r="G17" s="127" t="n">
        <v>54</v>
      </c>
      <c r="H17" s="127" t="n">
        <v>21</v>
      </c>
      <c r="I17" s="127" t="n">
        <v>4</v>
      </c>
      <c r="J17" s="127" t="n">
        <v>0</v>
      </c>
      <c r="K17" s="127">
        <f>WM_EXP_AB</f>
        <v>10</v>
      </c>
      <c r="L17" s="127" t="n">
        <v>11</v>
      </c>
      <c r="M17" s="236">
        <f>SUM(G17:L17)</f>
        <v>100</v>
      </c>
      <c r="N17" s="237">
        <f>IF((G17+H17+I17+J17+L17)=0,0,G17*(100-MAX(0,MIN(100,K17)))/(G17+H17+I17+J17+L17))/100</f>
        <v>0.54</v>
      </c>
      <c r="O17" s="237">
        <f>IF((G17+H17+I17+J17+L17)=0,0,H17*(100-MAX(0,MIN(100,K17)))/(G17+H17+I17+J17+L17))/100</f>
        <v>0.21</v>
      </c>
      <c r="P17" s="237">
        <f>IF((G17+H17+I17+J17+L17)=0,0,I17*(100-MAX(0,MIN(100,K17)))/(G17+H17+I17+J17+L17))/100</f>
        <v>0.04</v>
      </c>
      <c r="Q17" s="237">
        <f>IF((G17+H17+I17+J17+L17)=0,0,J17*(100-MAX(0,MIN(100,K17)))/(G17+H17+I17+J17+L17))/100</f>
        <v>0</v>
      </c>
      <c r="R17" s="237">
        <f>MAX(0,MIN(100,K17))/100</f>
        <v>0.1</v>
      </c>
      <c r="S17" s="237">
        <f>IF((G17+H17+I17+J17+L17)=0,0,L17*(100-MAX(0,MIN(100,K17)))/(G17+H17+I17+J17+L17))/100</f>
        <v>0.11</v>
      </c>
      <c r="T17" s="120" t="n"/>
      <c r="U17" s="238" t="n">
        <v>54</v>
      </c>
      <c r="V17" s="238" t="n">
        <v>21</v>
      </c>
      <c r="W17" s="238" t="n">
        <v>4</v>
      </c>
      <c r="X17" s="238" t="n">
        <v>0</v>
      </c>
      <c r="Y17" s="238" t="n">
        <v>10</v>
      </c>
      <c r="Z17" s="238" t="n">
        <v>11</v>
      </c>
    </row>
    <row r="18" ht="30" customHeight="1">
      <c r="A18" s="16" t="inlineStr">
        <is>
          <t>Datatech · Datatech - Outreach · Band B · Expert / POD Lead</t>
        </is>
      </c>
      <c r="B18" s="16" t="inlineStr">
        <is>
          <t>Datatech</t>
        </is>
      </c>
      <c r="C18" s="16" t="inlineStr">
        <is>
          <t>Datatech - Outreach</t>
        </is>
      </c>
      <c r="D18" s="13" t="inlineStr">
        <is>
          <t>Band B · Expert / POD Lead</t>
        </is>
      </c>
      <c r="E18" s="15" t="n">
        <v>1</v>
      </c>
      <c r="F18" s="16" t="inlineStr">
        <is>
          <t>Sales &amp; marketing</t>
        </is>
      </c>
      <c r="G18" s="127" t="n">
        <v>46</v>
      </c>
      <c r="H18" s="127" t="n">
        <v>22</v>
      </c>
      <c r="I18" s="127" t="n">
        <v>5</v>
      </c>
      <c r="J18" s="127" t="n">
        <v>5</v>
      </c>
      <c r="K18" s="127">
        <f>WM_EXP_AB</f>
        <v>10</v>
      </c>
      <c r="L18" s="127" t="n">
        <v>12</v>
      </c>
      <c r="M18" s="236">
        <f>SUM(G18:L18)</f>
        <v>100</v>
      </c>
      <c r="N18" s="237">
        <f>IF((G18+H18+I18+J18+L18)=0,0,G18*(100-MAX(0,MIN(100,K18)))/(G18+H18+I18+J18+L18))/100</f>
        <v>0.46</v>
      </c>
      <c r="O18" s="237">
        <f>IF((G18+H18+I18+J18+L18)=0,0,H18*(100-MAX(0,MIN(100,K18)))/(G18+H18+I18+J18+L18))/100</f>
        <v>0.22</v>
      </c>
      <c r="P18" s="237">
        <f>IF((G18+H18+I18+J18+L18)=0,0,I18*(100-MAX(0,MIN(100,K18)))/(G18+H18+I18+J18+L18))/100</f>
        <v>0.05</v>
      </c>
      <c r="Q18" s="237">
        <f>IF((G18+H18+I18+J18+L18)=0,0,J18*(100-MAX(0,MIN(100,K18)))/(G18+H18+I18+J18+L18))/100</f>
        <v>0.05</v>
      </c>
      <c r="R18" s="237">
        <f>MAX(0,MIN(100,K18))/100</f>
        <v>0.1</v>
      </c>
      <c r="S18" s="237">
        <f>IF((G18+H18+I18+J18+L18)=0,0,L18*(100-MAX(0,MIN(100,K18)))/(G18+H18+I18+J18+L18))/100</f>
        <v>0.12</v>
      </c>
      <c r="T18" s="120" t="n"/>
      <c r="U18" s="238" t="n">
        <v>46</v>
      </c>
      <c r="V18" s="238" t="n">
        <v>22</v>
      </c>
      <c r="W18" s="238" t="n">
        <v>5</v>
      </c>
      <c r="X18" s="238" t="n">
        <v>5</v>
      </c>
      <c r="Y18" s="238" t="n">
        <v>10</v>
      </c>
      <c r="Z18" s="238" t="n">
        <v>12</v>
      </c>
    </row>
    <row r="19" ht="30" customHeight="1">
      <c r="A19" s="16" t="inlineStr">
        <is>
          <t>Datatech · Datatech - Outreach · Band B · People Manager</t>
        </is>
      </c>
      <c r="B19" s="16" t="inlineStr">
        <is>
          <t>Datatech</t>
        </is>
      </c>
      <c r="C19" s="16" t="inlineStr">
        <is>
          <t>Datatech - Outreach</t>
        </is>
      </c>
      <c r="D19" s="13" t="inlineStr">
        <is>
          <t>Band B · People Manager</t>
        </is>
      </c>
      <c r="E19" s="15" t="n">
        <v>1</v>
      </c>
      <c r="F19" s="16" t="inlineStr">
        <is>
          <t>Sales &amp; marketing</t>
        </is>
      </c>
      <c r="G19" s="127" t="n">
        <v>32</v>
      </c>
      <c r="H19" s="127" t="n">
        <v>23</v>
      </c>
      <c r="I19" s="127" t="n">
        <v>6</v>
      </c>
      <c r="J19" s="127" t="n">
        <v>15</v>
      </c>
      <c r="K19" s="127">
        <f>WM_EXP_AB</f>
        <v>10</v>
      </c>
      <c r="L19" s="127" t="n">
        <v>14</v>
      </c>
      <c r="M19" s="236">
        <f>SUM(G19:L19)</f>
        <v>100</v>
      </c>
      <c r="N19" s="237">
        <f>IF((G19+H19+I19+J19+L19)=0,0,G19*(100-MAX(0,MIN(100,K19)))/(G19+H19+I19+J19+L19))/100</f>
        <v>0.32</v>
      </c>
      <c r="O19" s="237">
        <f>IF((G19+H19+I19+J19+L19)=0,0,H19*(100-MAX(0,MIN(100,K19)))/(G19+H19+I19+J19+L19))/100</f>
        <v>0.23</v>
      </c>
      <c r="P19" s="237">
        <f>IF((G19+H19+I19+J19+L19)=0,0,I19*(100-MAX(0,MIN(100,K19)))/(G19+H19+I19+J19+L19))/100</f>
        <v>0.06</v>
      </c>
      <c r="Q19" s="237">
        <f>IF((G19+H19+I19+J19+L19)=0,0,J19*(100-MAX(0,MIN(100,K19)))/(G19+H19+I19+J19+L19))/100</f>
        <v>0.15</v>
      </c>
      <c r="R19" s="237">
        <f>MAX(0,MIN(100,K19))/100</f>
        <v>0.1</v>
      </c>
      <c r="S19" s="237">
        <f>IF((G19+H19+I19+J19+L19)=0,0,L19*(100-MAX(0,MIN(100,K19)))/(G19+H19+I19+J19+L19))/100</f>
        <v>0.14</v>
      </c>
      <c r="T19" s="120" t="n"/>
      <c r="U19" s="238" t="n">
        <v>32</v>
      </c>
      <c r="V19" s="238" t="n">
        <v>23</v>
      </c>
      <c r="W19" s="238" t="n">
        <v>6</v>
      </c>
      <c r="X19" s="238" t="n">
        <v>15</v>
      </c>
      <c r="Y19" s="238" t="n">
        <v>10</v>
      </c>
      <c r="Z19" s="238" t="n">
        <v>14</v>
      </c>
    </row>
    <row r="20" ht="30" customHeight="1">
      <c r="A20" s="16" t="inlineStr">
        <is>
          <t>Datatech · Datatech Business Head · Bands D–E · Leadership</t>
        </is>
      </c>
      <c r="B20" s="16" t="inlineStr">
        <is>
          <t>Datatech</t>
        </is>
      </c>
      <c r="C20" s="16" t="inlineStr">
        <is>
          <t>Datatech Business Head</t>
        </is>
      </c>
      <c r="D20" s="13" t="inlineStr">
        <is>
          <t>Bands D–E · Leadership</t>
        </is>
      </c>
      <c r="E20" s="15" t="n">
        <v>1</v>
      </c>
      <c r="F20" s="16" t="inlineStr">
        <is>
          <t>General management</t>
        </is>
      </c>
      <c r="G20" s="127" t="n">
        <v>37</v>
      </c>
      <c r="H20" s="127" t="n">
        <v>19</v>
      </c>
      <c r="I20" s="127" t="n">
        <v>11</v>
      </c>
      <c r="J20" s="127" t="n">
        <v>20</v>
      </c>
      <c r="K20" s="127">
        <f>WM_EXP_CE</f>
        <v>5</v>
      </c>
      <c r="L20" s="127" t="n">
        <v>8</v>
      </c>
      <c r="M20" s="236">
        <f>SUM(G20:L20)</f>
        <v>100</v>
      </c>
      <c r="N20" s="237">
        <f>IF((G20+H20+I20+J20+L20)=0,0,G20*(100-MAX(0,MIN(100,K20)))/(G20+H20+I20+J20+L20))/100</f>
        <v>0.37</v>
      </c>
      <c r="O20" s="237">
        <f>IF((G20+H20+I20+J20+L20)=0,0,H20*(100-MAX(0,MIN(100,K20)))/(G20+H20+I20+J20+L20))/100</f>
        <v>0.19</v>
      </c>
      <c r="P20" s="237">
        <f>IF((G20+H20+I20+J20+L20)=0,0,I20*(100-MAX(0,MIN(100,K20)))/(G20+H20+I20+J20+L20))/100</f>
        <v>0.11</v>
      </c>
      <c r="Q20" s="237">
        <f>IF((G20+H20+I20+J20+L20)=0,0,J20*(100-MAX(0,MIN(100,K20)))/(G20+H20+I20+J20+L20))/100</f>
        <v>0.2</v>
      </c>
      <c r="R20" s="237">
        <f>MAX(0,MIN(100,K20))/100</f>
        <v>0.05</v>
      </c>
      <c r="S20" s="237">
        <f>IF((G20+H20+I20+J20+L20)=0,0,L20*(100-MAX(0,MIN(100,K20)))/(G20+H20+I20+J20+L20))/100</f>
        <v>0.08</v>
      </c>
      <c r="T20" s="120" t="n"/>
      <c r="U20" s="238" t="n">
        <v>37</v>
      </c>
      <c r="V20" s="238" t="n">
        <v>19</v>
      </c>
      <c r="W20" s="238" t="n">
        <v>11</v>
      </c>
      <c r="X20" s="238" t="n">
        <v>20</v>
      </c>
      <c r="Y20" s="238" t="n">
        <v>5</v>
      </c>
      <c r="Z20" s="238" t="n">
        <v>8</v>
      </c>
    </row>
    <row r="21" ht="30" customHeight="1">
      <c r="A21" s="16" t="inlineStr">
        <is>
          <t>Datatech · Marketing · Band A · Early career</t>
        </is>
      </c>
      <c r="B21" s="16" t="inlineStr">
        <is>
          <t>Datatech</t>
        </is>
      </c>
      <c r="C21" s="16" t="inlineStr">
        <is>
          <t>Marketing</t>
        </is>
      </c>
      <c r="D21" s="13" t="inlineStr">
        <is>
          <t>Band A · Early career</t>
        </is>
      </c>
      <c r="E21" s="15" t="n">
        <v>3</v>
      </c>
      <c r="F21" s="16" t="inlineStr">
        <is>
          <t>Sales &amp; marketing</t>
        </is>
      </c>
      <c r="G21" s="127" t="n">
        <v>54</v>
      </c>
      <c r="H21" s="127" t="n">
        <v>21</v>
      </c>
      <c r="I21" s="127" t="n">
        <v>4</v>
      </c>
      <c r="J21" s="127" t="n">
        <v>0</v>
      </c>
      <c r="K21" s="127">
        <f>WM_EXP_AB</f>
        <v>10</v>
      </c>
      <c r="L21" s="127" t="n">
        <v>11</v>
      </c>
      <c r="M21" s="236">
        <f>SUM(G21:L21)</f>
        <v>100</v>
      </c>
      <c r="N21" s="237">
        <f>IF((G21+H21+I21+J21+L21)=0,0,G21*(100-MAX(0,MIN(100,K21)))/(G21+H21+I21+J21+L21))/100</f>
        <v>0.54</v>
      </c>
      <c r="O21" s="237">
        <f>IF((G21+H21+I21+J21+L21)=0,0,H21*(100-MAX(0,MIN(100,K21)))/(G21+H21+I21+J21+L21))/100</f>
        <v>0.21</v>
      </c>
      <c r="P21" s="237">
        <f>IF((G21+H21+I21+J21+L21)=0,0,I21*(100-MAX(0,MIN(100,K21)))/(G21+H21+I21+J21+L21))/100</f>
        <v>0.04</v>
      </c>
      <c r="Q21" s="237">
        <f>IF((G21+H21+I21+J21+L21)=0,0,J21*(100-MAX(0,MIN(100,K21)))/(G21+H21+I21+J21+L21))/100</f>
        <v>0</v>
      </c>
      <c r="R21" s="237">
        <f>MAX(0,MIN(100,K21))/100</f>
        <v>0.1</v>
      </c>
      <c r="S21" s="237">
        <f>IF((G21+H21+I21+J21+L21)=0,0,L21*(100-MAX(0,MIN(100,K21)))/(G21+H21+I21+J21+L21))/100</f>
        <v>0.11</v>
      </c>
      <c r="T21" s="120" t="n"/>
      <c r="U21" s="238" t="n">
        <v>54</v>
      </c>
      <c r="V21" s="238" t="n">
        <v>21</v>
      </c>
      <c r="W21" s="238" t="n">
        <v>4</v>
      </c>
      <c r="X21" s="238" t="n">
        <v>0</v>
      </c>
      <c r="Y21" s="238" t="n">
        <v>10</v>
      </c>
      <c r="Z21" s="238" t="n">
        <v>11</v>
      </c>
    </row>
    <row r="22" ht="30" customHeight="1">
      <c r="A22" s="16" t="inlineStr">
        <is>
          <t>Datatech · Marketing · Band B · Expert / POD Lead</t>
        </is>
      </c>
      <c r="B22" s="16" t="inlineStr">
        <is>
          <t>Datatech</t>
        </is>
      </c>
      <c r="C22" s="16" t="inlineStr">
        <is>
          <t>Marketing</t>
        </is>
      </c>
      <c r="D22" s="13" t="inlineStr">
        <is>
          <t>Band B · Expert / POD Lead</t>
        </is>
      </c>
      <c r="E22" s="15" t="n">
        <v>1</v>
      </c>
      <c r="F22" s="16" t="inlineStr">
        <is>
          <t>Sales &amp; marketing</t>
        </is>
      </c>
      <c r="G22" s="127" t="n">
        <v>46</v>
      </c>
      <c r="H22" s="127" t="n">
        <v>22</v>
      </c>
      <c r="I22" s="127" t="n">
        <v>5</v>
      </c>
      <c r="J22" s="127" t="n">
        <v>5</v>
      </c>
      <c r="K22" s="127">
        <f>WM_EXP_AB</f>
        <v>10</v>
      </c>
      <c r="L22" s="127" t="n">
        <v>12</v>
      </c>
      <c r="M22" s="236">
        <f>SUM(G22:L22)</f>
        <v>100</v>
      </c>
      <c r="N22" s="237">
        <f>IF((G22+H22+I22+J22+L22)=0,0,G22*(100-MAX(0,MIN(100,K22)))/(G22+H22+I22+J22+L22))/100</f>
        <v>0.46</v>
      </c>
      <c r="O22" s="237">
        <f>IF((G22+H22+I22+J22+L22)=0,0,H22*(100-MAX(0,MIN(100,K22)))/(G22+H22+I22+J22+L22))/100</f>
        <v>0.22</v>
      </c>
      <c r="P22" s="237">
        <f>IF((G22+H22+I22+J22+L22)=0,0,I22*(100-MAX(0,MIN(100,K22)))/(G22+H22+I22+J22+L22))/100</f>
        <v>0.05</v>
      </c>
      <c r="Q22" s="237">
        <f>IF((G22+H22+I22+J22+L22)=0,0,J22*(100-MAX(0,MIN(100,K22)))/(G22+H22+I22+J22+L22))/100</f>
        <v>0.05</v>
      </c>
      <c r="R22" s="237">
        <f>MAX(0,MIN(100,K22))/100</f>
        <v>0.1</v>
      </c>
      <c r="S22" s="237">
        <f>IF((G22+H22+I22+J22+L22)=0,0,L22*(100-MAX(0,MIN(100,K22)))/(G22+H22+I22+J22+L22))/100</f>
        <v>0.12</v>
      </c>
      <c r="T22" s="120" t="n"/>
      <c r="U22" s="238" t="n">
        <v>46</v>
      </c>
      <c r="V22" s="238" t="n">
        <v>22</v>
      </c>
      <c r="W22" s="238" t="n">
        <v>5</v>
      </c>
      <c r="X22" s="238" t="n">
        <v>5</v>
      </c>
      <c r="Y22" s="238" t="n">
        <v>10</v>
      </c>
      <c r="Z22" s="238" t="n">
        <v>12</v>
      </c>
    </row>
    <row r="23" ht="30" customHeight="1">
      <c r="A23" s="16" t="inlineStr">
        <is>
          <t>Datatech · Product Management · Band B · Expert / POD Lead</t>
        </is>
      </c>
      <c r="B23" s="16" t="inlineStr">
        <is>
          <t>Datatech</t>
        </is>
      </c>
      <c r="C23" s="16" t="inlineStr">
        <is>
          <t>Product Management</t>
        </is>
      </c>
      <c r="D23" s="13" t="inlineStr">
        <is>
          <t>Band B · Expert / POD Lead</t>
        </is>
      </c>
      <c r="E23" s="15" t="n">
        <v>4</v>
      </c>
      <c r="F23" s="16" t="inlineStr">
        <is>
          <t>Product &amp; programme</t>
        </is>
      </c>
      <c r="G23" s="127" t="n">
        <v>46</v>
      </c>
      <c r="H23" s="127" t="n">
        <v>22</v>
      </c>
      <c r="I23" s="127" t="n">
        <v>10</v>
      </c>
      <c r="J23" s="127" t="n">
        <v>5</v>
      </c>
      <c r="K23" s="127">
        <f>WM_EXP_AB</f>
        <v>10</v>
      </c>
      <c r="L23" s="127" t="n">
        <v>7</v>
      </c>
      <c r="M23" s="236">
        <f>SUM(G23:L23)</f>
        <v>100</v>
      </c>
      <c r="N23" s="237">
        <f>IF((G23+H23+I23+J23+L23)=0,0,G23*(100-MAX(0,MIN(100,K23)))/(G23+H23+I23+J23+L23))/100</f>
        <v>0.46</v>
      </c>
      <c r="O23" s="237">
        <f>IF((G23+H23+I23+J23+L23)=0,0,H23*(100-MAX(0,MIN(100,K23)))/(G23+H23+I23+J23+L23))/100</f>
        <v>0.22</v>
      </c>
      <c r="P23" s="237">
        <f>IF((G23+H23+I23+J23+L23)=0,0,I23*(100-MAX(0,MIN(100,K23)))/(G23+H23+I23+J23+L23))/100</f>
        <v>0.1</v>
      </c>
      <c r="Q23" s="237">
        <f>IF((G23+H23+I23+J23+L23)=0,0,J23*(100-MAX(0,MIN(100,K23)))/(G23+H23+I23+J23+L23))/100</f>
        <v>0.05</v>
      </c>
      <c r="R23" s="237">
        <f>MAX(0,MIN(100,K23))/100</f>
        <v>0.1</v>
      </c>
      <c r="S23" s="237">
        <f>IF((G23+H23+I23+J23+L23)=0,0,L23*(100-MAX(0,MIN(100,K23)))/(G23+H23+I23+J23+L23))/100</f>
        <v>0.07</v>
      </c>
      <c r="T23" s="120" t="n"/>
      <c r="U23" s="238" t="n">
        <v>46</v>
      </c>
      <c r="V23" s="238" t="n">
        <v>22</v>
      </c>
      <c r="W23" s="238" t="n">
        <v>10</v>
      </c>
      <c r="X23" s="238" t="n">
        <v>5</v>
      </c>
      <c r="Y23" s="238" t="n">
        <v>10</v>
      </c>
      <c r="Z23" s="238" t="n">
        <v>7</v>
      </c>
    </row>
    <row r="24" ht="30" customHeight="1">
      <c r="A24" s="16" t="inlineStr">
        <is>
          <t>Datatech · Product Management · Band B · People Manager</t>
        </is>
      </c>
      <c r="B24" s="16" t="inlineStr">
        <is>
          <t>Datatech</t>
        </is>
      </c>
      <c r="C24" s="16" t="inlineStr">
        <is>
          <t>Product Management</t>
        </is>
      </c>
      <c r="D24" s="13" t="inlineStr">
        <is>
          <t>Band B · People Manager</t>
        </is>
      </c>
      <c r="E24" s="15" t="n">
        <v>1</v>
      </c>
      <c r="F24" s="16" t="inlineStr">
        <is>
          <t>Product &amp; programme</t>
        </is>
      </c>
      <c r="G24" s="127" t="n">
        <v>32</v>
      </c>
      <c r="H24" s="127" t="n">
        <v>23</v>
      </c>
      <c r="I24" s="127" t="n">
        <v>11</v>
      </c>
      <c r="J24" s="127" t="n">
        <v>15</v>
      </c>
      <c r="K24" s="127">
        <f>WM_EXP_AB</f>
        <v>10</v>
      </c>
      <c r="L24" s="127" t="n">
        <v>9</v>
      </c>
      <c r="M24" s="236">
        <f>SUM(G24:L24)</f>
        <v>100</v>
      </c>
      <c r="N24" s="237">
        <f>IF((G24+H24+I24+J24+L24)=0,0,G24*(100-MAX(0,MIN(100,K24)))/(G24+H24+I24+J24+L24))/100</f>
        <v>0.32</v>
      </c>
      <c r="O24" s="237">
        <f>IF((G24+H24+I24+J24+L24)=0,0,H24*(100-MAX(0,MIN(100,K24)))/(G24+H24+I24+J24+L24))/100</f>
        <v>0.23</v>
      </c>
      <c r="P24" s="237">
        <f>IF((G24+H24+I24+J24+L24)=0,0,I24*(100-MAX(0,MIN(100,K24)))/(G24+H24+I24+J24+L24))/100</f>
        <v>0.11</v>
      </c>
      <c r="Q24" s="237">
        <f>IF((G24+H24+I24+J24+L24)=0,0,J24*(100-MAX(0,MIN(100,K24)))/(G24+H24+I24+J24+L24))/100</f>
        <v>0.15</v>
      </c>
      <c r="R24" s="237">
        <f>MAX(0,MIN(100,K24))/100</f>
        <v>0.1</v>
      </c>
      <c r="S24" s="237">
        <f>IF((G24+H24+I24+J24+L24)=0,0,L24*(100-MAX(0,MIN(100,K24)))/(G24+H24+I24+J24+L24))/100</f>
        <v>0.09</v>
      </c>
      <c r="T24" s="120" t="n"/>
      <c r="U24" s="238" t="n">
        <v>32</v>
      </c>
      <c r="V24" s="238" t="n">
        <v>23</v>
      </c>
      <c r="W24" s="238" t="n">
        <v>11</v>
      </c>
      <c r="X24" s="238" t="n">
        <v>15</v>
      </c>
      <c r="Y24" s="238" t="n">
        <v>10</v>
      </c>
      <c r="Z24" s="238" t="n">
        <v>9</v>
      </c>
    </row>
    <row r="25" ht="30" customHeight="1">
      <c r="A25" s="16" t="inlineStr">
        <is>
          <t>Datatech · Quality Assurance · Band A · Early career</t>
        </is>
      </c>
      <c r="B25" s="16" t="inlineStr">
        <is>
          <t>Datatech</t>
        </is>
      </c>
      <c r="C25" s="16" t="inlineStr">
        <is>
          <t>Quality Assurance</t>
        </is>
      </c>
      <c r="D25" s="13" t="inlineStr">
        <is>
          <t>Band A · Early career</t>
        </is>
      </c>
      <c r="E25" s="15" t="n">
        <v>2</v>
      </c>
      <c r="F25" s="16" t="inlineStr">
        <is>
          <t>Technology &amp; engineering</t>
        </is>
      </c>
      <c r="G25" s="127" t="n">
        <v>64</v>
      </c>
      <c r="H25" s="127" t="n">
        <v>16</v>
      </c>
      <c r="I25" s="127" t="n">
        <v>4</v>
      </c>
      <c r="J25" s="127" t="n">
        <v>0</v>
      </c>
      <c r="K25" s="127">
        <f>WM_EXP_AB</f>
        <v>10</v>
      </c>
      <c r="L25" s="127" t="n">
        <v>6</v>
      </c>
      <c r="M25" s="236">
        <f>SUM(G25:L25)</f>
        <v>100</v>
      </c>
      <c r="N25" s="237">
        <f>IF((G25+H25+I25+J25+L25)=0,0,G25*(100-MAX(0,MIN(100,K25)))/(G25+H25+I25+J25+L25))/100</f>
        <v>0.64</v>
      </c>
      <c r="O25" s="237">
        <f>IF((G25+H25+I25+J25+L25)=0,0,H25*(100-MAX(0,MIN(100,K25)))/(G25+H25+I25+J25+L25))/100</f>
        <v>0.16</v>
      </c>
      <c r="P25" s="237">
        <f>IF((G25+H25+I25+J25+L25)=0,0,I25*(100-MAX(0,MIN(100,K25)))/(G25+H25+I25+J25+L25))/100</f>
        <v>0.04</v>
      </c>
      <c r="Q25" s="237">
        <f>IF((G25+H25+I25+J25+L25)=0,0,J25*(100-MAX(0,MIN(100,K25)))/(G25+H25+I25+J25+L25))/100</f>
        <v>0</v>
      </c>
      <c r="R25" s="237">
        <f>MAX(0,MIN(100,K25))/100</f>
        <v>0.1</v>
      </c>
      <c r="S25" s="237">
        <f>IF((G25+H25+I25+J25+L25)=0,0,L25*(100-MAX(0,MIN(100,K25)))/(G25+H25+I25+J25+L25))/100</f>
        <v>0.06</v>
      </c>
      <c r="T25" s="120" t="n"/>
      <c r="U25" s="238" t="n">
        <v>64</v>
      </c>
      <c r="V25" s="238" t="n">
        <v>16</v>
      </c>
      <c r="W25" s="238" t="n">
        <v>4</v>
      </c>
      <c r="X25" s="238" t="n">
        <v>0</v>
      </c>
      <c r="Y25" s="238" t="n">
        <v>10</v>
      </c>
      <c r="Z25" s="238" t="n">
        <v>6</v>
      </c>
    </row>
    <row r="26" ht="30" customHeight="1">
      <c r="A26" s="16" t="inlineStr">
        <is>
          <t>Datatech · Sales · Band C · Principal expert</t>
        </is>
      </c>
      <c r="B26" s="16" t="inlineStr">
        <is>
          <t>Datatech</t>
        </is>
      </c>
      <c r="C26" s="16" t="inlineStr">
        <is>
          <t>Sales</t>
        </is>
      </c>
      <c r="D26" s="13" t="inlineStr">
        <is>
          <t>Band C · Principal expert</t>
        </is>
      </c>
      <c r="E26" s="15" t="n">
        <v>1</v>
      </c>
      <c r="F26" s="16" t="inlineStr">
        <is>
          <t>Sales &amp; marketing</t>
        </is>
      </c>
      <c r="G26" s="127" t="n">
        <v>49</v>
      </c>
      <c r="H26" s="127" t="n">
        <v>23</v>
      </c>
      <c r="I26" s="127" t="n">
        <v>5</v>
      </c>
      <c r="J26" s="127" t="n">
        <v>5</v>
      </c>
      <c r="K26" s="127">
        <f>WM_EXP_CE</f>
        <v>5</v>
      </c>
      <c r="L26" s="127" t="n">
        <v>13</v>
      </c>
      <c r="M26" s="236">
        <f>SUM(G26:L26)</f>
        <v>100</v>
      </c>
      <c r="N26" s="237">
        <f>IF((G26+H26+I26+J26+L26)=0,0,G26*(100-MAX(0,MIN(100,K26)))/(G26+H26+I26+J26+L26))/100</f>
        <v>0.49</v>
      </c>
      <c r="O26" s="237">
        <f>IF((G26+H26+I26+J26+L26)=0,0,H26*(100-MAX(0,MIN(100,K26)))/(G26+H26+I26+J26+L26))/100</f>
        <v>0.23</v>
      </c>
      <c r="P26" s="237">
        <f>IF((G26+H26+I26+J26+L26)=0,0,I26*(100-MAX(0,MIN(100,K26)))/(G26+H26+I26+J26+L26))/100</f>
        <v>0.05</v>
      </c>
      <c r="Q26" s="237">
        <f>IF((G26+H26+I26+J26+L26)=0,0,J26*(100-MAX(0,MIN(100,K26)))/(G26+H26+I26+J26+L26))/100</f>
        <v>0.05</v>
      </c>
      <c r="R26" s="237">
        <f>MAX(0,MIN(100,K26))/100</f>
        <v>0.05</v>
      </c>
      <c r="S26" s="237">
        <f>IF((G26+H26+I26+J26+L26)=0,0,L26*(100-MAX(0,MIN(100,K26)))/(G26+H26+I26+J26+L26))/100</f>
        <v>0.13</v>
      </c>
      <c r="T26" s="120" t="n"/>
      <c r="U26" s="238" t="n">
        <v>49</v>
      </c>
      <c r="V26" s="238" t="n">
        <v>23</v>
      </c>
      <c r="W26" s="238" t="n">
        <v>5</v>
      </c>
      <c r="X26" s="238" t="n">
        <v>5</v>
      </c>
      <c r="Y26" s="238" t="n">
        <v>5</v>
      </c>
      <c r="Z26" s="238" t="n">
        <v>13</v>
      </c>
    </row>
    <row r="27" ht="30" customHeight="1">
      <c r="A27" s="16" t="inlineStr">
        <is>
          <t>Datatech · Technology · Band A · Early career</t>
        </is>
      </c>
      <c r="B27" s="16" t="inlineStr">
        <is>
          <t>Datatech</t>
        </is>
      </c>
      <c r="C27" s="16" t="inlineStr">
        <is>
          <t>Technology</t>
        </is>
      </c>
      <c r="D27" s="13" t="inlineStr">
        <is>
          <t>Band A · Early career</t>
        </is>
      </c>
      <c r="E27" s="15" t="n">
        <v>4</v>
      </c>
      <c r="F27" s="16" t="inlineStr">
        <is>
          <t>Technology &amp; engineering</t>
        </is>
      </c>
      <c r="G27" s="127" t="n">
        <v>64</v>
      </c>
      <c r="H27" s="127" t="n">
        <v>16</v>
      </c>
      <c r="I27" s="127" t="n">
        <v>4</v>
      </c>
      <c r="J27" s="127" t="n">
        <v>0</v>
      </c>
      <c r="K27" s="127">
        <f>WM_EXP_AB</f>
        <v>10</v>
      </c>
      <c r="L27" s="127" t="n">
        <v>6</v>
      </c>
      <c r="M27" s="236">
        <f>SUM(G27:L27)</f>
        <v>100</v>
      </c>
      <c r="N27" s="237">
        <f>IF((G27+H27+I27+J27+L27)=0,0,G27*(100-MAX(0,MIN(100,K27)))/(G27+H27+I27+J27+L27))/100</f>
        <v>0.64</v>
      </c>
      <c r="O27" s="237">
        <f>IF((G27+H27+I27+J27+L27)=0,0,H27*(100-MAX(0,MIN(100,K27)))/(G27+H27+I27+J27+L27))/100</f>
        <v>0.16</v>
      </c>
      <c r="P27" s="237">
        <f>IF((G27+H27+I27+J27+L27)=0,0,I27*(100-MAX(0,MIN(100,K27)))/(G27+H27+I27+J27+L27))/100</f>
        <v>0.04</v>
      </c>
      <c r="Q27" s="237">
        <f>IF((G27+H27+I27+J27+L27)=0,0,J27*(100-MAX(0,MIN(100,K27)))/(G27+H27+I27+J27+L27))/100</f>
        <v>0</v>
      </c>
      <c r="R27" s="237">
        <f>MAX(0,MIN(100,K27))/100</f>
        <v>0.1</v>
      </c>
      <c r="S27" s="237">
        <f>IF((G27+H27+I27+J27+L27)=0,0,L27*(100-MAX(0,MIN(100,K27)))/(G27+H27+I27+J27+L27))/100</f>
        <v>0.06</v>
      </c>
      <c r="T27" s="120" t="n"/>
      <c r="U27" s="238" t="n">
        <v>64</v>
      </c>
      <c r="V27" s="238" t="n">
        <v>16</v>
      </c>
      <c r="W27" s="238" t="n">
        <v>4</v>
      </c>
      <c r="X27" s="238" t="n">
        <v>0</v>
      </c>
      <c r="Y27" s="238" t="n">
        <v>10</v>
      </c>
      <c r="Z27" s="238" t="n">
        <v>6</v>
      </c>
    </row>
    <row r="28" ht="30" customHeight="1">
      <c r="A28" s="16" t="inlineStr">
        <is>
          <t>Datatech · Technology · Band B · Expert / POD Lead</t>
        </is>
      </c>
      <c r="B28" s="16" t="inlineStr">
        <is>
          <t>Datatech</t>
        </is>
      </c>
      <c r="C28" s="16" t="inlineStr">
        <is>
          <t>Technology</t>
        </is>
      </c>
      <c r="D28" s="13" t="inlineStr">
        <is>
          <t>Band B · Expert / POD Lead</t>
        </is>
      </c>
      <c r="E28" s="15" t="n">
        <v>1</v>
      </c>
      <c r="F28" s="16" t="inlineStr">
        <is>
          <t>Technology &amp; engineering</t>
        </is>
      </c>
      <c r="G28" s="127" t="n">
        <v>56</v>
      </c>
      <c r="H28" s="127" t="n">
        <v>17</v>
      </c>
      <c r="I28" s="127" t="n">
        <v>5</v>
      </c>
      <c r="J28" s="127" t="n">
        <v>5</v>
      </c>
      <c r="K28" s="127">
        <f>WM_EXP_AB</f>
        <v>10</v>
      </c>
      <c r="L28" s="127" t="n">
        <v>7</v>
      </c>
      <c r="M28" s="236">
        <f>SUM(G28:L28)</f>
        <v>100</v>
      </c>
      <c r="N28" s="237">
        <f>IF((G28+H28+I28+J28+L28)=0,0,G28*(100-MAX(0,MIN(100,K28)))/(G28+H28+I28+J28+L28))/100</f>
        <v>0.56</v>
      </c>
      <c r="O28" s="237">
        <f>IF((G28+H28+I28+J28+L28)=0,0,H28*(100-MAX(0,MIN(100,K28)))/(G28+H28+I28+J28+L28))/100</f>
        <v>0.17</v>
      </c>
      <c r="P28" s="237">
        <f>IF((G28+H28+I28+J28+L28)=0,0,I28*(100-MAX(0,MIN(100,K28)))/(G28+H28+I28+J28+L28))/100</f>
        <v>0.05</v>
      </c>
      <c r="Q28" s="237">
        <f>IF((G28+H28+I28+J28+L28)=0,0,J28*(100-MAX(0,MIN(100,K28)))/(G28+H28+I28+J28+L28))/100</f>
        <v>0.05</v>
      </c>
      <c r="R28" s="237">
        <f>MAX(0,MIN(100,K28))/100</f>
        <v>0.1</v>
      </c>
      <c r="S28" s="237">
        <f>IF((G28+H28+I28+J28+L28)=0,0,L28*(100-MAX(0,MIN(100,K28)))/(G28+H28+I28+J28+L28))/100</f>
        <v>0.07</v>
      </c>
      <c r="T28" s="120" t="n"/>
      <c r="U28" s="238" t="n">
        <v>56</v>
      </c>
      <c r="V28" s="238" t="n">
        <v>17</v>
      </c>
      <c r="W28" s="238" t="n">
        <v>5</v>
      </c>
      <c r="X28" s="238" t="n">
        <v>5</v>
      </c>
      <c r="Y28" s="238" t="n">
        <v>10</v>
      </c>
      <c r="Z28" s="238" t="n">
        <v>7</v>
      </c>
    </row>
    <row r="29" ht="30" customHeight="1">
      <c r="A29" s="16" t="inlineStr">
        <is>
          <t>Datatech · Technology · Band C · Principal expert</t>
        </is>
      </c>
      <c r="B29" s="16" t="inlineStr">
        <is>
          <t>Datatech</t>
        </is>
      </c>
      <c r="C29" s="16" t="inlineStr">
        <is>
          <t>Technology</t>
        </is>
      </c>
      <c r="D29" s="13" t="inlineStr">
        <is>
          <t>Band C · Principal expert</t>
        </is>
      </c>
      <c r="E29" s="15" t="n">
        <v>1</v>
      </c>
      <c r="F29" s="16" t="inlineStr">
        <is>
          <t>Technology &amp; engineering</t>
        </is>
      </c>
      <c r="G29" s="127" t="n">
        <v>59</v>
      </c>
      <c r="H29" s="127" t="n">
        <v>18</v>
      </c>
      <c r="I29" s="127" t="n">
        <v>5</v>
      </c>
      <c r="J29" s="127" t="n">
        <v>5</v>
      </c>
      <c r="K29" s="127">
        <f>WM_EXP_CE</f>
        <v>5</v>
      </c>
      <c r="L29" s="127" t="n">
        <v>8</v>
      </c>
      <c r="M29" s="236">
        <f>SUM(G29:L29)</f>
        <v>100</v>
      </c>
      <c r="N29" s="237">
        <f>IF((G29+H29+I29+J29+L29)=0,0,G29*(100-MAX(0,MIN(100,K29)))/(G29+H29+I29+J29+L29))/100</f>
        <v>0.59</v>
      </c>
      <c r="O29" s="237">
        <f>IF((G29+H29+I29+J29+L29)=0,0,H29*(100-MAX(0,MIN(100,K29)))/(G29+H29+I29+J29+L29))/100</f>
        <v>0.18</v>
      </c>
      <c r="P29" s="237">
        <f>IF((G29+H29+I29+J29+L29)=0,0,I29*(100-MAX(0,MIN(100,K29)))/(G29+H29+I29+J29+L29))/100</f>
        <v>0.05</v>
      </c>
      <c r="Q29" s="237">
        <f>IF((G29+H29+I29+J29+L29)=0,0,J29*(100-MAX(0,MIN(100,K29)))/(G29+H29+I29+J29+L29))/100</f>
        <v>0.05</v>
      </c>
      <c r="R29" s="237">
        <f>MAX(0,MIN(100,K29))/100</f>
        <v>0.05</v>
      </c>
      <c r="S29" s="237">
        <f>IF((G29+H29+I29+J29+L29)=0,0,L29*(100-MAX(0,MIN(100,K29)))/(G29+H29+I29+J29+L29))/100</f>
        <v>0.08</v>
      </c>
      <c r="T29" s="120" t="n"/>
      <c r="U29" s="238" t="n">
        <v>59</v>
      </c>
      <c r="V29" s="238" t="n">
        <v>18</v>
      </c>
      <c r="W29" s="238" t="n">
        <v>5</v>
      </c>
      <c r="X29" s="238" t="n">
        <v>5</v>
      </c>
      <c r="Y29" s="238" t="n">
        <v>5</v>
      </c>
      <c r="Z29" s="238" t="n">
        <v>8</v>
      </c>
    </row>
    <row r="30" ht="15" customHeight="1"/>
    <row r="31" ht="20" customHeight="1">
      <c r="A31" s="6" t="inlineStr">
        <is>
          <t>WHAT EACH FACTOR MEANS — and when to give it more weight</t>
        </is>
      </c>
    </row>
    <row r="32" ht="15" customHeight="1">
      <c r="A32" s="12" t="inlineStr">
        <is>
          <t>Factor</t>
        </is>
      </c>
      <c r="B32" s="209" t="n"/>
      <c r="C32" s="12" t="inlineStr">
        <is>
          <t>What it measures</t>
        </is>
      </c>
      <c r="D32" s="210" t="n"/>
      <c r="E32" s="210" t="n"/>
      <c r="F32" s="210" t="n"/>
      <c r="G32" s="210" t="n"/>
      <c r="H32" s="209" t="n"/>
      <c r="I32" s="12" t="inlineStr">
        <is>
          <t>Give it more weight when…</t>
        </is>
      </c>
      <c r="J32" s="210" t="n"/>
      <c r="K32" s="210" t="n"/>
      <c r="L32" s="210" t="n"/>
      <c r="M32" s="210" t="n"/>
      <c r="N32" s="210" t="n"/>
      <c r="O32" s="210" t="n"/>
      <c r="P32" s="210" t="n"/>
      <c r="Q32" s="210" t="n"/>
      <c r="R32" s="210" t="n"/>
      <c r="S32" s="210" t="n"/>
      <c r="T32" s="209" t="n"/>
    </row>
    <row r="33" ht="15" customHeight="1">
      <c r="A33" s="13" t="inlineStr">
        <is>
          <t>Complexity &amp; Expertise</t>
        </is>
      </c>
      <c r="B33" s="209" t="n"/>
      <c r="C33" s="16" t="inlineStr">
        <is>
          <t>How hard and how specialised the work is</t>
        </is>
      </c>
      <c r="D33" s="210" t="n"/>
      <c r="E33" s="210" t="n"/>
      <c r="F33" s="210" t="n"/>
      <c r="G33" s="210" t="n"/>
      <c r="H33" s="209" t="n"/>
      <c r="I33" s="16" t="inlineStr">
        <is>
          <r>
            <rPr>
              <rFont val="Calibri"/>
              <b val="1"/>
              <sz val="10"/>
            </rPr>
            <t>The job's value is deep expertise:</t>
          </r>
          <r>
            <rPr>
              <rFont val="Calibri"/>
              <sz val="10"/>
            </rPr>
            <t xml:space="preserve"> architecture, actuarial, taxonomy design</t>
          </r>
        </is>
      </c>
      <c r="J33" s="210" t="n"/>
      <c r="K33" s="210" t="n"/>
      <c r="L33" s="210" t="n"/>
      <c r="M33" s="210" t="n"/>
      <c r="N33" s="210" t="n"/>
      <c r="O33" s="210" t="n"/>
      <c r="P33" s="210" t="n"/>
      <c r="Q33" s="210" t="n"/>
      <c r="R33" s="210" t="n"/>
      <c r="S33" s="210" t="n"/>
      <c r="T33" s="209" t="n"/>
    </row>
    <row r="34" ht="15" customHeight="1">
      <c r="A34" s="13" t="inlineStr">
        <is>
          <t>Autonomy &amp; Decision</t>
        </is>
      </c>
      <c r="B34" s="209" t="n"/>
      <c r="C34" s="16" t="inlineStr">
        <is>
          <t>What the person decides without asking</t>
        </is>
      </c>
      <c r="D34" s="210" t="n"/>
      <c r="E34" s="210" t="n"/>
      <c r="F34" s="210" t="n"/>
      <c r="G34" s="210" t="n"/>
      <c r="H34" s="209" t="n"/>
      <c r="I34" s="16" t="inlineStr">
        <is>
          <r>
            <rPr>
              <rFont val="Calibri"/>
              <b val="1"/>
              <sz val="10"/>
            </rPr>
            <t>The job is trusted to act alone:</t>
          </r>
          <r>
            <rPr>
              <rFont val="Calibri"/>
              <sz val="10"/>
            </rPr>
            <t xml:space="preserve"> product calls, deals, client decisions</t>
          </r>
        </is>
      </c>
      <c r="J34" s="210" t="n"/>
      <c r="K34" s="210" t="n"/>
      <c r="L34" s="210" t="n"/>
      <c r="M34" s="210" t="n"/>
      <c r="N34" s="210" t="n"/>
      <c r="O34" s="210" t="n"/>
      <c r="P34" s="210" t="n"/>
      <c r="Q34" s="210" t="n"/>
      <c r="R34" s="210" t="n"/>
      <c r="S34" s="210" t="n"/>
      <c r="T34" s="209" t="n"/>
    </row>
    <row r="35" ht="15" customHeight="1">
      <c r="A35" s="13" t="inlineStr">
        <is>
          <t>Accountability &amp; Impact</t>
        </is>
      </c>
      <c r="B35" s="209" t="n"/>
      <c r="C35" s="16" t="inlineStr">
        <is>
          <t>What the job answers for — its scope</t>
        </is>
      </c>
      <c r="D35" s="210" t="n"/>
      <c r="E35" s="210" t="n"/>
      <c r="F35" s="210" t="n"/>
      <c r="G35" s="210" t="n"/>
      <c r="H35" s="209" t="n"/>
      <c r="I35" s="16" t="inlineStr">
        <is>
          <t>Results, risk or quality of an area rest on this job</t>
        </is>
      </c>
      <c r="J35" s="210" t="n"/>
      <c r="K35" s="210" t="n"/>
      <c r="L35" s="210" t="n"/>
      <c r="M35" s="210" t="n"/>
      <c r="N35" s="210" t="n"/>
      <c r="O35" s="210" t="n"/>
      <c r="P35" s="210" t="n"/>
      <c r="Q35" s="210" t="n"/>
      <c r="R35" s="210" t="n"/>
      <c r="S35" s="210" t="n"/>
      <c r="T35" s="209" t="n"/>
    </row>
    <row r="36" ht="15" customHeight="1">
      <c r="A36" s="13" t="inlineStr">
        <is>
          <t>Leadership &amp; Strategy</t>
        </is>
      </c>
      <c r="B36" s="209" t="n"/>
      <c r="C36" s="16" t="inlineStr">
        <is>
          <t>Leading people or setting direction</t>
        </is>
      </c>
      <c r="D36" s="210" t="n"/>
      <c r="E36" s="210" t="n"/>
      <c r="F36" s="210" t="n"/>
      <c r="G36" s="210" t="n"/>
      <c r="H36" s="209" t="n"/>
      <c r="I36" s="16" t="inlineStr">
        <is>
          <t>The job's results come through a team or through direction it sets</t>
        </is>
      </c>
      <c r="J36" s="210" t="n"/>
      <c r="K36" s="210" t="n"/>
      <c r="L36" s="210" t="n"/>
      <c r="M36" s="210" t="n"/>
      <c r="N36" s="210" t="n"/>
      <c r="O36" s="210" t="n"/>
      <c r="P36" s="210" t="n"/>
      <c r="Q36" s="210" t="n"/>
      <c r="R36" s="210" t="n"/>
      <c r="S36" s="210" t="n"/>
      <c r="T36" s="209" t="n"/>
    </row>
    <row r="37" ht="15" customHeight="1">
      <c r="A37" s="13" t="inlineStr">
        <is>
          <t>Experience &amp; Qualification</t>
        </is>
      </c>
      <c r="B37" s="209" t="n"/>
      <c r="C37" s="16" t="inlineStr">
        <is>
          <t>Years in the field and qualifications</t>
        </is>
      </c>
      <c r="D37" s="210" t="n"/>
      <c r="E37" s="210" t="n"/>
      <c r="F37" s="210" t="n"/>
      <c r="G37" s="210" t="n"/>
      <c r="H37" s="209" t="n"/>
      <c r="I37" s="16" t="inlineStr">
        <is>
          <t>A licence or long experience is itself the requirement — kept low by design</t>
        </is>
      </c>
      <c r="J37" s="210" t="n"/>
      <c r="K37" s="210" t="n"/>
      <c r="L37" s="210" t="n"/>
      <c r="M37" s="210" t="n"/>
      <c r="N37" s="210" t="n"/>
      <c r="O37" s="210" t="n"/>
      <c r="P37" s="210" t="n"/>
      <c r="Q37" s="210" t="n"/>
      <c r="R37" s="210" t="n"/>
      <c r="S37" s="210" t="n"/>
      <c r="T37" s="209" t="n"/>
    </row>
    <row r="38" ht="15" customHeight="1">
      <c r="A38" s="13" t="inlineStr">
        <is>
          <t>Business Impact</t>
        </is>
      </c>
      <c r="B38" s="209" t="n"/>
      <c r="C38" s="16" t="inlineStr">
        <is>
          <t>The difference the job makes to revenue, clients, compliance or cost</t>
        </is>
      </c>
      <c r="D38" s="210" t="n"/>
      <c r="E38" s="210" t="n"/>
      <c r="F38" s="210" t="n"/>
      <c r="G38" s="210" t="n"/>
      <c r="H38" s="209" t="n"/>
      <c r="I38" s="16" t="inlineStr">
        <is>
          <r>
            <rPr>
              <rFont val="Calibri"/>
              <b val="1"/>
              <sz val="10"/>
            </rPr>
            <t>Results are visible in business numbers:</t>
          </r>
          <r>
            <rPr>
              <rFont val="Calibri"/>
              <sz val="10"/>
            </rPr>
            <t xml:space="preserve"> sales, client retention, filings, savings</t>
          </r>
        </is>
      </c>
      <c r="J38" s="210" t="n"/>
      <c r="K38" s="210" t="n"/>
      <c r="L38" s="210" t="n"/>
      <c r="M38" s="210" t="n"/>
      <c r="N38" s="210" t="n"/>
      <c r="O38" s="210" t="n"/>
      <c r="P38" s="210" t="n"/>
      <c r="Q38" s="210" t="n"/>
      <c r="R38" s="210" t="n"/>
      <c r="S38" s="210" t="n"/>
      <c r="T38" s="209" t="n"/>
    </row>
    <row r="39" ht="15" customHeight="1"/>
    <row r="40" ht="15" customHeight="1">
      <c r="A40" s="11"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41" ht="15" customHeight="1">
      <c r="A41" s="11"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42" ht="15" customHeight="1">
      <c r="A42" s="11"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43" ht="20" customHeight="1">
      <c r="A43" s="6" t="inlineStr">
        <is>
          <t>WHAT A WEIGHT MEANS</t>
        </is>
      </c>
    </row>
    <row r="44" ht="15" customHeight="1">
      <c r="A44" s="12" t="inlineStr">
        <is>
          <t>Weight</t>
        </is>
      </c>
      <c r="B44" s="209" t="n"/>
      <c r="C44" s="12" t="inlineStr">
        <is>
          <t>What it means for the score</t>
        </is>
      </c>
      <c r="D44" s="210" t="n"/>
      <c r="E44" s="210" t="n"/>
      <c r="F44" s="210" t="n"/>
      <c r="G44" s="210" t="n"/>
      <c r="H44" s="210" t="n"/>
      <c r="I44" s="210" t="n"/>
      <c r="J44" s="210" t="n"/>
      <c r="K44" s="210" t="n"/>
      <c r="L44" s="210" t="n"/>
      <c r="M44" s="210" t="n"/>
      <c r="N44" s="210" t="n"/>
      <c r="O44" s="210" t="n"/>
      <c r="P44" s="210" t="n"/>
      <c r="Q44" s="210" t="n"/>
      <c r="R44" s="210" t="n"/>
      <c r="S44" s="210" t="n"/>
      <c r="T44" s="209" t="n"/>
    </row>
    <row r="45" ht="15" customHeight="1">
      <c r="A45" s="13" t="inlineStr">
        <is>
          <t>0%</t>
        </is>
      </c>
      <c r="B45" s="209" t="n"/>
      <c r="C45" s="16" t="inlineStr">
        <is>
          <t>Ignored for this role group — the rating does not count at all</t>
        </is>
      </c>
      <c r="D45" s="210" t="n"/>
      <c r="E45" s="210" t="n"/>
      <c r="F45" s="210" t="n"/>
      <c r="G45" s="210" t="n"/>
      <c r="H45" s="210" t="n"/>
      <c r="I45" s="210" t="n"/>
      <c r="J45" s="210" t="n"/>
      <c r="K45" s="210" t="n"/>
      <c r="L45" s="210" t="n"/>
      <c r="M45" s="210" t="n"/>
      <c r="N45" s="210" t="n"/>
      <c r="O45" s="210" t="n"/>
      <c r="P45" s="210" t="n"/>
      <c r="Q45" s="210" t="n"/>
      <c r="R45" s="210" t="n"/>
      <c r="S45" s="210" t="n"/>
      <c r="T45" s="209" t="n"/>
    </row>
    <row r="46" ht="15" customHeight="1">
      <c r="A46" s="13" t="inlineStr">
        <is>
          <t>5%</t>
        </is>
      </c>
      <c r="B46" s="209" t="n"/>
      <c r="C46" s="16" t="inlineStr">
        <is>
          <t>Minor — a tie-breaker; a 1-point change in the rating moves the score by 0.05</t>
        </is>
      </c>
      <c r="D46" s="210" t="n"/>
      <c r="E46" s="210" t="n"/>
      <c r="F46" s="210" t="n"/>
      <c r="G46" s="210" t="n"/>
      <c r="H46" s="210" t="n"/>
      <c r="I46" s="210" t="n"/>
      <c r="J46" s="210" t="n"/>
      <c r="K46" s="210" t="n"/>
      <c r="L46" s="210" t="n"/>
      <c r="M46" s="210" t="n"/>
      <c r="N46" s="210" t="n"/>
      <c r="O46" s="210" t="n"/>
      <c r="P46" s="210" t="n"/>
      <c r="Q46" s="210" t="n"/>
      <c r="R46" s="210" t="n"/>
      <c r="S46" s="210" t="n"/>
      <c r="T46" s="209" t="n"/>
    </row>
    <row r="47" ht="15" customHeight="1">
      <c r="A47" s="13" t="inlineStr">
        <is>
          <t>10%</t>
        </is>
      </c>
      <c r="B47" s="209" t="n"/>
      <c r="C47" s="16" t="inlineStr">
        <is>
          <t>Counts a little — a 1-point change moves the score by 0.10</t>
        </is>
      </c>
      <c r="D47" s="210" t="n"/>
      <c r="E47" s="210" t="n"/>
      <c r="F47" s="210" t="n"/>
      <c r="G47" s="210" t="n"/>
      <c r="H47" s="210" t="n"/>
      <c r="I47" s="210" t="n"/>
      <c r="J47" s="210" t="n"/>
      <c r="K47" s="210" t="n"/>
      <c r="L47" s="210" t="n"/>
      <c r="M47" s="210" t="n"/>
      <c r="N47" s="210" t="n"/>
      <c r="O47" s="210" t="n"/>
      <c r="P47" s="210" t="n"/>
      <c r="Q47" s="210" t="n"/>
      <c r="R47" s="210" t="n"/>
      <c r="S47" s="210" t="n"/>
      <c r="T47" s="209" t="n"/>
    </row>
    <row r="48" ht="15" customHeight="1">
      <c r="A48" s="13" t="inlineStr">
        <is>
          <t>15–20%</t>
        </is>
      </c>
      <c r="B48" s="209" t="n"/>
      <c r="C48" s="16" t="inlineStr">
        <is>
          <t>Important — one of the main things this role is judged on</t>
        </is>
      </c>
      <c r="D48" s="210" t="n"/>
      <c r="E48" s="210" t="n"/>
      <c r="F48" s="210" t="n"/>
      <c r="G48" s="210" t="n"/>
      <c r="H48" s="210" t="n"/>
      <c r="I48" s="210" t="n"/>
      <c r="J48" s="210" t="n"/>
      <c r="K48" s="210" t="n"/>
      <c r="L48" s="210" t="n"/>
      <c r="M48" s="210" t="n"/>
      <c r="N48" s="210" t="n"/>
      <c r="O48" s="210" t="n"/>
      <c r="P48" s="210" t="n"/>
      <c r="Q48" s="210" t="n"/>
      <c r="R48" s="210" t="n"/>
      <c r="S48" s="210" t="n"/>
      <c r="T48" s="209" t="n"/>
    </row>
    <row r="49" ht="15" customHeight="1">
      <c r="A49" s="13" t="inlineStr">
        <is>
          <t>25–30%</t>
        </is>
      </c>
      <c r="B49" s="209" t="n"/>
      <c r="C49" s="16" t="inlineStr">
        <is>
          <t>Leading factor — this is what the role is mostly about</t>
        </is>
      </c>
      <c r="D49" s="210" t="n"/>
      <c r="E49" s="210" t="n"/>
      <c r="F49" s="210" t="n"/>
      <c r="G49" s="210" t="n"/>
      <c r="H49" s="210" t="n"/>
      <c r="I49" s="210" t="n"/>
      <c r="J49" s="210" t="n"/>
      <c r="K49" s="210" t="n"/>
      <c r="L49" s="210" t="n"/>
      <c r="M49" s="210" t="n"/>
      <c r="N49" s="210" t="n"/>
      <c r="O49" s="210" t="n"/>
      <c r="P49" s="210" t="n"/>
      <c r="Q49" s="210" t="n"/>
      <c r="R49" s="210" t="n"/>
      <c r="S49" s="210" t="n"/>
      <c r="T49" s="209" t="n"/>
    </row>
    <row r="50" ht="15" customHeight="1">
      <c r="A50" s="13" t="inlineStr">
        <is>
          <t>35%+</t>
        </is>
      </c>
      <c r="B50" s="209" t="n"/>
      <c r="C50" s="16" t="inlineStr">
        <is>
          <t>Dominant — use rarely; one factor then decides most of the score</t>
        </is>
      </c>
      <c r="D50" s="210" t="n"/>
      <c r="E50" s="210" t="n"/>
      <c r="F50" s="210" t="n"/>
      <c r="G50" s="210" t="n"/>
      <c r="H50" s="210" t="n"/>
      <c r="I50" s="210" t="n"/>
      <c r="J50" s="210" t="n"/>
      <c r="K50" s="210" t="n"/>
      <c r="L50" s="210" t="n"/>
      <c r="M50" s="210" t="n"/>
      <c r="N50" s="210" t="n"/>
      <c r="O50" s="210" t="n"/>
      <c r="P50" s="210" t="n"/>
      <c r="Q50" s="210" t="n"/>
      <c r="R50" s="210" t="n"/>
      <c r="S50" s="210" t="n"/>
      <c r="T50" s="209" t="n"/>
    </row>
    <row r="51" ht="15" customHeight="1"/>
    <row r="52" ht="28" customHeight="1">
      <c r="A52" s="207"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53" ht="20" customHeight="1">
      <c r="A53" s="6" t="inlineStr">
        <is>
          <t>RULES OF THUMB</t>
        </is>
      </c>
    </row>
    <row r="54" ht="15" customHeight="1">
      <c r="A54" s="207" t="inlineStr">
        <is>
          <t>• Start from the default row and change it in steps of 5%; small changes are safer than big ones.</t>
        </is>
      </c>
    </row>
    <row r="55" ht="15" customHeight="1">
      <c r="A55" s="207" t="inlineStr">
        <is>
          <t>• Keep each row's six weights adding up to about 100%. If they don't, the sheet scales the five non-Experience weights so they do — the 'Used' columns show the real weights.</t>
        </is>
      </c>
    </row>
    <row r="56" ht="15" customHeight="1">
      <c r="A56" s="207" t="inlineStr">
        <is>
          <t>• Experience &amp; Qualification is set once for everyone in the Settings block above · Bands A–B and Bands C–E. Change it there, not row by row; a number typed in a row's Experience cell overrides the setting for that row.</t>
        </is>
      </c>
    </row>
    <row r="57" ht="15" customHeight="1">
      <c r="A57" s="207" t="inlineStr">
        <is>
          <t>• Leaders of the same role group in different departments should differ only for a real reason · for example, sales roles count Business Impact more. Note the reason in the last column.</t>
        </is>
      </c>
    </row>
    <row r="58" ht="15" customHeight="1">
      <c r="A58" s="207" t="inlineStr">
        <is>
          <t>• Your edits change points, the score and 'Level the score indicates' on sheet 2 at once. The final level — with the fair-play checks — is confirmed when HR imports your edits and re-runs the model.</t>
        </is>
      </c>
    </row>
    <row r="59" ht="20" customHeight="1">
      <c r="A59" s="6" t="inlineStr">
        <is>
          <t>WHERE THE DEFAULT WEIGHTS COME FROM</t>
        </is>
      </c>
    </row>
    <row r="60" ht="28" customHeight="1">
      <c r="A60" s="11"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61" ht="15" customHeight="1">
      <c r="A61" s="12" t="inlineStr">
        <is>
          <t>Factor</t>
        </is>
      </c>
      <c r="B61" s="210" t="n"/>
      <c r="C61" s="210" t="n"/>
      <c r="D61" s="210" t="n"/>
      <c r="E61" s="210" t="n"/>
      <c r="F61" s="209" t="n"/>
      <c r="G61" s="12" t="inlineStr">
        <is>
          <t>This file — average of its scored roles</t>
        </is>
      </c>
      <c r="H61" s="210" t="n"/>
      <c r="I61" s="210" t="n"/>
      <c r="J61" s="209" t="n"/>
      <c r="K61" s="12" t="inlineStr">
        <is>
          <t>Published plans — average</t>
        </is>
      </c>
      <c r="L61" s="210" t="n"/>
      <c r="M61" s="210" t="n"/>
      <c r="N61" s="209" t="n"/>
      <c r="O61" s="12" t="inlineStr">
        <is>
          <t>Published plans — range</t>
        </is>
      </c>
      <c r="P61" s="210" t="n"/>
      <c r="Q61" s="210" t="n"/>
      <c r="R61" s="210" t="n"/>
      <c r="S61" s="210" t="n"/>
      <c r="T61" s="209" t="n"/>
    </row>
    <row r="62" ht="15" customHeight="1">
      <c r="A62" s="13" t="inlineStr">
        <is>
          <t>Complexity &amp; Expertise</t>
        </is>
      </c>
      <c r="B62" s="210" t="n"/>
      <c r="C62" s="210" t="n"/>
      <c r="D62" s="210" t="n"/>
      <c r="E62" s="210" t="n"/>
      <c r="F62" s="209" t="n"/>
      <c r="G62" s="16" t="inlineStr">
        <is>
          <t>52.3%</t>
        </is>
      </c>
      <c r="H62" s="210" t="n"/>
      <c r="I62" s="210" t="n"/>
      <c r="J62" s="209" t="n"/>
      <c r="K62" s="16" t="inlineStr">
        <is>
          <t>42.8%</t>
        </is>
      </c>
      <c r="L62" s="210" t="n"/>
      <c r="M62" s="210" t="n"/>
      <c r="N62" s="209" t="n"/>
      <c r="O62" s="16" t="inlineStr">
        <is>
          <t>38–52%</t>
        </is>
      </c>
      <c r="P62" s="210" t="n"/>
      <c r="Q62" s="210" t="n"/>
      <c r="R62" s="210" t="n"/>
      <c r="S62" s="210" t="n"/>
      <c r="T62" s="209" t="n"/>
    </row>
    <row r="63" ht="15" customHeight="1">
      <c r="A63" s="13" t="inlineStr">
        <is>
          <t>Autonomy &amp; Decision</t>
        </is>
      </c>
      <c r="B63" s="210" t="n"/>
      <c r="C63" s="210" t="n"/>
      <c r="D63" s="210" t="n"/>
      <c r="E63" s="210" t="n"/>
      <c r="F63" s="209" t="n"/>
      <c r="G63" s="16" t="inlineStr">
        <is>
          <t>20.0%</t>
        </is>
      </c>
      <c r="H63" s="210" t="n"/>
      <c r="I63" s="210" t="n"/>
      <c r="J63" s="209" t="n"/>
      <c r="K63" s="16" t="inlineStr">
        <is>
          <t>14.9%</t>
        </is>
      </c>
      <c r="L63" s="210" t="n"/>
      <c r="M63" s="210" t="n"/>
      <c r="N63" s="209" t="n"/>
      <c r="O63" s="16" t="inlineStr">
        <is>
          <t>7–30%</t>
        </is>
      </c>
      <c r="P63" s="210" t="n"/>
      <c r="Q63" s="210" t="n"/>
      <c r="R63" s="210" t="n"/>
      <c r="S63" s="210" t="n"/>
      <c r="T63" s="209" t="n"/>
    </row>
    <row r="64" ht="15" customHeight="1">
      <c r="A64" s="13" t="inlineStr">
        <is>
          <t>Accountability &amp; Impact</t>
        </is>
      </c>
      <c r="B64" s="210" t="n"/>
      <c r="C64" s="210" t="n"/>
      <c r="D64" s="210" t="n"/>
      <c r="E64" s="210" t="n"/>
      <c r="F64" s="209" t="n"/>
      <c r="G64" s="16" t="inlineStr">
        <is>
          <t>5.7%</t>
        </is>
      </c>
      <c r="H64" s="210" t="n"/>
      <c r="I64" s="210" t="n"/>
      <c r="J64" s="209" t="n"/>
      <c r="K64" s="16" t="inlineStr">
        <is>
          <t>15.1%</t>
        </is>
      </c>
      <c r="L64" s="210" t="n"/>
      <c r="M64" s="210" t="n"/>
      <c r="N64" s="209" t="n"/>
      <c r="O64" s="16" t="inlineStr">
        <is>
          <t>6–20%</t>
        </is>
      </c>
      <c r="P64" s="210" t="n"/>
      <c r="Q64" s="210" t="n"/>
      <c r="R64" s="210" t="n"/>
      <c r="S64" s="210" t="n"/>
      <c r="T64" s="209" t="n"/>
    </row>
    <row r="65" ht="15" customHeight="1">
      <c r="A65" s="13" t="inlineStr">
        <is>
          <t>Leadership &amp; Strategy</t>
        </is>
      </c>
      <c r="B65" s="210" t="n"/>
      <c r="C65" s="210" t="n"/>
      <c r="D65" s="210" t="n"/>
      <c r="E65" s="210" t="n"/>
      <c r="F65" s="209" t="n"/>
      <c r="G65" s="16" t="inlineStr">
        <is>
          <t>3.5%</t>
        </is>
      </c>
      <c r="H65" s="210" t="n"/>
      <c r="I65" s="210" t="n"/>
      <c r="J65" s="209" t="n"/>
      <c r="K65" s="16" t="inlineStr">
        <is>
          <t>20.6%</t>
        </is>
      </c>
      <c r="L65" s="210" t="n"/>
      <c r="M65" s="210" t="n"/>
      <c r="N65" s="209" t="n"/>
      <c r="O65" s="16" t="inlineStr">
        <is>
          <t>8–30%</t>
        </is>
      </c>
      <c r="P65" s="210" t="n"/>
      <c r="Q65" s="210" t="n"/>
      <c r="R65" s="210" t="n"/>
      <c r="S65" s="210" t="n"/>
      <c r="T65" s="209" t="n"/>
    </row>
    <row r="66" ht="15" customHeight="1">
      <c r="A66" s="13" t="inlineStr">
        <is>
          <t>Business Impact</t>
        </is>
      </c>
      <c r="B66" s="210" t="n"/>
      <c r="C66" s="210" t="n"/>
      <c r="D66" s="210" t="n"/>
      <c r="E66" s="210" t="n"/>
      <c r="F66" s="209" t="n"/>
      <c r="G66" s="16" t="inlineStr">
        <is>
          <t>9.1%</t>
        </is>
      </c>
      <c r="H66" s="210" t="n"/>
      <c r="I66" s="210" t="n"/>
      <c r="J66" s="209" t="n"/>
      <c r="K66" s="16" t="inlineStr">
        <is>
          <t>6.7%</t>
        </is>
      </c>
      <c r="L66" s="210" t="n"/>
      <c r="M66" s="210" t="n"/>
      <c r="N66" s="209" t="n"/>
      <c r="O66" s="16" t="inlineStr">
        <is>
          <t>0–10%</t>
        </is>
      </c>
      <c r="P66" s="210" t="n"/>
      <c r="Q66" s="210" t="n"/>
      <c r="R66" s="210" t="n"/>
      <c r="S66" s="210" t="n"/>
      <c r="T66" s="209" t="n"/>
    </row>
    <row r="67" ht="15" customHeight="1">
      <c r="A67" s="13" t="inlineStr">
        <is>
          <t>Experience &amp; Qualification</t>
        </is>
      </c>
      <c r="B67" s="210" t="n"/>
      <c r="C67" s="210" t="n"/>
      <c r="D67" s="210" t="n"/>
      <c r="E67" s="210" t="n"/>
      <c r="F67" s="209" t="n"/>
      <c r="G67" s="16" t="inlineStr">
        <is>
          <t>9.4%</t>
        </is>
      </c>
      <c r="H67" s="210" t="n"/>
      <c r="I67" s="210" t="n"/>
      <c r="J67" s="209" t="n"/>
      <c r="K67" s="16" t="inlineStr">
        <is>
          <t>not scored separately</t>
        </is>
      </c>
      <c r="L67" s="210" t="n"/>
      <c r="M67" s="210" t="n"/>
      <c r="N67" s="209" t="n"/>
      <c r="O67" s="16" t="inlineStr">
        <is>
          <t>Hay, Mercer IPE and WTW fold experience into knowledge</t>
        </is>
      </c>
      <c r="P67" s="210" t="n"/>
      <c r="Q67" s="210" t="n"/>
      <c r="R67" s="210" t="n"/>
      <c r="S67" s="210" t="n"/>
      <c r="T67" s="209" t="n"/>
    </row>
    <row r="68" ht="15" customHeight="1"/>
    <row r="69" ht="20" customHeight="1">
      <c r="A69" s="6" t="inlineStr">
        <is>
          <t>WHAT A RATING MEANS — the same 1-to-12 scale for every factor, every department, every band</t>
        </is>
      </c>
    </row>
    <row r="70" ht="15" customHeight="1">
      <c r="A70" s="11" t="inlineStr">
        <is>
          <t>A rating is the floor of the ladder that this side of the job looks like: 4 = B1-level, 8 = C2-level. Managers can change a person's Business Impact rating on sheet 2 · yellow; the other ratings are set from the evidence and changed through validation.</t>
        </is>
      </c>
    </row>
    <row r="71" ht="15" customHeight="1">
      <c r="A71" s="12" t="inlineStr">
        <is>
          <t>Rating · level</t>
        </is>
      </c>
      <c r="B71" s="209" t="n"/>
      <c r="C71" s="12" t="inlineStr">
        <is>
          <t>Complexity</t>
        </is>
      </c>
      <c r="D71" s="210" t="n"/>
      <c r="E71" s="209" t="n"/>
      <c r="F71" s="12" t="inlineStr">
        <is>
          <t>Autonomy</t>
        </is>
      </c>
      <c r="G71" s="210" t="n"/>
      <c r="H71" s="209" t="n"/>
      <c r="I71" s="12" t="inlineStr">
        <is>
          <t>Accountability</t>
        </is>
      </c>
      <c r="J71" s="210" t="n"/>
      <c r="K71" s="209" t="n"/>
      <c r="L71" s="12" t="inlineStr">
        <is>
          <t>Leadership</t>
        </is>
      </c>
      <c r="M71" s="210" t="n"/>
      <c r="N71" s="209" t="n"/>
      <c r="O71" s="12" t="inlineStr">
        <is>
          <t>Experience</t>
        </is>
      </c>
      <c r="P71" s="210" t="n"/>
      <c r="Q71" s="209" t="n"/>
      <c r="R71" s="12" t="inlineStr">
        <is>
          <t>Business impact</t>
        </is>
      </c>
      <c r="S71" s="210" t="n"/>
      <c r="T71" s="209" t="n"/>
    </row>
    <row r="72" ht="28" customHeight="1">
      <c r="A72" s="13" t="inlineStr">
        <is>
          <t>12 · E2</t>
        </is>
      </c>
      <c r="B72" s="209" t="n"/>
      <c r="C72" s="16" t="inlineStr">
        <is>
          <t>Enterprise-wide uncertainty, transformation and external forces</t>
        </is>
      </c>
      <c r="D72" s="210" t="n"/>
      <c r="E72" s="209" t="n"/>
      <c r="F72" s="16" t="inlineStr">
        <is>
          <t>Accountable to the board</t>
        </is>
      </c>
      <c r="G72" s="210" t="n"/>
      <c r="H72" s="209" t="n"/>
      <c r="I72" s="16" t="inlineStr">
        <is>
          <t>Enterprise results, risk, culture and long-term viability</t>
        </is>
      </c>
      <c r="J72" s="210" t="n"/>
      <c r="K72" s="209" t="n"/>
      <c r="L72" s="16" t="inlineStr">
        <is>
          <t>Sets enterprise strategy; leads the executive team</t>
        </is>
      </c>
      <c r="M72" s="210" t="n"/>
      <c r="N72" s="209" t="n"/>
      <c r="O72" s="16" t="inlineStr">
        <is>
          <t>About 28 yrs</t>
        </is>
      </c>
      <c r="P72" s="210" t="n"/>
      <c r="Q72" s="209" t="n"/>
      <c r="R72" s="16" t="inlineStr">
        <is>
          <t>Answers for the whole company's results and long-term value</t>
        </is>
      </c>
      <c r="S72" s="210" t="n"/>
      <c r="T72" s="209" t="n"/>
    </row>
    <row r="73" ht="28" customHeight="1">
      <c r="A73" s="13" t="inlineStr">
        <is>
          <t>11 · E1</t>
        </is>
      </c>
      <c r="B73" s="209" t="n"/>
      <c r="C73" s="16" t="inlineStr">
        <is>
          <t>Enterprise-level functional strategy</t>
        </is>
      </c>
      <c r="D73" s="210" t="n"/>
      <c r="E73" s="209" t="n"/>
      <c r="F73" s="16" t="inlineStr">
        <is>
          <t>Sets enterprise priorities for the function</t>
        </is>
      </c>
      <c r="G73" s="210" t="n"/>
      <c r="H73" s="209" t="n"/>
      <c r="I73" s="16" t="inlineStr">
        <is>
          <t>Enterprise-wide functional results</t>
        </is>
      </c>
      <c r="J73" s="210" t="n"/>
      <c r="K73" s="209" t="n"/>
      <c r="L73" s="16" t="inlineStr">
        <is>
          <t>Shapes enterprise strategy</t>
        </is>
      </c>
      <c r="M73" s="210" t="n"/>
      <c r="N73" s="209" t="n"/>
      <c r="O73" s="16" t="inlineStr">
        <is>
          <t>About 24 yrs</t>
        </is>
      </c>
      <c r="P73" s="210" t="n"/>
      <c r="Q73" s="209" t="n"/>
      <c r="R73" s="16" t="inlineStr">
        <is>
          <t>Shapes company-wide results through a function</t>
        </is>
      </c>
      <c r="S73" s="210" t="n"/>
      <c r="T73" s="209" t="n"/>
    </row>
    <row r="74" ht="28" customHeight="1">
      <c r="A74" s="13" t="inlineStr">
        <is>
          <t>10 · D2</t>
        </is>
      </c>
      <c r="B74" s="209" t="n"/>
      <c r="C74" s="16" t="inlineStr">
        <is>
          <t>Portfolio-level strategic, financial and regulatory trade-offs</t>
        </is>
      </c>
      <c r="D74" s="210" t="n"/>
      <c r="E74" s="209" t="n"/>
      <c r="F74" s="16" t="inlineStr">
        <is>
          <t>Sets direction across business lines</t>
        </is>
      </c>
      <c r="G74" s="210" t="n"/>
      <c r="H74" s="209" t="n"/>
      <c r="I74" s="16" t="inlineStr">
        <is>
          <t>Multi-business results</t>
        </is>
      </c>
      <c r="J74" s="210" t="n"/>
      <c r="K74" s="209" t="n"/>
      <c r="L74" s="16" t="inlineStr">
        <is>
          <t>Builds the leadership team across businesses</t>
        </is>
      </c>
      <c r="M74" s="210" t="n"/>
      <c r="N74" s="209" t="n"/>
      <c r="O74" s="16" t="inlineStr">
        <is>
          <t>About 21 yrs</t>
        </is>
      </c>
      <c r="P74" s="210" t="n"/>
      <c r="Q74" s="209" t="n"/>
      <c r="R74" s="16" t="inlineStr">
        <is>
          <t>Owns the results of several business lines</t>
        </is>
      </c>
      <c r="S74" s="210" t="n"/>
      <c r="T74" s="209" t="n"/>
    </row>
    <row r="75" ht="28" customHeight="1">
      <c r="A75" s="13" t="inlineStr">
        <is>
          <t>9 · D1</t>
        </is>
      </c>
      <c r="B75" s="209" t="n"/>
      <c r="C75" s="16" t="inlineStr">
        <is>
          <t>Competing strategic, financial and regulatory priorities</t>
        </is>
      </c>
      <c r="D75" s="210" t="n"/>
      <c r="E75" s="209" t="n"/>
      <c r="F75" s="16" t="inlineStr">
        <is>
          <t>Sets business-line direction, pricing and investment</t>
        </is>
      </c>
      <c r="G75" s="210" t="n"/>
      <c r="H75" s="209" t="n"/>
      <c r="I75" s="16" t="inlineStr">
        <is>
          <t>Business-line P&amp;L and market position</t>
        </is>
      </c>
      <c r="J75" s="210" t="n"/>
      <c r="K75" s="209" t="n"/>
      <c r="L75" s="16" t="inlineStr">
        <is>
          <t>Defines business strategy; builds the leadership bench</t>
        </is>
      </c>
      <c r="M75" s="210" t="n"/>
      <c r="N75" s="209" t="n"/>
      <c r="O75" s="16" t="inlineStr">
        <is>
          <t>About 17.5 yrs</t>
        </is>
      </c>
      <c r="P75" s="210" t="n"/>
      <c r="Q75" s="209" t="n"/>
      <c r="R75" s="16" t="inlineStr">
        <is>
          <t>Owns a business line's P&amp;L and growth, or a company-wide function</t>
        </is>
      </c>
      <c r="S75" s="210" t="n"/>
      <c r="T75" s="209" t="n"/>
    </row>
    <row r="76" ht="41" customHeight="1">
      <c r="A76" s="13" t="inlineStr">
        <is>
          <t>8.5 · C+</t>
        </is>
      </c>
      <c r="B76" s="209" t="n"/>
      <c r="C76" s="16" t="inlineStr">
        <is>
          <t>Function-wide and cross-product problems; personally handles the most critical client or technical work</t>
        </is>
      </c>
      <c r="D76" s="210" t="n"/>
      <c r="E76" s="209" t="n"/>
      <c r="F76" s="16" t="inlineStr">
        <is>
          <t>Sets direction for the function; business-line trade-offs go to the Business Head</t>
        </is>
      </c>
      <c r="G76" s="210" t="n"/>
      <c r="H76" s="209" t="n"/>
      <c r="I76" s="16" t="inlineStr">
        <is>
          <t>Function results, budget and key-client outcomes; carries own book or principal delivery</t>
        </is>
      </c>
      <c r="J76" s="210" t="n"/>
      <c r="K76" s="209" t="n"/>
      <c r="L76" s="16" t="inlineStr">
        <is>
          <t>Leads managers and leads and 10+ people in the function while staying hands-on</t>
        </is>
      </c>
      <c r="M76" s="210" t="n"/>
      <c r="N76" s="209" t="n"/>
      <c r="O76" s="16" t="inlineStr">
        <is>
          <t>About 16 yrs</t>
        </is>
      </c>
      <c r="P76" s="210" t="n"/>
      <c r="Q76" s="209" t="n"/>
      <c r="R76" s="16" t="inlineStr">
        <is>
          <t>Drives a function's results and personally wins or delivers key work</t>
        </is>
      </c>
      <c r="S76" s="210" t="n"/>
      <c r="T76" s="209" t="n"/>
    </row>
    <row r="77" ht="28" customHeight="1">
      <c r="A77" s="13" t="inlineStr">
        <is>
          <t>8 · C2</t>
        </is>
      </c>
      <c r="B77" s="209" t="n"/>
      <c r="C77" s="16" t="inlineStr">
        <is>
          <t>Function-wide or company-wide problems; creates methods and standards</t>
        </is>
      </c>
      <c r="D77" s="210" t="n"/>
      <c r="E77" s="209" t="n"/>
      <c r="F77" s="16" t="inlineStr">
        <is>
          <t>Sets direction for a function</t>
        </is>
      </c>
      <c r="G77" s="210" t="n"/>
      <c r="H77" s="209" t="n"/>
      <c r="I77" s="16" t="inlineStr">
        <is>
          <t>Function results, budget and risk</t>
        </is>
      </c>
      <c r="J77" s="210" t="n"/>
      <c r="K77" s="209" t="n"/>
      <c r="L77" s="16" t="inlineStr">
        <is>
          <t>Leads a function; shapes functional strategy</t>
        </is>
      </c>
      <c r="M77" s="210" t="n"/>
      <c r="N77" s="209" t="n"/>
      <c r="O77" s="16" t="inlineStr">
        <is>
          <t>About 14.5 yrs</t>
        </is>
      </c>
      <c r="P77" s="210" t="n"/>
      <c r="Q77" s="209" t="n"/>
      <c r="R77" s="16" t="inlineStr">
        <is>
          <t>Drives a function's or department's results and costs</t>
        </is>
      </c>
      <c r="S77" s="210" t="n"/>
      <c r="T77" s="209" t="n"/>
    </row>
    <row r="78" ht="28" customHeight="1">
      <c r="A78" s="13" t="inlineStr">
        <is>
          <t>7 · C1</t>
        </is>
      </c>
      <c r="B78" s="209" t="n"/>
      <c r="C78" s="16" t="inlineStr">
        <is>
          <t>Ambiguous, cross-product problems</t>
        </is>
      </c>
      <c r="D78" s="210" t="n"/>
      <c r="E78" s="209" t="n"/>
      <c r="F78" s="16" t="inlineStr">
        <is>
          <t>Sets direction for a sub-function or domain</t>
        </is>
      </c>
      <c r="G78" s="210" t="n"/>
      <c r="H78" s="209" t="n"/>
      <c r="I78" s="16" t="inlineStr">
        <is>
          <t>Sub-function results or domain quality across products</t>
        </is>
      </c>
      <c r="J78" s="210" t="n"/>
      <c r="K78" s="209" t="n"/>
      <c r="L78" s="16" t="inlineStr">
        <is>
          <t>Leads managers or a community of practice</t>
        </is>
      </c>
      <c r="M78" s="210" t="n"/>
      <c r="N78" s="209" t="n"/>
      <c r="O78" s="16" t="inlineStr">
        <is>
          <t>About 12 yrs</t>
        </is>
      </c>
      <c r="P78" s="210" t="n"/>
      <c r="Q78" s="209" t="n"/>
      <c r="R78" s="16" t="inlineStr">
        <is>
          <t>Changes results across a sub-function or across products</t>
        </is>
      </c>
      <c r="S78" s="210" t="n"/>
      <c r="T78" s="209" t="n"/>
    </row>
    <row r="79" ht="54" customHeight="1">
      <c r="A79" s="13" t="inlineStr">
        <is>
          <t>6.5 · B+</t>
        </is>
      </c>
      <c r="B79" s="209" t="n"/>
      <c r="C79" s="16" t="inlineStr">
        <is>
          <t>Principal-level problems in own domain; sets technical or quality standards and still builds</t>
        </is>
      </c>
      <c r="D79" s="210" t="n"/>
      <c r="E79" s="209" t="n"/>
      <c r="F79" s="16" t="inlineStr">
        <is>
          <t>Decides approach and priorities for the practice; escalates only cross-function trade-offs</t>
        </is>
      </c>
      <c r="G79" s="210" t="n"/>
      <c r="H79" s="209" t="n"/>
      <c r="I79" s="16" t="inlineStr">
        <is>
          <t>Practice outcomes plus own deliverables; quality and delivery of the team</t>
        </is>
      </c>
      <c r="J79" s="210" t="n"/>
      <c r="K79" s="209" t="n"/>
      <c r="L79" s="16" t="inlineStr">
        <is>
          <t>Leads 3–6 people · or a pod while remaining a hands-on expert; coaches, allocates, reviews</t>
        </is>
      </c>
      <c r="M79" s="210" t="n"/>
      <c r="N79" s="209" t="n"/>
      <c r="O79" s="16" t="inlineStr">
        <is>
          <t>About 11–12 yrs</t>
        </is>
      </c>
      <c r="P79" s="210" t="n"/>
      <c r="Q79" s="209" t="n"/>
      <c r="R79" s="16" t="inlineStr">
        <is>
          <t>Drives a practice's results while delivering the hardest work</t>
        </is>
      </c>
      <c r="S79" s="210" t="n"/>
      <c r="T79" s="209" t="n"/>
    </row>
    <row r="80" ht="41" customHeight="1">
      <c r="A80" s="13" t="inlineStr">
        <is>
          <t>6 · B3</t>
        </is>
      </c>
      <c r="B80" s="209" t="n"/>
      <c r="C80" s="16" t="inlineStr">
        <is>
          <t>Sets standards for a practice; cross-team problems</t>
        </is>
      </c>
      <c r="D80" s="210" t="n"/>
      <c r="E80" s="209" t="n"/>
      <c r="F80" s="16" t="inlineStr">
        <is>
          <t>Commercial / strategic calls for the unit</t>
        </is>
      </c>
      <c r="G80" s="210" t="n"/>
      <c r="H80" s="209" t="n"/>
      <c r="I80" s="16" t="inlineStr">
        <is>
          <t>Several teams or a practice</t>
        </is>
      </c>
      <c r="J80" s="210" t="n"/>
      <c r="K80" s="209" t="n"/>
      <c r="L80" s="16" t="inlineStr">
        <is>
          <r>
            <rPr>
              <rFont val="Calibri"/>
              <b val="1"/>
              <sz val="10"/>
            </rPr>
            <t>IC:</t>
          </r>
          <r>
            <rPr>
              <rFont val="Calibri"/>
              <sz val="10"/>
            </rPr>
            <t xml:space="preserve"> leads a practice · People: team leads / managers report in</t>
          </r>
        </is>
      </c>
      <c r="M80" s="210" t="n"/>
      <c r="N80" s="209" t="n"/>
      <c r="O80" s="16" t="inlineStr">
        <is>
          <t>About 10 yrs</t>
        </is>
      </c>
      <c r="P80" s="210" t="n"/>
      <c r="Q80" s="209" t="n"/>
      <c r="R80" s="16" t="inlineStr">
        <is>
          <t>Shapes the results of a practice or several teams</t>
        </is>
      </c>
      <c r="S80" s="210" t="n"/>
      <c r="T80" s="209" t="n"/>
    </row>
    <row r="81" ht="41" customHeight="1">
      <c r="A81" s="13" t="inlineStr">
        <is>
          <t>5 · B2</t>
        </is>
      </c>
      <c r="B81" s="209" t="n"/>
      <c r="C81" s="16" t="inlineStr">
        <is>
          <t>Hardest problems in the domain</t>
        </is>
      </c>
      <c r="D81" s="210" t="n"/>
      <c r="E81" s="209" t="n"/>
      <c r="F81" s="16" t="inlineStr">
        <is>
          <t>Allocates people and sets team priorities</t>
        </is>
      </c>
      <c r="G81" s="210" t="n"/>
      <c r="H81" s="209" t="n"/>
      <c r="I81" s="16" t="inlineStr">
        <is>
          <t>One team or a client portfolio</t>
        </is>
      </c>
      <c r="J81" s="210" t="n"/>
      <c r="K81" s="209" t="n"/>
      <c r="L81" s="16" t="inlineStr">
        <is>
          <r>
            <rPr>
              <rFont val="Calibri"/>
              <b val="1"/>
              <sz val="10"/>
            </rPr>
            <t>IC:</t>
          </r>
          <r>
            <rPr>
              <rFont val="Calibri"/>
              <sz val="10"/>
            </rPr>
            <t xml:space="preserve"> guides others in the domain · People: manages a team of 6+</t>
          </r>
        </is>
      </c>
      <c r="M81" s="210" t="n"/>
      <c r="N81" s="209" t="n"/>
      <c r="O81" s="16" t="inlineStr">
        <is>
          <t>About 7.5 yrs</t>
        </is>
      </c>
      <c r="P81" s="210" t="n"/>
      <c r="Q81" s="209" t="n"/>
      <c r="R81" s="16" t="inlineStr">
        <is>
          <t>Visible effect on a team's or client portfolio's revenue, quality or compliance</t>
        </is>
      </c>
      <c r="S81" s="210" t="n"/>
      <c r="T81" s="209" t="n"/>
    </row>
    <row r="82" ht="41" customHeight="1">
      <c r="A82" s="13" t="inlineStr">
        <is>
          <t>4 · B1</t>
        </is>
      </c>
      <c r="B82" s="209" t="n"/>
      <c r="C82" s="16" t="inlineStr">
        <is>
          <t>Domain specialist work</t>
        </is>
      </c>
      <c r="D82" s="210" t="n"/>
      <c r="E82" s="209" t="n"/>
      <c r="F82" s="16" t="inlineStr">
        <is>
          <t>Technical / QC / client calls for the domain</t>
        </is>
      </c>
      <c r="G82" s="210" t="n"/>
      <c r="H82" s="209" t="n"/>
      <c r="I82" s="16" t="inlineStr">
        <is>
          <t>A domain or a small team</t>
        </is>
      </c>
      <c r="J82" s="210" t="n"/>
      <c r="K82" s="209" t="n"/>
      <c r="L82" s="16" t="inlineStr">
        <is>
          <r>
            <rPr>
              <rFont val="Calibri"/>
              <b val="1"/>
              <sz val="10"/>
            </rPr>
            <t>IC:</t>
          </r>
          <r>
            <rPr>
              <rFont val="Calibri"/>
              <sz val="10"/>
            </rPr>
            <t xml:space="preserve"> mentors and reviews · People: hands-on team lead of 3–5</t>
          </r>
        </is>
      </c>
      <c r="M82" s="210" t="n"/>
      <c r="N82" s="209" t="n"/>
      <c r="O82" s="16" t="inlineStr">
        <is>
          <t>About 5.5 yrs</t>
        </is>
      </c>
      <c r="P82" s="210" t="n"/>
      <c r="Q82" s="209" t="n"/>
      <c r="R82" s="16" t="inlineStr">
        <is>
          <t>Moves a module's, product area's or client account's results</t>
        </is>
      </c>
      <c r="S82" s="210" t="n"/>
      <c r="T82" s="209" t="n"/>
    </row>
    <row r="83" ht="41" customHeight="1">
      <c r="A83" s="13" t="inlineStr">
        <is>
          <t>3 · A3</t>
        </is>
      </c>
      <c r="B83" s="209" t="n"/>
      <c r="C83" s="16" t="inlineStr">
        <is>
          <t>Varied and non-standard work; handles exceptions</t>
        </is>
      </c>
      <c r="D83" s="210" t="n"/>
      <c r="E83" s="209" t="n"/>
      <c r="F83" s="16" t="inlineStr">
        <is>
          <t>Technical / QC / client calls on own work</t>
        </is>
      </c>
      <c r="G83" s="210" t="n"/>
      <c r="H83" s="209" t="n"/>
      <c r="I83" s="16" t="inlineStr">
        <is>
          <t>A module / process, or work with client or regulatory consequences</t>
        </is>
      </c>
      <c r="J83" s="210" t="n"/>
      <c r="K83" s="209" t="n"/>
      <c r="L83" s="16" t="inlineStr">
        <is>
          <t>Not scored in Band A</t>
        </is>
      </c>
      <c r="M83" s="210" t="n"/>
      <c r="N83" s="209" t="n"/>
      <c r="O83" s="16" t="inlineStr">
        <is>
          <t>About 3 yrs</t>
        </is>
      </c>
      <c r="P83" s="210" t="n"/>
      <c r="Q83" s="209" t="n"/>
      <c r="R83" s="16" t="inlineStr">
        <is>
          <t>A process or client deliverable depends on this work</t>
        </is>
      </c>
      <c r="S83" s="210" t="n"/>
      <c r="T83" s="209" t="n"/>
    </row>
    <row r="84" ht="28" customHeight="1">
      <c r="A84" s="13" t="inlineStr">
        <is>
          <t>2 · A2</t>
        </is>
      </c>
      <c r="B84" s="209" t="n"/>
      <c r="C84" s="16" t="inlineStr">
        <is>
          <t>Standard work of the discipline</t>
        </is>
      </c>
      <c r="D84" s="210" t="n"/>
      <c r="E84" s="209" t="n"/>
      <c r="F84" s="16" t="inlineStr">
        <is>
          <t>Chooses own approach within standards</t>
        </is>
      </c>
      <c r="G84" s="210" t="n"/>
      <c r="H84" s="209" t="n"/>
      <c r="I84" s="16" t="inlineStr">
        <is>
          <t>Own deliverables · accuracy, TAT</t>
        </is>
      </c>
      <c r="J84" s="210" t="n"/>
      <c r="K84" s="209" t="n"/>
      <c r="L84" s="16" t="inlineStr">
        <is>
          <t>Not scored in Band A</t>
        </is>
      </c>
      <c r="M84" s="210" t="n"/>
      <c r="N84" s="209" t="n"/>
      <c r="O84" s="16" t="inlineStr">
        <is>
          <t>About 1 yr</t>
        </is>
      </c>
      <c r="P84" s="210" t="n"/>
      <c r="Q84" s="209" t="n"/>
      <c r="R84" s="16" t="inlineStr">
        <is>
          <t>Own deliverables feed a team's output and turnaround</t>
        </is>
      </c>
      <c r="S84" s="210" t="n"/>
      <c r="T84" s="209" t="n"/>
    </row>
    <row r="85" ht="28" customHeight="1">
      <c r="A85" s="13" t="inlineStr">
        <is>
          <t>1 · A1</t>
        </is>
      </c>
      <c r="B85" s="209" t="n"/>
      <c r="C85" s="16" t="inlineStr">
        <is>
          <t>Learning; follows worked examples</t>
        </is>
      </c>
      <c r="D85" s="210" t="n"/>
      <c r="E85" s="209" t="n"/>
      <c r="F85" s="16" t="inlineStr">
        <is>
          <t>Needs approval / close guidance</t>
        </is>
      </c>
      <c r="G85" s="210" t="n"/>
      <c r="H85" s="209" t="n"/>
      <c r="I85" s="16" t="inlineStr">
        <is>
          <t>Learning tasks</t>
        </is>
      </c>
      <c r="J85" s="210" t="n"/>
      <c r="K85" s="209" t="n"/>
      <c r="L85" s="16" t="inlineStr">
        <is>
          <t>Not scored in Band A</t>
        </is>
      </c>
      <c r="M85" s="210" t="n"/>
      <c r="N85" s="209" t="n"/>
      <c r="O85" s="16" t="inlineStr">
        <is>
          <t>No experience yet</t>
        </is>
      </c>
      <c r="P85" s="210" t="n"/>
      <c r="Q85" s="209" t="n"/>
      <c r="R85" s="16" t="inlineStr">
        <is>
          <t>Learning; little direct effect on business results yet</t>
        </is>
      </c>
      <c r="S85" s="210" t="n"/>
      <c r="T85" s="209" t="n"/>
    </row>
    <row r="86" ht="15" customHeight="1"/>
    <row r="87" ht="15" customHeight="1">
      <c r="A87" s="11"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K61:N61"/>
    <mergeCell ref="A31:T31"/>
    <mergeCell ref="I72:K72"/>
    <mergeCell ref="A58:T58"/>
    <mergeCell ref="I32:T32"/>
    <mergeCell ref="A40:T40"/>
    <mergeCell ref="A66:F66"/>
    <mergeCell ref="A73:B73"/>
    <mergeCell ref="F76:H76"/>
    <mergeCell ref="C80:E80"/>
    <mergeCell ref="L74:N74"/>
    <mergeCell ref="R83:T83"/>
    <mergeCell ref="A15:T15"/>
    <mergeCell ref="C50:T50"/>
    <mergeCell ref="L83:N83"/>
    <mergeCell ref="F85:H85"/>
    <mergeCell ref="A60:T60"/>
    <mergeCell ref="K65:N65"/>
    <mergeCell ref="R85:T85"/>
    <mergeCell ref="L76:N76"/>
    <mergeCell ref="K62:N62"/>
    <mergeCell ref="L85:N85"/>
    <mergeCell ref="C71:E71"/>
    <mergeCell ref="I33:T33"/>
    <mergeCell ref="R75:T75"/>
    <mergeCell ref="I79:K79"/>
    <mergeCell ref="I73:K73"/>
    <mergeCell ref="O64:T64"/>
    <mergeCell ref="A74:B74"/>
    <mergeCell ref="I82:K82"/>
    <mergeCell ref="R77:T77"/>
    <mergeCell ref="R72:T72"/>
    <mergeCell ref="I35:T35"/>
    <mergeCell ref="C32:H32"/>
    <mergeCell ref="C38:H38"/>
    <mergeCell ref="O76:Q76"/>
    <mergeCell ref="O85:Q85"/>
    <mergeCell ref="A76:B76"/>
    <mergeCell ref="A33:B33"/>
    <mergeCell ref="A85:B85"/>
    <mergeCell ref="A2:T2"/>
    <mergeCell ref="I74:K74"/>
    <mergeCell ref="I34:T34"/>
    <mergeCell ref="A42:T42"/>
    <mergeCell ref="C77:E77"/>
    <mergeCell ref="A64:F64"/>
    <mergeCell ref="F78:H78"/>
    <mergeCell ref="A35:B35"/>
    <mergeCell ref="G66:J66"/>
    <mergeCell ref="O77:Q77"/>
    <mergeCell ref="C74:E74"/>
    <mergeCell ref="R79:T79"/>
    <mergeCell ref="I36:T36"/>
    <mergeCell ref="K67:N67"/>
    <mergeCell ref="O83:Q83"/>
    <mergeCell ref="C85:E85"/>
    <mergeCell ref="A48:B48"/>
    <mergeCell ref="L71:N71"/>
    <mergeCell ref="O63:T63"/>
    <mergeCell ref="C75:E75"/>
    <mergeCell ref="C84:E84"/>
    <mergeCell ref="A45:B45"/>
    <mergeCell ref="R74:T74"/>
    <mergeCell ref="A59:T59"/>
    <mergeCell ref="I37:T37"/>
    <mergeCell ref="O84:Q84"/>
    <mergeCell ref="O75:Q75"/>
    <mergeCell ref="L73:N73"/>
    <mergeCell ref="A79:B79"/>
    <mergeCell ref="R76:T76"/>
    <mergeCell ref="O80:Q80"/>
    <mergeCell ref="C36:H36"/>
    <mergeCell ref="A70:T70"/>
    <mergeCell ref="A37:B37"/>
    <mergeCell ref="A46:B46"/>
    <mergeCell ref="O79:Q79"/>
    <mergeCell ref="A8:I8"/>
    <mergeCell ref="A54:T54"/>
    <mergeCell ref="A62:F62"/>
    <mergeCell ref="A41:T41"/>
    <mergeCell ref="F77:H77"/>
    <mergeCell ref="G67:J67"/>
    <mergeCell ref="I78:K78"/>
    <mergeCell ref="C81:E81"/>
    <mergeCell ref="G61:J61"/>
    <mergeCell ref="O72:Q72"/>
    <mergeCell ref="O81:Q81"/>
    <mergeCell ref="O67:T67"/>
    <mergeCell ref="A56:T56"/>
    <mergeCell ref="K64:N64"/>
    <mergeCell ref="A71:B71"/>
    <mergeCell ref="C37:H37"/>
    <mergeCell ref="L77:N77"/>
    <mergeCell ref="O78:Q78"/>
    <mergeCell ref="I81:K81"/>
    <mergeCell ref="K63:N63"/>
    <mergeCell ref="G62:J62"/>
    <mergeCell ref="C6:H6"/>
    <mergeCell ref="C79:E79"/>
    <mergeCell ref="A53:T53"/>
    <mergeCell ref="C73:E73"/>
    <mergeCell ref="A61:F61"/>
    <mergeCell ref="R84:T84"/>
    <mergeCell ref="R78:T78"/>
    <mergeCell ref="C45:T45"/>
    <mergeCell ref="A10:T10"/>
    <mergeCell ref="L78:N78"/>
    <mergeCell ref="I76:K76"/>
    <mergeCell ref="A77:B77"/>
    <mergeCell ref="A34:B34"/>
    <mergeCell ref="G65:J65"/>
    <mergeCell ref="A83:B83"/>
    <mergeCell ref="I85:K85"/>
    <mergeCell ref="R80:T80"/>
    <mergeCell ref="C47:T47"/>
    <mergeCell ref="A49:B49"/>
    <mergeCell ref="I75:K75"/>
    <mergeCell ref="F79:H79"/>
    <mergeCell ref="A36:B36"/>
    <mergeCell ref="C44:T44"/>
    <mergeCell ref="A11:T11"/>
    <mergeCell ref="A1:T1"/>
    <mergeCell ref="F81:H81"/>
    <mergeCell ref="A78:B78"/>
    <mergeCell ref="L79:N79"/>
    <mergeCell ref="O62:T62"/>
    <mergeCell ref="F71:H71"/>
    <mergeCell ref="A75:B75"/>
    <mergeCell ref="A87:T87"/>
    <mergeCell ref="A80:B80"/>
    <mergeCell ref="L81:N81"/>
    <mergeCell ref="C72:E72"/>
    <mergeCell ref="A63:F63"/>
    <mergeCell ref="I38:T38"/>
    <mergeCell ref="F82:H82"/>
    <mergeCell ref="A12:T12"/>
    <mergeCell ref="I84:K84"/>
    <mergeCell ref="A32:B32"/>
    <mergeCell ref="O66:T66"/>
    <mergeCell ref="A57:T57"/>
    <mergeCell ref="C78:E78"/>
    <mergeCell ref="C34:H34"/>
    <mergeCell ref="A14:T14"/>
    <mergeCell ref="C49:T49"/>
    <mergeCell ref="L82:N82"/>
    <mergeCell ref="I80:K80"/>
    <mergeCell ref="A38:B38"/>
    <mergeCell ref="L75:N75"/>
    <mergeCell ref="F84:H84"/>
    <mergeCell ref="A43:T43"/>
    <mergeCell ref="A52:T52"/>
    <mergeCell ref="A65:F65"/>
    <mergeCell ref="F80:H80"/>
    <mergeCell ref="G64:J64"/>
    <mergeCell ref="A82:B82"/>
    <mergeCell ref="O65:T65"/>
    <mergeCell ref="I71:K71"/>
    <mergeCell ref="F75:H75"/>
    <mergeCell ref="G63:J63"/>
    <mergeCell ref="O74:Q74"/>
    <mergeCell ref="K66:N66"/>
    <mergeCell ref="F72:H72"/>
    <mergeCell ref="C76:E76"/>
    <mergeCell ref="O71:Q71"/>
    <mergeCell ref="C46:T46"/>
    <mergeCell ref="L84:N84"/>
    <mergeCell ref="A69:T69"/>
    <mergeCell ref="I83:K83"/>
    <mergeCell ref="A84:B84"/>
    <mergeCell ref="O61:T61"/>
    <mergeCell ref="C82:E82"/>
    <mergeCell ref="R81:T81"/>
    <mergeCell ref="C7:H7"/>
    <mergeCell ref="L72:N72"/>
    <mergeCell ref="O73:Q73"/>
    <mergeCell ref="C48:T48"/>
    <mergeCell ref="A50:B50"/>
    <mergeCell ref="O82:Q82"/>
    <mergeCell ref="L80:N80"/>
    <mergeCell ref="R71:T71"/>
    <mergeCell ref="A3:T3"/>
    <mergeCell ref="A47:B47"/>
    <mergeCell ref="A55:T55"/>
    <mergeCell ref="A67:F67"/>
    <mergeCell ref="F73:H73"/>
    <mergeCell ref="C83:E83"/>
    <mergeCell ref="R73:T73"/>
    <mergeCell ref="A5:T5"/>
    <mergeCell ref="C33:H33"/>
    <mergeCell ref="I77:K77"/>
    <mergeCell ref="R82:T82"/>
    <mergeCell ref="A72:B72"/>
    <mergeCell ref="A81:B81"/>
    <mergeCell ref="C35:H35"/>
    <mergeCell ref="A44:B44"/>
    <mergeCell ref="F74:H74"/>
    <mergeCell ref="F83:H83"/>
    <mergeCell ref="A13:T13"/>
  </mergeCells>
  <conditionalFormatting sqref="G17:G29">
    <cfRule type="colorScale" priority="1">
      <colorScale>
        <cfvo type="num" val="0"/>
        <cfvo type="num" val="40"/>
        <color rgb="00FFFFFF"/>
        <color rgb="00A9D08E"/>
      </colorScale>
    </cfRule>
  </conditionalFormatting>
  <conditionalFormatting sqref="H17:H29">
    <cfRule type="colorScale" priority="2">
      <colorScale>
        <cfvo type="num" val="0"/>
        <cfvo type="num" val="40"/>
        <color rgb="00FFFFFF"/>
        <color rgb="00A9D08E"/>
      </colorScale>
    </cfRule>
  </conditionalFormatting>
  <conditionalFormatting sqref="I17:I29">
    <cfRule type="colorScale" priority="3">
      <colorScale>
        <cfvo type="num" val="0"/>
        <cfvo type="num" val="40"/>
        <color rgb="00FFFFFF"/>
        <color rgb="00A9D08E"/>
      </colorScale>
    </cfRule>
  </conditionalFormatting>
  <conditionalFormatting sqref="J17:J29">
    <cfRule type="colorScale" priority="4">
      <colorScale>
        <cfvo type="num" val="0"/>
        <cfvo type="num" val="40"/>
        <color rgb="00FFFFFF"/>
        <color rgb="00A9D08E"/>
      </colorScale>
    </cfRule>
  </conditionalFormatting>
  <conditionalFormatting sqref="K17:K29">
    <cfRule type="colorScale" priority="5">
      <colorScale>
        <cfvo type="num" val="0"/>
        <cfvo type="num" val="40"/>
        <color rgb="00FFFFFF"/>
        <color rgb="00A9D08E"/>
      </colorScale>
    </cfRule>
  </conditionalFormatting>
  <conditionalFormatting sqref="L17:L29">
    <cfRule type="colorScale" priority="6">
      <colorScale>
        <cfvo type="num" val="0"/>
        <cfvo type="num" val="40"/>
        <color rgb="00FFFFFF"/>
        <color rgb="00A9D08E"/>
      </colorScale>
    </cfRule>
  </conditionalFormatting>
  <dataValidations count="2">
    <dataValidation sqref="G17:L29"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I155"/>
  <sheetViews>
    <sheetView showGridLines="0" workbookViewId="0">
      <pane ySplit="4" topLeftCell="A5"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2" customWidth="1" min="7" max="7"/>
    <col width="60" customWidth="1" min="8" max="8"/>
    <col width="13" customWidth="1" min="9" max="9"/>
  </cols>
  <sheetData>
    <row r="1" ht="34" customHeight="1">
      <c r="A1" s="1" t="inlineStr">
        <is>
          <t>Weight benchmark — where the default weights come from</t>
        </is>
      </c>
      <c r="I1" s="241" t="inlineStr">
        <is>
          <t>◂ Contents</t>
        </is>
      </c>
    </row>
    <row r="2" ht="32" customHeight="1">
      <c r="A2" s="3" t="inlineStr">
        <is>
          <t>1e · The published point-factor plans, how weights shift with seniority, the evidence on experience and on business impact, and IRIS's defaults set against them. Every figure has its source.</t>
        </is>
      </c>
    </row>
    <row r="3">
      <c r="A3" s="4" t="inlineStr">
        <is>
          <t>IRIS · Job Architecture &amp; Job Design · Final v1.12 · October 2026 · Internal — Confidential</t>
        </is>
      </c>
    </row>
    <row r="4"/>
    <row r="5" ht="20" customHeight="1">
      <c r="A5" s="6" t="inlineStr">
        <is>
          <t>0. How the default weights were derived — in one table</t>
        </is>
      </c>
    </row>
    <row r="6" ht="41" customHeight="1">
      <c r="A6" s="11" t="inlineStr">
        <is>
          <r>
            <rPr>
              <rFont val="Calibri"/>
              <b val="1"/>
              <i val="1"/>
              <color rgb="00595959"/>
              <sz val="10"/>
            </rPr>
            <t>Three published sources, given equal weight:</t>
          </r>
          <r>
            <rPr>
              <rFont val="Calibri"/>
              <i val="1"/>
              <color rgb="00595959"/>
              <sz val="10"/>
            </rPr>
            <t xml:space="preserve"> Korn Ferry Hay — the most widely used private-sector method, with verified point evaluations by level; Mercer IPE — its published point table; and the five public point-factor plans. Each is mapped to the six IRIS factors by the same rules, then the three are averaged and rounded to whole numbers. The three sources agree within a few points for every role group.</t>
          </r>
        </is>
      </c>
    </row>
    <row r="7" ht="28" customHeight="1">
      <c r="A7" s="12" t="inlineStr">
        <is>
          <t>Role group · source</t>
        </is>
      </c>
      <c r="B7" s="12" t="inlineStr">
        <is>
          <t>Complexity</t>
        </is>
      </c>
      <c r="C7" s="12" t="inlineStr">
        <is>
          <t>Autonomy</t>
        </is>
      </c>
      <c r="D7" s="12" t="inlineStr">
        <is>
          <t>Accountability</t>
        </is>
      </c>
      <c r="E7" s="12" t="inlineStr">
        <is>
          <t>Leadership</t>
        </is>
      </c>
      <c r="F7" s="12" t="inlineStr">
        <is>
          <t>Experience</t>
        </is>
      </c>
      <c r="G7" s="12" t="inlineStr">
        <is>
          <t>Business impact</t>
        </is>
      </c>
      <c r="H7" s="12" t="inlineStr">
        <is>
          <t>Note</t>
        </is>
      </c>
    </row>
    <row r="8" ht="15" customHeight="1">
      <c r="A8" s="13" t="inlineStr">
        <is>
          <t>Band A · Korn Ferry Hay</t>
        </is>
      </c>
      <c r="B8" s="15" t="inlineStr">
        <is>
          <t>71%</t>
        </is>
      </c>
      <c r="C8" s="15" t="inlineStr">
        <is>
          <t>11%</t>
        </is>
      </c>
      <c r="D8" s="15" t="inlineStr">
        <is>
          <t>4%</t>
        </is>
      </c>
      <c r="E8" s="15" t="inlineStr">
        <is>
          <t>0%</t>
        </is>
      </c>
      <c r="F8" s="15" t="inlineStr">
        <is>
          <t>10%</t>
        </is>
      </c>
      <c r="G8" s="15" t="inlineStr">
        <is>
          <t>4%</t>
        </is>
      </c>
      <c r="H8" s="16" t="inlineStr"/>
    </row>
    <row r="9" ht="15" customHeight="1">
      <c r="A9" s="13" t="inlineStr">
        <is>
          <t>Band A · Mercer IPE</t>
        </is>
      </c>
      <c r="B9" s="15" t="inlineStr">
        <is>
          <t>51%</t>
        </is>
      </c>
      <c r="C9" s="15" t="inlineStr">
        <is>
          <t>22%</t>
        </is>
      </c>
      <c r="D9" s="15" t="inlineStr">
        <is>
          <t>8%</t>
        </is>
      </c>
      <c r="E9" s="15" t="inlineStr">
        <is>
          <t>0%</t>
        </is>
      </c>
      <c r="F9" s="15" t="inlineStr">
        <is>
          <t>10%</t>
        </is>
      </c>
      <c r="G9" s="15" t="inlineStr">
        <is>
          <t>8%</t>
        </is>
      </c>
      <c r="H9" s="16" t="inlineStr"/>
    </row>
    <row r="10" ht="15" customHeight="1">
      <c r="A10" s="13" t="inlineStr">
        <is>
          <t>Band A · Public plans</t>
        </is>
      </c>
      <c r="B10" s="15" t="inlineStr">
        <is>
          <t>53%</t>
        </is>
      </c>
      <c r="C10" s="15" t="inlineStr">
        <is>
          <t>15%</t>
        </is>
      </c>
      <c r="D10" s="15" t="inlineStr">
        <is>
          <t>15%</t>
        </is>
      </c>
      <c r="E10" s="15" t="inlineStr">
        <is>
          <t>0%</t>
        </is>
      </c>
      <c r="F10" s="15" t="inlineStr">
        <is>
          <t>10%</t>
        </is>
      </c>
      <c r="G10" s="15" t="inlineStr">
        <is>
          <t>7%</t>
        </is>
      </c>
      <c r="H10" s="16" t="inlineStr"/>
    </row>
    <row r="11" ht="15" customHeight="1">
      <c r="A11" s="27" t="inlineStr">
        <is>
          <t>Band A · IRIS default</t>
        </is>
      </c>
      <c r="B11" s="20" t="inlineStr">
        <is>
          <t>59%</t>
        </is>
      </c>
      <c r="C11" s="20" t="inlineStr">
        <is>
          <t>16%</t>
        </is>
      </c>
      <c r="D11" s="20" t="inlineStr">
        <is>
          <t>9%</t>
        </is>
      </c>
      <c r="E11" s="20" t="inlineStr">
        <is>
          <t>0%</t>
        </is>
      </c>
      <c r="F11" s="20" t="inlineStr">
        <is>
          <t>10%</t>
        </is>
      </c>
      <c r="G11" s="20" t="inlineStr">
        <is>
          <t>6%</t>
        </is>
      </c>
      <c r="H11" s="18" t="inlineStr">
        <is>
          <t>Average of the three, whole numbers</t>
        </is>
      </c>
    </row>
    <row r="12" ht="28" customHeight="1">
      <c r="A12" s="13" t="inlineStr">
        <is>
          <t>Band B · IC / POD Lead · Korn Ferry Hay</t>
        </is>
      </c>
      <c r="B12" s="15" t="inlineStr">
        <is>
          <t>54%</t>
        </is>
      </c>
      <c r="C12" s="15" t="inlineStr">
        <is>
          <t>19%</t>
        </is>
      </c>
      <c r="D12" s="15" t="inlineStr">
        <is>
          <t>6%</t>
        </is>
      </c>
      <c r="E12" s="15" t="inlineStr">
        <is>
          <t>5%</t>
        </is>
      </c>
      <c r="F12" s="15" t="inlineStr">
        <is>
          <t>10%</t>
        </is>
      </c>
      <c r="G12" s="15" t="inlineStr">
        <is>
          <t>6%</t>
        </is>
      </c>
      <c r="H12" s="16" t="inlineStr"/>
    </row>
    <row r="13" ht="28" customHeight="1">
      <c r="A13" s="13" t="inlineStr">
        <is>
          <t>Band B · IC / POD Lead · Mercer IPE</t>
        </is>
      </c>
      <c r="B13" s="15" t="inlineStr">
        <is>
          <t>52%</t>
        </is>
      </c>
      <c r="C13" s="15" t="inlineStr">
        <is>
          <t>18%</t>
        </is>
      </c>
      <c r="D13" s="15" t="inlineStr">
        <is>
          <t>8%</t>
        </is>
      </c>
      <c r="E13" s="15" t="inlineStr">
        <is>
          <t>5%</t>
        </is>
      </c>
      <c r="F13" s="15" t="inlineStr">
        <is>
          <t>10%</t>
        </is>
      </c>
      <c r="G13" s="15" t="inlineStr">
        <is>
          <t>8%</t>
        </is>
      </c>
      <c r="H13" s="16" t="inlineStr"/>
    </row>
    <row r="14" ht="28" customHeight="1">
      <c r="A14" s="13" t="inlineStr">
        <is>
          <t>Band B · IC / POD Lead · Public plans</t>
        </is>
      </c>
      <c r="B14" s="15" t="inlineStr">
        <is>
          <t>48%</t>
        </is>
      </c>
      <c r="C14" s="15" t="inlineStr">
        <is>
          <t>15%</t>
        </is>
      </c>
      <c r="D14" s="15" t="inlineStr">
        <is>
          <t>15%</t>
        </is>
      </c>
      <c r="E14" s="15" t="inlineStr">
        <is>
          <t>5%</t>
        </is>
      </c>
      <c r="F14" s="15" t="inlineStr">
        <is>
          <t>10%</t>
        </is>
      </c>
      <c r="G14" s="15" t="inlineStr">
        <is>
          <t>7%</t>
        </is>
      </c>
      <c r="H14" s="16" t="inlineStr"/>
    </row>
    <row r="15" ht="28" customHeight="1">
      <c r="A15" s="27" t="inlineStr">
        <is>
          <t>Band B · IC / POD Lead · IRIS default</t>
        </is>
      </c>
      <c r="B15" s="20" t="inlineStr">
        <is>
          <t>51%</t>
        </is>
      </c>
      <c r="C15" s="20" t="inlineStr">
        <is>
          <t>17%</t>
        </is>
      </c>
      <c r="D15" s="20" t="inlineStr">
        <is>
          <t>10%</t>
        </is>
      </c>
      <c r="E15" s="20" t="inlineStr">
        <is>
          <t>5%</t>
        </is>
      </c>
      <c r="F15" s="20" t="inlineStr">
        <is>
          <t>10%</t>
        </is>
      </c>
      <c r="G15" s="20" t="inlineStr">
        <is>
          <t>7%</t>
        </is>
      </c>
      <c r="H15" s="18" t="inlineStr">
        <is>
          <t>Average of the three, whole numbers</t>
        </is>
      </c>
    </row>
    <row r="16" ht="28" customHeight="1">
      <c r="A16" s="13" t="inlineStr">
        <is>
          <t>Band B · People Manager · Korn Ferry Hay</t>
        </is>
      </c>
      <c r="B16" s="15" t="inlineStr">
        <is>
          <t>35%</t>
        </is>
      </c>
      <c r="C16" s="15" t="inlineStr">
        <is>
          <t>21%</t>
        </is>
      </c>
      <c r="D16" s="15" t="inlineStr">
        <is>
          <t>10%</t>
        </is>
      </c>
      <c r="E16" s="15" t="inlineStr">
        <is>
          <t>15%</t>
        </is>
      </c>
      <c r="F16" s="15" t="inlineStr">
        <is>
          <t>10%</t>
        </is>
      </c>
      <c r="G16" s="15" t="inlineStr">
        <is>
          <t>10%</t>
        </is>
      </c>
      <c r="H16" s="16" t="inlineStr"/>
    </row>
    <row r="17" ht="28" customHeight="1">
      <c r="A17" s="13" t="inlineStr">
        <is>
          <t>Band B · People Manager · Mercer IPE</t>
        </is>
      </c>
      <c r="B17" s="15" t="inlineStr">
        <is>
          <t>38%</t>
        </is>
      </c>
      <c r="C17" s="15" t="inlineStr">
        <is>
          <t>19%</t>
        </is>
      </c>
      <c r="D17" s="15" t="inlineStr">
        <is>
          <t>9%</t>
        </is>
      </c>
      <c r="E17" s="15" t="inlineStr">
        <is>
          <t>15%</t>
        </is>
      </c>
      <c r="F17" s="15" t="inlineStr">
        <is>
          <t>10%</t>
        </is>
      </c>
      <c r="G17" s="15" t="inlineStr">
        <is>
          <t>9%</t>
        </is>
      </c>
      <c r="H17" s="16" t="inlineStr"/>
    </row>
    <row r="18" ht="28" customHeight="1">
      <c r="A18" s="13" t="inlineStr">
        <is>
          <t>Band B · People Manager · Public plans</t>
        </is>
      </c>
      <c r="B18" s="15" t="inlineStr">
        <is>
          <t>38%</t>
        </is>
      </c>
      <c r="C18" s="15" t="inlineStr">
        <is>
          <t>15%</t>
        </is>
      </c>
      <c r="D18" s="15" t="inlineStr">
        <is>
          <t>15%</t>
        </is>
      </c>
      <c r="E18" s="15" t="inlineStr">
        <is>
          <t>15%</t>
        </is>
      </c>
      <c r="F18" s="15" t="inlineStr">
        <is>
          <t>10%</t>
        </is>
      </c>
      <c r="G18" s="15" t="inlineStr">
        <is>
          <t>7%</t>
        </is>
      </c>
      <c r="H18" s="16" t="inlineStr"/>
    </row>
    <row r="19" ht="28" customHeight="1">
      <c r="A19" s="27" t="inlineStr">
        <is>
          <t>Band B · People Manager · IRIS default</t>
        </is>
      </c>
      <c r="B19" s="20" t="inlineStr">
        <is>
          <t>37%</t>
        </is>
      </c>
      <c r="C19" s="20" t="inlineStr">
        <is>
          <t>18%</t>
        </is>
      </c>
      <c r="D19" s="20" t="inlineStr">
        <is>
          <t>11%</t>
        </is>
      </c>
      <c r="E19" s="20" t="inlineStr">
        <is>
          <t>15%</t>
        </is>
      </c>
      <c r="F19" s="20" t="inlineStr">
        <is>
          <t>10%</t>
        </is>
      </c>
      <c r="G19" s="20" t="inlineStr">
        <is>
          <t>9%</t>
        </is>
      </c>
      <c r="H19" s="18" t="inlineStr">
        <is>
          <t>Average of the three, whole numbers</t>
        </is>
      </c>
    </row>
    <row r="20" ht="28" customHeight="1">
      <c r="A20" s="13" t="inlineStr">
        <is>
          <t>Player-Coach · B+ · Korn Ferry Hay</t>
        </is>
      </c>
      <c r="B20" s="15" t="inlineStr">
        <is>
          <t>44%</t>
        </is>
      </c>
      <c r="C20" s="15" t="inlineStr">
        <is>
          <t>20%</t>
        </is>
      </c>
      <c r="D20" s="15" t="inlineStr">
        <is>
          <t>8%</t>
        </is>
      </c>
      <c r="E20" s="15" t="inlineStr">
        <is>
          <t>10%</t>
        </is>
      </c>
      <c r="F20" s="15" t="inlineStr">
        <is>
          <t>10%</t>
        </is>
      </c>
      <c r="G20" s="15" t="inlineStr">
        <is>
          <t>8%</t>
        </is>
      </c>
      <c r="H20" s="16" t="inlineStr"/>
    </row>
    <row r="21" ht="15" customHeight="1">
      <c r="A21" s="13" t="inlineStr">
        <is>
          <t>Player-Coach · B+ · Mercer IPE</t>
        </is>
      </c>
      <c r="B21" s="15" t="inlineStr">
        <is>
          <t>45%</t>
        </is>
      </c>
      <c r="C21" s="15" t="inlineStr">
        <is>
          <t>18%</t>
        </is>
      </c>
      <c r="D21" s="15" t="inlineStr">
        <is>
          <t>8%</t>
        </is>
      </c>
      <c r="E21" s="15" t="inlineStr">
        <is>
          <t>10%</t>
        </is>
      </c>
      <c r="F21" s="15" t="inlineStr">
        <is>
          <t>10%</t>
        </is>
      </c>
      <c r="G21" s="15" t="inlineStr">
        <is>
          <t>8%</t>
        </is>
      </c>
      <c r="H21" s="16" t="inlineStr"/>
    </row>
    <row r="22" ht="15" customHeight="1">
      <c r="A22" s="13" t="inlineStr">
        <is>
          <t>Player-Coach · B+ · Public plans</t>
        </is>
      </c>
      <c r="B22" s="15" t="inlineStr">
        <is>
          <t>43%</t>
        </is>
      </c>
      <c r="C22" s="15" t="inlineStr">
        <is>
          <t>15%</t>
        </is>
      </c>
      <c r="D22" s="15" t="inlineStr">
        <is>
          <t>15%</t>
        </is>
      </c>
      <c r="E22" s="15" t="inlineStr">
        <is>
          <t>10%</t>
        </is>
      </c>
      <c r="F22" s="15" t="inlineStr">
        <is>
          <t>10%</t>
        </is>
      </c>
      <c r="G22" s="15" t="inlineStr">
        <is>
          <t>7%</t>
        </is>
      </c>
      <c r="H22" s="16" t="inlineStr"/>
    </row>
    <row r="23" ht="15" customHeight="1">
      <c r="A23" s="27" t="inlineStr">
        <is>
          <t>Player-Coach · B+ · IRIS default</t>
        </is>
      </c>
      <c r="B23" s="20" t="inlineStr">
        <is>
          <t>44%</t>
        </is>
      </c>
      <c r="C23" s="20" t="inlineStr">
        <is>
          <t>18%</t>
        </is>
      </c>
      <c r="D23" s="20" t="inlineStr">
        <is>
          <t>10%</t>
        </is>
      </c>
      <c r="E23" s="20" t="inlineStr">
        <is>
          <t>10%</t>
        </is>
      </c>
      <c r="F23" s="20" t="inlineStr">
        <is>
          <t>10%</t>
        </is>
      </c>
      <c r="G23" s="20" t="inlineStr">
        <is>
          <t>8%</t>
        </is>
      </c>
      <c r="H23" s="18" t="inlineStr">
        <is>
          <t>Average of the three, whole numbers</t>
        </is>
      </c>
    </row>
    <row r="24" ht="28" customHeight="1">
      <c r="A24" s="13" t="inlineStr">
        <is>
          <t>Band C · Principal specialist · Korn Ferry Hay</t>
        </is>
      </c>
      <c r="B24" s="15" t="inlineStr">
        <is>
          <t>55%</t>
        </is>
      </c>
      <c r="C24" s="15" t="inlineStr">
        <is>
          <t>20%</t>
        </is>
      </c>
      <c r="D24" s="15" t="inlineStr">
        <is>
          <t>8%</t>
        </is>
      </c>
      <c r="E24" s="15" t="inlineStr">
        <is>
          <t>5%</t>
        </is>
      </c>
      <c r="F24" s="15" t="inlineStr">
        <is>
          <t>5%</t>
        </is>
      </c>
      <c r="G24" s="15" t="inlineStr">
        <is>
          <t>8%</t>
        </is>
      </c>
      <c r="H24" s="16" t="inlineStr"/>
    </row>
    <row r="25" ht="28" customHeight="1">
      <c r="A25" s="13" t="inlineStr">
        <is>
          <t>Band C · Principal specialist · Mercer IPE</t>
        </is>
      </c>
      <c r="B25" s="15" t="inlineStr">
        <is>
          <t>55%</t>
        </is>
      </c>
      <c r="C25" s="15" t="inlineStr">
        <is>
          <t>18%</t>
        </is>
      </c>
      <c r="D25" s="15" t="inlineStr">
        <is>
          <t>8%</t>
        </is>
      </c>
      <c r="E25" s="15" t="inlineStr">
        <is>
          <t>5%</t>
        </is>
      </c>
      <c r="F25" s="15" t="inlineStr">
        <is>
          <t>5%</t>
        </is>
      </c>
      <c r="G25" s="15" t="inlineStr">
        <is>
          <t>8%</t>
        </is>
      </c>
      <c r="H25" s="16" t="inlineStr"/>
    </row>
    <row r="26" ht="28" customHeight="1">
      <c r="A26" s="13" t="inlineStr">
        <is>
          <t>Band C · Principal specialist · Public plans</t>
        </is>
      </c>
      <c r="B26" s="15" t="inlineStr">
        <is>
          <t>53%</t>
        </is>
      </c>
      <c r="C26" s="15" t="inlineStr">
        <is>
          <t>15%</t>
        </is>
      </c>
      <c r="D26" s="15" t="inlineStr">
        <is>
          <t>15%</t>
        </is>
      </c>
      <c r="E26" s="15" t="inlineStr">
        <is>
          <t>5%</t>
        </is>
      </c>
      <c r="F26" s="15" t="inlineStr">
        <is>
          <t>5%</t>
        </is>
      </c>
      <c r="G26" s="15" t="inlineStr">
        <is>
          <t>7%</t>
        </is>
      </c>
      <c r="H26" s="16" t="inlineStr"/>
    </row>
    <row r="27" ht="28" customHeight="1">
      <c r="A27" s="27" t="inlineStr">
        <is>
          <t>Band C · Principal specialist · IRIS default</t>
        </is>
      </c>
      <c r="B27" s="20" t="inlineStr">
        <is>
          <t>54%</t>
        </is>
      </c>
      <c r="C27" s="20" t="inlineStr">
        <is>
          <t>18%</t>
        </is>
      </c>
      <c r="D27" s="20" t="inlineStr">
        <is>
          <t>10%</t>
        </is>
      </c>
      <c r="E27" s="20" t="inlineStr">
        <is>
          <t>5%</t>
        </is>
      </c>
      <c r="F27" s="20" t="inlineStr">
        <is>
          <t>5%</t>
        </is>
      </c>
      <c r="G27" s="20" t="inlineStr">
        <is>
          <t>8%</t>
        </is>
      </c>
      <c r="H27" s="18" t="inlineStr">
        <is>
          <t>Average of the three, whole numbers</t>
        </is>
      </c>
    </row>
    <row r="28" ht="28" customHeight="1">
      <c r="A28" s="13" t="inlineStr">
        <is>
          <t>Band C · Head / manager · Korn Ferry Hay</t>
        </is>
      </c>
      <c r="B28" s="15" t="inlineStr">
        <is>
          <t>44%</t>
        </is>
      </c>
      <c r="C28" s="15" t="inlineStr">
        <is>
          <t>20%</t>
        </is>
      </c>
      <c r="D28" s="15" t="inlineStr">
        <is>
          <t>8%</t>
        </is>
      </c>
      <c r="E28" s="15" t="inlineStr">
        <is>
          <t>15%</t>
        </is>
      </c>
      <c r="F28" s="15" t="inlineStr">
        <is>
          <t>5%</t>
        </is>
      </c>
      <c r="G28" s="15" t="inlineStr">
        <is>
          <t>8%</t>
        </is>
      </c>
      <c r="H28" s="16" t="inlineStr"/>
    </row>
    <row r="29" ht="28" customHeight="1">
      <c r="A29" s="13" t="inlineStr">
        <is>
          <t>Band C · Head / manager · Mercer IPE</t>
        </is>
      </c>
      <c r="B29" s="15" t="inlineStr">
        <is>
          <t>43%</t>
        </is>
      </c>
      <c r="C29" s="15" t="inlineStr">
        <is>
          <t>19%</t>
        </is>
      </c>
      <c r="D29" s="15" t="inlineStr">
        <is>
          <t>9%</t>
        </is>
      </c>
      <c r="E29" s="15" t="inlineStr">
        <is>
          <t>15%</t>
        </is>
      </c>
      <c r="F29" s="15" t="inlineStr">
        <is>
          <t>5%</t>
        </is>
      </c>
      <c r="G29" s="15" t="inlineStr">
        <is>
          <t>9%</t>
        </is>
      </c>
      <c r="H29" s="16" t="inlineStr"/>
    </row>
    <row r="30" ht="28" customHeight="1">
      <c r="A30" s="13" t="inlineStr">
        <is>
          <t>Band C · Head / manager · Public plans</t>
        </is>
      </c>
      <c r="B30" s="15" t="inlineStr">
        <is>
          <t>43%</t>
        </is>
      </c>
      <c r="C30" s="15" t="inlineStr">
        <is>
          <t>15%</t>
        </is>
      </c>
      <c r="D30" s="15" t="inlineStr">
        <is>
          <t>15%</t>
        </is>
      </c>
      <c r="E30" s="15" t="inlineStr">
        <is>
          <t>15%</t>
        </is>
      </c>
      <c r="F30" s="15" t="inlineStr">
        <is>
          <t>5%</t>
        </is>
      </c>
      <c r="G30" s="15" t="inlineStr">
        <is>
          <t>7%</t>
        </is>
      </c>
      <c r="H30" s="16" t="inlineStr"/>
    </row>
    <row r="31" ht="28" customHeight="1">
      <c r="A31" s="27" t="inlineStr">
        <is>
          <t>Band C · Head / manager · IRIS default</t>
        </is>
      </c>
      <c r="B31" s="20" t="inlineStr">
        <is>
          <t>43%</t>
        </is>
      </c>
      <c r="C31" s="20" t="inlineStr">
        <is>
          <t>18%</t>
        </is>
      </c>
      <c r="D31" s="20" t="inlineStr">
        <is>
          <t>11%</t>
        </is>
      </c>
      <c r="E31" s="20" t="inlineStr">
        <is>
          <t>15%</t>
        </is>
      </c>
      <c r="F31" s="20" t="inlineStr">
        <is>
          <t>5%</t>
        </is>
      </c>
      <c r="G31" s="20" t="inlineStr">
        <is>
          <t>8%</t>
        </is>
      </c>
      <c r="H31" s="18" t="inlineStr">
        <is>
          <t>Average of the three, whole numbers</t>
        </is>
      </c>
    </row>
    <row r="32" ht="28" customHeight="1">
      <c r="A32" s="13" t="inlineStr">
        <is>
          <t>Player-Coach · C+ · Korn Ferry Hay</t>
        </is>
      </c>
      <c r="B32" s="15" t="inlineStr">
        <is>
          <t>38%</t>
        </is>
      </c>
      <c r="C32" s="15" t="inlineStr">
        <is>
          <t>21%</t>
        </is>
      </c>
      <c r="D32" s="15" t="inlineStr">
        <is>
          <t>8%</t>
        </is>
      </c>
      <c r="E32" s="15" t="inlineStr">
        <is>
          <t>20%</t>
        </is>
      </c>
      <c r="F32" s="15" t="inlineStr">
        <is>
          <t>5%</t>
        </is>
      </c>
      <c r="G32" s="15" t="inlineStr">
        <is>
          <t>8%</t>
        </is>
      </c>
      <c r="H32" s="16" t="inlineStr"/>
    </row>
    <row r="33" ht="15" customHeight="1">
      <c r="A33" s="13" t="inlineStr">
        <is>
          <t>Player-Coach · C+ · Mercer IPE</t>
        </is>
      </c>
      <c r="B33" s="15" t="inlineStr">
        <is>
          <t>37%</t>
        </is>
      </c>
      <c r="C33" s="15" t="inlineStr">
        <is>
          <t>19%</t>
        </is>
      </c>
      <c r="D33" s="15" t="inlineStr">
        <is>
          <t>9%</t>
        </is>
      </c>
      <c r="E33" s="15" t="inlineStr">
        <is>
          <t>20%</t>
        </is>
      </c>
      <c r="F33" s="15" t="inlineStr">
        <is>
          <t>5%</t>
        </is>
      </c>
      <c r="G33" s="15" t="inlineStr">
        <is>
          <t>9%</t>
        </is>
      </c>
      <c r="H33" s="16" t="inlineStr"/>
    </row>
    <row r="34" ht="15" customHeight="1">
      <c r="A34" s="13" t="inlineStr">
        <is>
          <t>Player-Coach · C+ · Public plans</t>
        </is>
      </c>
      <c r="B34" s="15" t="inlineStr">
        <is>
          <t>38%</t>
        </is>
      </c>
      <c r="C34" s="15" t="inlineStr">
        <is>
          <t>15%</t>
        </is>
      </c>
      <c r="D34" s="15" t="inlineStr">
        <is>
          <t>15%</t>
        </is>
      </c>
      <c r="E34" s="15" t="inlineStr">
        <is>
          <t>20%</t>
        </is>
      </c>
      <c r="F34" s="15" t="inlineStr">
        <is>
          <t>5%</t>
        </is>
      </c>
      <c r="G34" s="15" t="inlineStr">
        <is>
          <t>7%</t>
        </is>
      </c>
      <c r="H34" s="16" t="inlineStr"/>
    </row>
    <row r="35" ht="15" customHeight="1">
      <c r="A35" s="27" t="inlineStr">
        <is>
          <t>Player-Coach · C+ · IRIS default</t>
        </is>
      </c>
      <c r="B35" s="20" t="inlineStr">
        <is>
          <t>38%</t>
        </is>
      </c>
      <c r="C35" s="20" t="inlineStr">
        <is>
          <t>18%</t>
        </is>
      </c>
      <c r="D35" s="20" t="inlineStr">
        <is>
          <t>11%</t>
        </is>
      </c>
      <c r="E35" s="20" t="inlineStr">
        <is>
          <t>20%</t>
        </is>
      </c>
      <c r="F35" s="20" t="inlineStr">
        <is>
          <t>5%</t>
        </is>
      </c>
      <c r="G35" s="20" t="inlineStr">
        <is>
          <t>8%</t>
        </is>
      </c>
      <c r="H35" s="18" t="inlineStr">
        <is>
          <t>Average of the three, whole numbers</t>
        </is>
      </c>
    </row>
    <row r="36" ht="15" customHeight="1">
      <c r="A36" s="13" t="inlineStr">
        <is>
          <t>Bands D–E · Korn Ferry Hay</t>
        </is>
      </c>
      <c r="B36" s="15" t="inlineStr">
        <is>
          <t>36%</t>
        </is>
      </c>
      <c r="C36" s="15" t="inlineStr">
        <is>
          <t>22%</t>
        </is>
      </c>
      <c r="D36" s="15" t="inlineStr">
        <is>
          <t>9%</t>
        </is>
      </c>
      <c r="E36" s="15" t="inlineStr">
        <is>
          <t>20%</t>
        </is>
      </c>
      <c r="F36" s="15" t="inlineStr">
        <is>
          <t>5%</t>
        </is>
      </c>
      <c r="G36" s="15" t="inlineStr">
        <is>
          <t>9%</t>
        </is>
      </c>
      <c r="H36" s="16" t="inlineStr"/>
    </row>
    <row r="37" ht="15" customHeight="1">
      <c r="A37" s="13" t="inlineStr">
        <is>
          <t>Bands D–E · Mercer IPE</t>
        </is>
      </c>
      <c r="B37" s="15" t="inlineStr">
        <is>
          <t>35%</t>
        </is>
      </c>
      <c r="C37" s="15" t="inlineStr">
        <is>
          <t>20%</t>
        </is>
      </c>
      <c r="D37" s="15" t="inlineStr">
        <is>
          <t>10%</t>
        </is>
      </c>
      <c r="E37" s="15" t="inlineStr">
        <is>
          <t>20%</t>
        </is>
      </c>
      <c r="F37" s="15" t="inlineStr">
        <is>
          <t>5%</t>
        </is>
      </c>
      <c r="G37" s="15" t="inlineStr">
        <is>
          <t>10%</t>
        </is>
      </c>
      <c r="H37" s="16" t="inlineStr"/>
    </row>
    <row r="38" ht="15" customHeight="1">
      <c r="A38" s="13" t="inlineStr">
        <is>
          <t>Bands D–E · Public plans</t>
        </is>
      </c>
      <c r="B38" s="15" t="inlineStr">
        <is>
          <t>38%</t>
        </is>
      </c>
      <c r="C38" s="15" t="inlineStr">
        <is>
          <t>15%</t>
        </is>
      </c>
      <c r="D38" s="15" t="inlineStr">
        <is>
          <t>15%</t>
        </is>
      </c>
      <c r="E38" s="15" t="inlineStr">
        <is>
          <t>20%</t>
        </is>
      </c>
      <c r="F38" s="15" t="inlineStr">
        <is>
          <t>5%</t>
        </is>
      </c>
      <c r="G38" s="15" t="inlineStr">
        <is>
          <t>7%</t>
        </is>
      </c>
      <c r="H38" s="16" t="inlineStr"/>
    </row>
    <row r="39" ht="15" customHeight="1">
      <c r="A39" s="27" t="inlineStr">
        <is>
          <t>Bands D–E · IRIS default</t>
        </is>
      </c>
      <c r="B39" s="20" t="inlineStr">
        <is>
          <t>37%</t>
        </is>
      </c>
      <c r="C39" s="20" t="inlineStr">
        <is>
          <t>19%</t>
        </is>
      </c>
      <c r="D39" s="20" t="inlineStr">
        <is>
          <t>11%</t>
        </is>
      </c>
      <c r="E39" s="20" t="inlineStr">
        <is>
          <t>20%</t>
        </is>
      </c>
      <c r="F39" s="20" t="inlineStr">
        <is>
          <t>5%</t>
        </is>
      </c>
      <c r="G39" s="20" t="inlineStr">
        <is>
          <t>8%</t>
        </is>
      </c>
      <c r="H39" s="18" t="inlineStr">
        <is>
          <t>Average of the three, whole numbers</t>
        </is>
      </c>
    </row>
    <row r="40" ht="15" customHeight="1"/>
    <row r="41" ht="28" customHeight="1">
      <c r="A41" s="11" t="inlineStr">
        <is>
          <r>
            <rPr>
              <rFont val="Calibri"/>
              <b val="1"/>
              <i val="1"/>
              <color rgb="00595959"/>
              <sz val="10"/>
            </rPr>
            <t>Sources:</t>
          </r>
          <r>
            <rPr>
              <rFont val="Calibri"/>
              <i val="1"/>
              <color rgb="00595959"/>
              <sz val="10"/>
            </rPr>
            <t xml:space="preserve"> S46–S51 Korn Ferry Hay evaluations · S04, S52 Mercer IPE · S53–S57 NHS, UK NJC/PSC, GLPC, SJC and US OPM point-factor plans. Full links: source register, HR Super Master sheet 11 and Framework Master M16.</t>
          </r>
        </is>
      </c>
    </row>
    <row r="42" ht="20" customHeight="1">
      <c r="A42" s="6" t="inlineStr">
        <is>
          <t>0b. Mapping rules — the same for every source</t>
        </is>
      </c>
    </row>
    <row r="43" ht="15" customHeight="1">
      <c r="A43" s="12" t="inlineStr">
        <is>
          <t>IRIS factor</t>
        </is>
      </c>
      <c r="B43" s="209" t="n"/>
      <c r="C43" s="12" t="inlineStr">
        <is>
          <t>Taken from</t>
        </is>
      </c>
      <c r="D43" s="210" t="n"/>
      <c r="E43" s="210" t="n"/>
      <c r="F43" s="210" t="n"/>
      <c r="G43" s="210" t="n"/>
      <c r="H43" s="209" t="n"/>
    </row>
    <row r="44" ht="28" customHeight="1">
      <c r="A44" s="13" t="inlineStr">
        <is>
          <t>Experience &amp; Qualification</t>
        </is>
      </c>
      <c r="B44" s="209" t="n"/>
      <c r="C44" s="16" t="inlineStr">
        <is>
          <t>Held at the leadership's policy weight — 10% in Bands A–B, 5% in Bands C–E — and taken out of each method's knowledge factor first</t>
        </is>
      </c>
      <c r="D44" s="210" t="n"/>
      <c r="E44" s="210" t="n"/>
      <c r="F44" s="210" t="n"/>
      <c r="G44" s="210" t="n"/>
      <c r="H44" s="209" t="n"/>
    </row>
    <row r="45" ht="41" customHeight="1">
      <c r="A45" s="13" t="inlineStr">
        <is>
          <t>Leadership &amp; Strategy</t>
        </is>
      </c>
      <c r="B45" s="209" t="n"/>
      <c r="C45" s="16" t="inlineStr">
        <is>
          <r>
            <rPr>
              <rFont val="Calibri"/>
              <b val="1"/>
              <sz val="10"/>
            </rPr>
            <t>People leadership expected at the level:</t>
          </r>
          <r>
            <rPr>
              <rFont val="Calibri"/>
              <sz val="10"/>
            </rPr>
            <t xml:space="preserve"> 0% Band A, 5% experts, 10% B+, 15% managers and heads, 20% C+ and Bands D–E — taken from Hay know-how · managerial and human-relations know-how, Mercer IPE communication, or the plans' leadership and relationships factors</t>
          </r>
        </is>
      </c>
      <c r="D45" s="210" t="n"/>
      <c r="E45" s="210" t="n"/>
      <c r="F45" s="210" t="n"/>
      <c r="G45" s="210" t="n"/>
      <c r="H45" s="209" t="n"/>
    </row>
    <row r="46" ht="15" customHeight="1">
      <c r="A46" s="13" t="inlineStr">
        <is>
          <t>Complexity &amp; Expertise</t>
        </is>
      </c>
      <c r="B46" s="209" t="n"/>
      <c r="C46" s="16" t="inlineStr">
        <is>
          <t>The rest of the knowledge factor, plus 60% of problem solving / innovation · the thinking challenge</t>
        </is>
      </c>
      <c r="D46" s="210" t="n"/>
      <c r="E46" s="210" t="n"/>
      <c r="F46" s="210" t="n"/>
      <c r="G46" s="210" t="n"/>
      <c r="H46" s="209" t="n"/>
    </row>
    <row r="47" ht="28" customHeight="1">
      <c r="A47" s="13" t="inlineStr">
        <is>
          <t>Autonomy &amp; Decision</t>
        </is>
      </c>
      <c r="B47" s="209" t="n"/>
      <c r="C47" s="16" t="inlineStr">
        <is>
          <t>40% of problem solving / innovation · the thinking environment plus 40% of accountability / impact · freedom to act, Hay's heaviest element; the plans' own autonomy factor</t>
        </is>
      </c>
      <c r="D47" s="210" t="n"/>
      <c r="E47" s="210" t="n"/>
      <c r="F47" s="210" t="n"/>
      <c r="G47" s="210" t="n"/>
      <c r="H47" s="209" t="n"/>
    </row>
    <row r="48" ht="15" customHeight="1">
      <c r="A48" s="13" t="inlineStr">
        <is>
          <t>Accountability &amp; Impact</t>
        </is>
      </c>
      <c r="B48" s="209" t="n"/>
      <c r="C48" s="16" t="inlineStr">
        <is>
          <t>30% of accountability / impact — the area or magnitude of the job's scope; the plans' responsibility factors</t>
        </is>
      </c>
      <c r="D48" s="210" t="n"/>
      <c r="E48" s="210" t="n"/>
      <c r="F48" s="210" t="n"/>
      <c r="G48" s="210" t="n"/>
      <c r="H48" s="209" t="n"/>
    </row>
    <row r="49" ht="15" customHeight="1">
      <c r="A49" s="13" t="inlineStr">
        <is>
          <t>Business Impact</t>
        </is>
      </c>
      <c r="B49" s="209" t="n"/>
      <c r="C49" s="16" t="inlineStr">
        <is>
          <t>30% of accountability / impact — the nature of the job's impact on results; the plans' financial / consequences factor</t>
        </is>
      </c>
      <c r="D49" s="210" t="n"/>
      <c r="E49" s="210" t="n"/>
      <c r="F49" s="210" t="n"/>
      <c r="G49" s="210" t="n"/>
      <c r="H49" s="209" t="n"/>
    </row>
    <row r="50" ht="15" customHeight="1"/>
    <row r="51" ht="54" customHeight="1">
      <c r="A51" s="11" t="inlineStr">
        <is>
          <r>
            <rPr>
              <rFont val="Calibri"/>
              <b val="1"/>
              <i val="1"/>
              <color rgb="00595959"/>
              <sz val="10"/>
            </rPr>
            <t>Sources:</t>
          </r>
          <r>
            <rPr>
              <rFont val="Calibri"/>
              <i val="1"/>
              <color rgb="00595959"/>
              <sz val="10"/>
            </rPr>
            <t xml:space="preserve"> S05, S46–S52 for the Hay and IPE factor definitions; the split percentages are IRIS mapping rules applied to every source alike. Experience: Sources: S05, S49 Hay know-how includes experience however acquired · S04, S52 Mercer IPE knowledge · S07 WTW GGS · S58 McKinsey · S59 Deloitte · S60 WEF · S61 EY India, 2026 — skills over tenure. The 10% / 5% level is an IRIS leadership decision. Leadership: Sources: S05, S46, S47 Hay managerial know-how by level · S04 Mercer IPE communication · S09 McKinsey spans of control. The 0 / 5 / 10 / 15 / 20% steps by role group are an IRIS design rule.</t>
          </r>
        </is>
      </c>
    </row>
    <row r="52" ht="20" customHeight="1">
      <c r="A52" s="6" t="inlineStr">
        <is>
          <t>0c. Korn Ferry Hay — verified evaluations by level</t>
        </is>
      </c>
    </row>
    <row r="53" ht="28" customHeight="1">
      <c r="A53" s="11" t="inlineStr">
        <is>
          <t>Know-How / Problem Solving / Accountability points and shares. Canada's executive plan scores public-service jobs on the Hay guide charts, which makes these the best public evidence of Hay shares by level.</t>
        </is>
      </c>
    </row>
    <row r="54" ht="28" customHeight="1">
      <c r="A54" s="12" t="inlineStr">
        <is>
          <t>Job and level</t>
        </is>
      </c>
      <c r="B54" s="12" t="inlineStr">
        <is>
          <t>Know-How</t>
        </is>
      </c>
      <c r="C54" s="12" t="inlineStr">
        <is>
          <t>Problem Solving</t>
        </is>
      </c>
      <c r="D54" s="12" t="inlineStr">
        <is>
          <t>Accountability</t>
        </is>
      </c>
      <c r="E54" s="12" t="inlineStr">
        <is>
          <t>Shares KH / PS / AC</t>
        </is>
      </c>
      <c r="F54" s="239" t="inlineStr"/>
      <c r="G54" s="239" t="inlineStr"/>
      <c r="H54" s="12" t="inlineStr">
        <is>
          <t>Source</t>
        </is>
      </c>
    </row>
    <row r="55" ht="28" customHeight="1">
      <c r="A55" s="13" t="inlineStr">
        <is>
          <t>Junior · clerical typical profile</t>
        </is>
      </c>
      <c r="B55" s="15" t="inlineStr">
        <is>
          <t>—</t>
        </is>
      </c>
      <c r="C55" s="15" t="inlineStr">
        <is>
          <t>—</t>
        </is>
      </c>
      <c r="D55" s="15" t="inlineStr">
        <is>
          <t>—</t>
        </is>
      </c>
      <c r="E55" s="15" t="inlineStr">
        <is>
          <t>72.7 / 13.6 / 13.6</t>
        </is>
      </c>
      <c r="F55" s="16" t="inlineStr"/>
      <c r="G55" s="16" t="inlineStr"/>
      <c r="H55" s="16" t="inlineStr">
        <is>
          <t>Hay summary deck, typical profile 64/12/12 + 12% working conditions</t>
        </is>
      </c>
    </row>
    <row r="56" ht="28" customHeight="1">
      <c r="A56" s="13" t="inlineStr">
        <is>
          <t>Supervisor typical profile</t>
        </is>
      </c>
      <c r="B56" s="15" t="inlineStr">
        <is>
          <t>—</t>
        </is>
      </c>
      <c r="C56" s="15" t="inlineStr">
        <is>
          <t>—</t>
        </is>
      </c>
      <c r="D56" s="15" t="inlineStr">
        <is>
          <t>—</t>
        </is>
      </c>
      <c r="E56" s="15" t="inlineStr">
        <is>
          <t>47.4 / 20.6 / 32.0</t>
        </is>
      </c>
      <c r="F56" s="16" t="inlineStr"/>
      <c r="G56" s="16" t="inlineStr"/>
      <c r="H56" s="16" t="inlineStr">
        <is>
          <t>Hay summary deck, typical profile 46/20/31 + 3% working conditions</t>
        </is>
      </c>
    </row>
    <row r="57" ht="28" customHeight="1">
      <c r="A57" s="13" t="inlineStr">
        <is>
          <t>Professional · research scientist</t>
        </is>
      </c>
      <c r="B57" s="15" t="n">
        <v>460</v>
      </c>
      <c r="C57" s="15" t="n">
        <v>230</v>
      </c>
      <c r="D57" s="15" t="n">
        <v>132</v>
      </c>
      <c r="E57" s="15" t="inlineStr">
        <is>
          <t>56.0 / 28.0 / 16.1</t>
        </is>
      </c>
      <c r="F57" s="16" t="inlineStr"/>
      <c r="G57" s="16" t="inlineStr"/>
      <c r="H57" s="16" t="inlineStr">
        <is>
          <t>Hay summary deck</t>
        </is>
      </c>
    </row>
    <row r="58" ht="28" customHeight="1">
      <c r="A58" s="13" t="inlineStr">
        <is>
          <t>Manager · Regional Manager Finance &amp; Admin</t>
        </is>
      </c>
      <c r="B58" s="15" t="n">
        <v>460</v>
      </c>
      <c r="C58" s="15" t="n">
        <v>200</v>
      </c>
      <c r="D58" s="15" t="n">
        <v>230</v>
      </c>
      <c r="E58" s="15" t="inlineStr">
        <is>
          <t>51.7 / 22.5 / 25.8</t>
        </is>
      </c>
      <c r="F58" s="16" t="inlineStr"/>
      <c r="G58" s="16" t="inlineStr"/>
      <c r="H58" s="16" t="inlineStr">
        <is>
          <t>Canada TBS EX plan, 4-O-3</t>
        </is>
      </c>
    </row>
    <row r="59" ht="28" customHeight="1">
      <c r="A59" s="13" t="inlineStr">
        <is>
          <t>Director EX-1 · Director Financial Policies</t>
        </is>
      </c>
      <c r="B59" s="15" t="n">
        <v>460</v>
      </c>
      <c r="C59" s="15" t="n">
        <v>230</v>
      </c>
      <c r="D59" s="15" t="n">
        <v>264</v>
      </c>
      <c r="E59" s="15" t="inlineStr">
        <is>
          <t>48.2 / 24.1 / 27.7</t>
        </is>
      </c>
      <c r="F59" s="16" t="inlineStr"/>
      <c r="G59" s="16" t="inlineStr"/>
      <c r="H59" s="16" t="inlineStr">
        <is>
          <t>Canada TBS EX plan</t>
        </is>
      </c>
    </row>
    <row r="60" ht="28" customHeight="1">
      <c r="A60" s="13" t="inlineStr">
        <is>
          <t>Director EX-1 · Director Financial Management</t>
        </is>
      </c>
      <c r="B60" s="15" t="n">
        <v>528</v>
      </c>
      <c r="C60" s="15" t="n">
        <v>264</v>
      </c>
      <c r="D60" s="15" t="n">
        <v>264</v>
      </c>
      <c r="E60" s="15" t="inlineStr">
        <is>
          <t>50.0 / 25.0 / 25.0</t>
        </is>
      </c>
      <c r="F60" s="16" t="inlineStr"/>
      <c r="G60" s="16" t="inlineStr"/>
      <c r="H60" s="16" t="inlineStr">
        <is>
          <t>Canada TBS EX plan, 5-M-1</t>
        </is>
      </c>
    </row>
    <row r="61" ht="28" customHeight="1">
      <c r="A61" s="13" t="inlineStr">
        <is>
          <t>Director EX-1 · Regional Director</t>
        </is>
      </c>
      <c r="B61" s="15" t="n">
        <v>528</v>
      </c>
      <c r="C61" s="15" t="n">
        <v>264</v>
      </c>
      <c r="D61" s="15" t="n">
        <v>304</v>
      </c>
      <c r="E61" s="15" t="inlineStr">
        <is>
          <t>48.2 / 24.1 / 27.7</t>
        </is>
      </c>
      <c r="F61" s="16" t="inlineStr"/>
      <c r="G61" s="16" t="inlineStr"/>
      <c r="H61" s="16" t="inlineStr">
        <is>
          <t>Canada TBS EX plan, 5-A-1</t>
        </is>
      </c>
    </row>
    <row r="62" ht="28" customHeight="1">
      <c r="A62" s="13" t="inlineStr">
        <is>
          <t>Senior executive EX-2 · ADC Operations</t>
        </is>
      </c>
      <c r="B62" s="15" t="n">
        <v>608</v>
      </c>
      <c r="C62" s="15" t="n">
        <v>304</v>
      </c>
      <c r="D62" s="15" t="n">
        <v>350</v>
      </c>
      <c r="E62" s="15" t="inlineStr">
        <is>
          <t>48.2 / 24.1 / 27.7</t>
        </is>
      </c>
      <c r="F62" s="16" t="inlineStr"/>
      <c r="G62" s="16" t="inlineStr"/>
      <c r="H62" s="16" t="inlineStr">
        <is>
          <t>Canada TBS EX plan, 6-A-2</t>
        </is>
      </c>
    </row>
    <row r="63" ht="28" customHeight="1">
      <c r="A63" s="13" t="inlineStr">
        <is>
          <t>Senior executive EX-2 · DG Resource Management</t>
        </is>
      </c>
      <c r="B63" s="15" t="n">
        <v>608</v>
      </c>
      <c r="C63" s="15" t="n">
        <v>350</v>
      </c>
      <c r="D63" s="15" t="n">
        <v>350</v>
      </c>
      <c r="E63" s="15" t="inlineStr">
        <is>
          <t>46.5 / 26.8 / 26.8</t>
        </is>
      </c>
      <c r="F63" s="16" t="inlineStr"/>
      <c r="G63" s="16" t="inlineStr"/>
      <c r="H63" s="16" t="inlineStr">
        <is>
          <t>Canada TBS EX plan, 6-O-2</t>
        </is>
      </c>
    </row>
    <row r="64" ht="28" customHeight="1">
      <c r="A64" s="13" t="inlineStr">
        <is>
          <t>Executive EX-3 · DG Regional Operations</t>
        </is>
      </c>
      <c r="B64" s="15" t="n">
        <v>700</v>
      </c>
      <c r="C64" s="15" t="n">
        <v>400</v>
      </c>
      <c r="D64" s="15" t="n">
        <v>528</v>
      </c>
      <c r="E64" s="15" t="inlineStr">
        <is>
          <t>43.0 / 24.6 / 32.4</t>
        </is>
      </c>
      <c r="F64" s="16" t="inlineStr"/>
      <c r="G64" s="16" t="inlineStr"/>
      <c r="H64" s="16" t="inlineStr">
        <is>
          <t>Canada TBS EX plan, 7-A-2</t>
        </is>
      </c>
    </row>
    <row r="65" ht="15" customHeight="1"/>
    <row r="66" ht="15" customHeight="1">
      <c r="A66" s="11" t="inlineStr">
        <is>
          <r>
            <rPr>
              <rFont val="Calibri"/>
              <b val="1"/>
              <i val="1"/>
              <color rgb="00595959"/>
              <sz val="10"/>
            </rPr>
            <t>Sources:</t>
          </r>
          <r>
            <rPr>
              <rFont val="Calibri"/>
              <i val="1"/>
              <color rgb="00595959"/>
              <sz val="10"/>
            </rPr>
            <t xml:space="preserve"> S46, S47 Canada TBS Executive Group plans 2005 and 2022 · S48 Hay summary deck · S50 Western University Hay overview.</t>
          </r>
        </is>
      </c>
    </row>
    <row r="67" ht="20" customHeight="1">
      <c r="A67" s="6" t="inlineStr">
        <is>
          <t>0d. Mercer IPE — the published point table</t>
        </is>
      </c>
    </row>
    <row r="68" ht="28" customHeight="1">
      <c r="A68" s="11" t="inlineStr">
        <is>
          <t>Maximum points per factor are verified from the IPE v3.1 manual; the level rows apply that table to typical ratings for a company of IRIS's size, so they are illustrative. Impact's share grows with seniority and with company size.</t>
        </is>
      </c>
    </row>
    <row r="69" ht="28" customHeight="1">
      <c r="A69" s="12" t="inlineStr">
        <is>
          <t>Row</t>
        </is>
      </c>
      <c r="B69" s="12" t="inlineStr">
        <is>
          <t>Impact</t>
        </is>
      </c>
      <c r="C69" s="12" t="inlineStr">
        <is>
          <t>Communication</t>
        </is>
      </c>
      <c r="D69" s="12" t="inlineStr">
        <is>
          <t>Innovation</t>
        </is>
      </c>
      <c r="E69" s="12" t="inlineStr">
        <is>
          <t>Knowledge</t>
        </is>
      </c>
      <c r="F69" s="239" t="inlineStr"/>
      <c r="G69" s="239" t="inlineStr"/>
      <c r="H69" s="12" t="inlineStr">
        <is>
          <t>Shares</t>
        </is>
      </c>
    </row>
    <row r="70" ht="28" customHeight="1">
      <c r="A70" s="13" t="inlineStr">
        <is>
          <t>Maximum points per factor · Mercer IPE v3.1</t>
        </is>
      </c>
      <c r="B70" s="15" t="inlineStr">
        <is>
          <t>705</t>
        </is>
      </c>
      <c r="C70" s="15" t="inlineStr">
        <is>
          <t>115</t>
        </is>
      </c>
      <c r="D70" s="15" t="inlineStr">
        <is>
          <t>130</t>
        </is>
      </c>
      <c r="E70" s="15" t="inlineStr">
        <is>
          <t>260</t>
        </is>
      </c>
      <c r="F70" s="16" t="inlineStr"/>
      <c r="G70" s="16" t="inlineStr"/>
      <c r="H70" s="16" t="inlineStr">
        <is>
          <t>Impact 58.3% · Communication 9.5% · Innovation 10.7% · Knowledge 21.5% at the maximum</t>
        </is>
      </c>
    </row>
    <row r="71" ht="28" customHeight="1">
      <c r="A71" s="13" t="inlineStr">
        <is>
          <t>Junior · illustrative rating, organisation size 5</t>
        </is>
      </c>
      <c r="B71" s="15" t="inlineStr">
        <is>
          <t>25</t>
        </is>
      </c>
      <c r="C71" s="15" t="inlineStr">
        <is>
          <t>10</t>
        </is>
      </c>
      <c r="D71" s="15" t="inlineStr">
        <is>
          <t>25</t>
        </is>
      </c>
      <c r="E71" s="15" t="inlineStr">
        <is>
          <t>30</t>
        </is>
      </c>
      <c r="F71" s="16" t="inlineStr"/>
      <c r="G71" s="16" t="inlineStr"/>
      <c r="H71" s="16" t="inlineStr">
        <is>
          <t>27.8 / 11.1 / 27.8 / 33.3%</t>
        </is>
      </c>
    </row>
    <row r="72" ht="15" customHeight="1">
      <c r="A72" s="13" t="inlineStr">
        <is>
          <t>Professional · illustrative</t>
        </is>
      </c>
      <c r="B72" s="15" t="inlineStr">
        <is>
          <t>60</t>
        </is>
      </c>
      <c r="C72" s="15" t="inlineStr">
        <is>
          <t>40</t>
        </is>
      </c>
      <c r="D72" s="15" t="inlineStr">
        <is>
          <t>45</t>
        </is>
      </c>
      <c r="E72" s="15" t="inlineStr">
        <is>
          <t>90</t>
        </is>
      </c>
      <c r="F72" s="16" t="inlineStr"/>
      <c r="G72" s="16" t="inlineStr"/>
      <c r="H72" s="16" t="inlineStr">
        <is>
          <t>25.5 / 17.0 / 19.1 / 38.3%</t>
        </is>
      </c>
    </row>
    <row r="73" ht="15" customHeight="1">
      <c r="A73" s="13" t="inlineStr">
        <is>
          <t>Manager · illustrative</t>
        </is>
      </c>
      <c r="B73" s="15" t="inlineStr">
        <is>
          <t>131</t>
        </is>
      </c>
      <c r="C73" s="15" t="inlineStr">
        <is>
          <t>60</t>
        </is>
      </c>
      <c r="D73" s="15" t="inlineStr">
        <is>
          <t>75</t>
        </is>
      </c>
      <c r="E73" s="15" t="inlineStr">
        <is>
          <t>173</t>
        </is>
      </c>
      <c r="F73" s="16" t="inlineStr"/>
      <c r="G73" s="16" t="inlineStr"/>
      <c r="H73" s="16" t="inlineStr">
        <is>
          <t>29.8 / 13.7 / 17.1 / 39.4%</t>
        </is>
      </c>
    </row>
    <row r="74" ht="15" customHeight="1">
      <c r="A74" s="13" t="inlineStr">
        <is>
          <t>Executive · illustrative</t>
        </is>
      </c>
      <c r="B74" s="15" t="inlineStr">
        <is>
          <t>207</t>
        </is>
      </c>
      <c r="C74" s="15" t="inlineStr">
        <is>
          <t>100</t>
        </is>
      </c>
      <c r="D74" s="15" t="inlineStr">
        <is>
          <t>105</t>
        </is>
      </c>
      <c r="E74" s="15" t="inlineStr">
        <is>
          <t>218</t>
        </is>
      </c>
      <c r="F74" s="16" t="inlineStr"/>
      <c r="G74" s="16" t="inlineStr"/>
      <c r="H74" s="16" t="inlineStr">
        <is>
          <t>32.9 / 15.9 / 16.7 / 34.6%</t>
        </is>
      </c>
    </row>
    <row r="75" ht="15" customHeight="1"/>
    <row r="76" ht="15" customHeight="1">
      <c r="A76" s="11" t="inlineStr">
        <is>
          <r>
            <rPr>
              <rFont val="Calibri"/>
              <b val="1"/>
              <i val="1"/>
              <color rgb="00595959"/>
              <sz val="10"/>
            </rPr>
            <t>Sources:</t>
          </r>
          <r>
            <rPr>
              <rFont val="Calibri"/>
              <i val="1"/>
              <color rgb="00595959"/>
              <sz val="10"/>
            </rPr>
            <t xml:space="preserve"> S52 Mercer IPE manual and factor sheet, third-party copies · S04 Mercer IPE.</t>
          </r>
        </is>
      </c>
    </row>
    <row r="77" ht="20" customHeight="1">
      <c r="A77" s="6" t="inlineStr">
        <is>
          <t>1. Published point-factor plans — share of points by factor</t>
        </is>
      </c>
    </row>
    <row r="78" ht="28" customHeight="1">
      <c r="A78" s="11" t="inlineStr">
        <is>
          <t>Effort and working-conditions factors removed and the rest scaled to 100%. Major vendors — Korn Ferry Hay, Mercer IPE, WTW, Aon Radford — do not publish their factor weights, so public schemes with published points are the hard benchmark.</t>
        </is>
      </c>
    </row>
    <row r="79" ht="41" customHeight="1">
      <c r="A79" s="12" t="inlineStr">
        <is>
          <t>Plan</t>
        </is>
      </c>
      <c r="B79" s="12" t="inlineStr">
        <is>
          <t>Complexity &amp; Expertise</t>
        </is>
      </c>
      <c r="C79" s="12" t="inlineStr">
        <is>
          <t>Autonomy &amp; Decision</t>
        </is>
      </c>
      <c r="D79" s="12" t="inlineStr">
        <is>
          <t>Accountability &amp; Impact</t>
        </is>
      </c>
      <c r="E79" s="12" t="inlineStr">
        <is>
          <t>Leadership &amp; Strategy</t>
        </is>
      </c>
      <c r="F79" s="12" t="inlineStr">
        <is>
          <t>Business Impact</t>
        </is>
      </c>
      <c r="G79" s="12" t="inlineStr">
        <is>
          <t>Effort and conditions removed</t>
        </is>
      </c>
      <c r="H79" s="12" t="inlineStr">
        <is>
          <t>Source</t>
        </is>
      </c>
    </row>
    <row r="80" ht="41" customHeight="1">
      <c r="A80" s="13" t="inlineStr">
        <is>
          <t>NHS Agenda for Change Job Evaluation Scheme · 16 factors, 1,000 points</t>
        </is>
      </c>
      <c r="B80" s="15" t="inlineStr">
        <is>
          <t>40.0%</t>
        </is>
      </c>
      <c r="C80" s="15" t="inlineStr">
        <is>
          <t>6.7%</t>
        </is>
      </c>
      <c r="D80" s="15" t="inlineStr">
        <is>
          <t>20.0%</t>
        </is>
      </c>
      <c r="E80" s="15" t="inlineStr">
        <is>
          <t>26.7%</t>
        </is>
      </c>
      <c r="F80" s="15" t="inlineStr">
        <is>
          <t>6.7%</t>
        </is>
      </c>
      <c r="G80" s="15" t="inlineStr">
        <is>
          <t>10.0%</t>
        </is>
      </c>
      <c r="H80" s="16" t="inlineStr">
        <is>
          <t>NHS Job Evaluation Handbook, ch. 6 para 1.5 — nhsemployers.org/sites/default/files/pdf/22/165.pdf</t>
        </is>
      </c>
    </row>
    <row r="81" ht="54" customHeight="1">
      <c r="A81" s="13" t="inlineStr">
        <is>
          <t>UK local government 13-factor scheme · Police Staff Council version of the NJC scheme, 1,000 points</t>
        </is>
      </c>
      <c r="B81" s="15" t="inlineStr">
        <is>
          <t>38.3%</t>
        </is>
      </c>
      <c r="C81" s="15" t="inlineStr">
        <is>
          <t>13.0%</t>
        </is>
      </c>
      <c r="D81" s="15" t="inlineStr">
        <is>
          <t>19.5%</t>
        </is>
      </c>
      <c r="E81" s="15" t="inlineStr">
        <is>
          <t>19.5%</t>
        </is>
      </c>
      <c r="F81" s="15" t="inlineStr">
        <is>
          <t>9.8%</t>
        </is>
      </c>
      <c r="G81" s="15" t="inlineStr">
        <is>
          <t>20.0%</t>
        </is>
      </c>
      <c r="H81" s="16" t="inlineStr">
        <is>
          <t>PSC Handbook pp. 47–48 — lb2.local.gov.uk/sites/default/files/documents/police-staff-council-13-f-342.pdf · NJC's own table sits behind the LGA log-in · Exact for PSC; NJC assumed equal</t>
        </is>
      </c>
    </row>
    <row r="82" ht="41" customHeight="1">
      <c r="A82" s="13" t="inlineStr">
        <is>
          <t>Greater London Provincial Council scheme · 11 factors, 948 points</t>
        </is>
      </c>
      <c r="B82" s="15" t="inlineStr">
        <is>
          <t>45.0%</t>
        </is>
      </c>
      <c r="C82" s="15" t="inlineStr">
        <is>
          <t>12.1%</t>
        </is>
      </c>
      <c r="D82" s="15" t="inlineStr">
        <is>
          <t>6.0%</t>
        </is>
      </c>
      <c r="E82" s="15" t="inlineStr">
        <is>
          <t>29.7%</t>
        </is>
      </c>
      <c r="F82" s="15" t="inlineStr">
        <is>
          <t>7.2%</t>
        </is>
      </c>
      <c r="G82" s="15" t="inlineStr">
        <is>
          <t>12.7%</t>
        </is>
      </c>
      <c r="H82" s="16" t="inlineStr">
        <is>
          <t>GLPC points weighting — sirddinbych.gov.uk/en/documents/jobs-and-employees/my-employment/reorganisation-and-change/glpc-points-weighting.pdf</t>
        </is>
      </c>
    </row>
    <row r="83" ht="28" customHeight="1">
      <c r="A83" s="13" t="inlineStr">
        <is>
          <t>Scottish Joint Council scheme · 13 factors, 1,000 points</t>
        </is>
      </c>
      <c r="B83" s="15" t="inlineStr">
        <is>
          <t>38.3%</t>
        </is>
      </c>
      <c r="C83" s="15" t="inlineStr">
        <is>
          <t>13.0%</t>
        </is>
      </c>
      <c r="D83" s="15" t="inlineStr">
        <is>
          <t>19.5%</t>
        </is>
      </c>
      <c r="E83" s="15" t="inlineStr">
        <is>
          <t>19.5%</t>
        </is>
      </c>
      <c r="F83" s="15" t="inlineStr">
        <is>
          <t>9.8%</t>
        </is>
      </c>
      <c r="G83" s="15" t="inlineStr">
        <is>
          <t>20.0%</t>
        </is>
      </c>
      <c r="H83" s="16" t="inlineStr">
        <is>
          <t>Highland Council SJC scoring matrix — highland.gov.uk/download/downloads/id/3889/scoring_matrix.pdf</t>
        </is>
      </c>
    </row>
    <row r="84" ht="28" customHeight="1">
      <c r="A84" s="13" t="inlineStr">
        <is>
          <t>US OPM Factor Evaluation System · 9 factors, 4,480 points</t>
        </is>
      </c>
      <c r="B84" s="15" t="inlineStr">
        <is>
          <t>52.5%</t>
        </is>
      </c>
      <c r="C84" s="15" t="inlineStr">
        <is>
          <t>29.7%</t>
        </is>
      </c>
      <c r="D84" s="15" t="inlineStr">
        <is>
          <t>10.3%</t>
        </is>
      </c>
      <c r="E84" s="15" t="inlineStr">
        <is>
          <t>7.5%</t>
        </is>
      </c>
      <c r="F84" s="15" t="inlineStr">
        <is>
          <t>0.0%</t>
        </is>
      </c>
      <c r="G84" s="15" t="inlineStr">
        <is>
          <t>2.2%</t>
        </is>
      </c>
      <c r="H84" s="16" t="inlineStr">
        <is>
          <t>OPM Introduction to the Position Classification Standards, Appendix 3 — opm.gov/…/positionclassificationintro.pdf</t>
        </is>
      </c>
    </row>
    <row r="85" ht="15" customHeight="1">
      <c r="A85" s="13" t="inlineStr">
        <is>
          <t>Average of the five plans</t>
        </is>
      </c>
      <c r="B85" s="15" t="inlineStr">
        <is>
          <t>42.8%</t>
        </is>
      </c>
      <c r="C85" s="15" t="inlineStr">
        <is>
          <t>14.9%</t>
        </is>
      </c>
      <c r="D85" s="15" t="inlineStr">
        <is>
          <t>15.1%</t>
        </is>
      </c>
      <c r="E85" s="15" t="inlineStr">
        <is>
          <t>20.6%</t>
        </is>
      </c>
      <c r="F85" s="15" t="inlineStr">
        <is>
          <t>6.7%</t>
        </is>
      </c>
      <c r="G85" s="15" t="inlineStr"/>
      <c r="H85" s="16" t="inlineStr">
        <is>
          <r>
            <rPr>
              <rFont val="Calibri"/>
              <b val="1"/>
              <sz val="10"/>
            </rPr>
            <t>Experience as a separate factor:</t>
          </r>
          <r>
            <rPr>
              <rFont val="Calibri"/>
              <sz val="10"/>
            </rPr>
            <t xml:space="preserve"> none of the five</t>
          </r>
        </is>
      </c>
    </row>
    <row r="86" ht="15" customHeight="1">
      <c r="A86" s="13" t="inlineStr">
        <is>
          <t>Range</t>
        </is>
      </c>
      <c r="B86" s="15" t="inlineStr">
        <is>
          <t>38–52%</t>
        </is>
      </c>
      <c r="C86" s="15" t="inlineStr">
        <is>
          <t>7–30%</t>
        </is>
      </c>
      <c r="D86" s="15" t="inlineStr">
        <is>
          <t>6–20%</t>
        </is>
      </c>
      <c r="E86" s="15" t="inlineStr">
        <is>
          <t>8–30%</t>
        </is>
      </c>
      <c r="F86" s="15" t="inlineStr">
        <is>
          <t>0–10%</t>
        </is>
      </c>
      <c r="G86" s="15" t="inlineStr"/>
      <c r="H86" s="16" t="inlineStr"/>
    </row>
    <row r="87" ht="15" customHeight="1"/>
    <row r="88" ht="15" customHeight="1">
      <c r="A88" s="12" t="inlineStr">
        <is>
          <t>Plan</t>
        </is>
      </c>
      <c r="B88" s="12" t="inlineStr">
        <is>
          <t>How its factors were mapped to the IRIS factors</t>
        </is>
      </c>
      <c r="C88" s="210" t="n"/>
      <c r="D88" s="210" t="n"/>
      <c r="E88" s="210" t="n"/>
      <c r="F88" s="210" t="n"/>
      <c r="G88" s="210" t="n"/>
      <c r="H88" s="209" t="n"/>
    </row>
    <row r="89" ht="41" customHeight="1">
      <c r="A89" s="13" t="inlineStr">
        <is>
          <t>NHS Agenda for Change Job Evaluation Scheme · 16 factors, 1,000 points</t>
        </is>
      </c>
      <c r="B89" s="16" t="inlineStr">
        <is>
          <t>Knowledge, training &amp; experience 240 + analytical and physical skills 120 → Complexity; freedom to act 60; patient care, information, R&amp;D 180; communication, planning, HR, policy 240; financial &amp; physical resources 60</t>
        </is>
      </c>
      <c r="C89" s="210" t="n"/>
      <c r="D89" s="210" t="n"/>
      <c r="E89" s="210" t="n"/>
      <c r="F89" s="210" t="n"/>
      <c r="G89" s="210" t="n"/>
      <c r="H89" s="209" t="n"/>
    </row>
    <row r="90" ht="41" customHeight="1">
      <c r="A90" s="13" t="inlineStr">
        <is>
          <t>UK local government 13-factor scheme · Police Staff Council version of the NJC scheme, 1,000 points</t>
        </is>
      </c>
      <c r="B90" s="16" t="inlineStr">
        <is>
          <t>Knowledge 163 + mental and physical skills 143; initiative &amp; independence 104; responsibility for people and physical resources 156; interpersonal and supervision 156; financial resources 78</t>
        </is>
      </c>
      <c r="C90" s="210" t="n"/>
      <c r="D90" s="210" t="n"/>
      <c r="E90" s="210" t="n"/>
      <c r="F90" s="210" t="n"/>
      <c r="G90" s="210" t="n"/>
      <c r="H90" s="209" t="n"/>
    </row>
    <row r="91" ht="28" customHeight="1">
      <c r="A91" s="13" t="inlineStr">
        <is>
          <t>Greater London Provincial Council scheme · 11 factors, 948 points</t>
        </is>
      </c>
      <c r="B91" s="16" t="inlineStr">
        <is>
          <t>Knowledge &amp; skill 272 + creativity 100; discretion 100; resources 50; contacts and supervision 246; consequences 60</t>
        </is>
      </c>
      <c r="C91" s="210" t="n"/>
      <c r="D91" s="210" t="n"/>
      <c r="E91" s="210" t="n"/>
      <c r="F91" s="210" t="n"/>
      <c r="G91" s="210" t="n"/>
      <c r="H91" s="209" t="n"/>
    </row>
    <row r="92" ht="28" customHeight="1">
      <c r="A92" s="13" t="inlineStr">
        <is>
          <t>Scottish Joint Council scheme · 13 factors, 1,000 points</t>
        </is>
      </c>
      <c r="B92" s="16" t="inlineStr">
        <is>
          <t>Knowledge 163 + mental skills and physical co-ordination 143; initiative 104; services to others and resources 156; communication and employees 156; financial 78</t>
        </is>
      </c>
      <c r="C92" s="210" t="n"/>
      <c r="D92" s="210" t="n"/>
      <c r="E92" s="210" t="n"/>
      <c r="F92" s="210" t="n"/>
      <c r="G92" s="210" t="n"/>
      <c r="H92" s="209" t="n"/>
    </row>
    <row r="93" ht="28" customHeight="1">
      <c r="A93" s="13" t="inlineStr">
        <is>
          <t>US OPM Factor Evaluation System · 9 factors, 4,480 points</t>
        </is>
      </c>
      <c r="B93" s="16" t="inlineStr">
        <is>
          <t>Knowledge required 1,850 + complexity 450; supervisory controls and guidelines 1,300; scope &amp; effect 450; personal contacts and purpose 330</t>
        </is>
      </c>
      <c r="C93" s="210" t="n"/>
      <c r="D93" s="210" t="n"/>
      <c r="E93" s="210" t="n"/>
      <c r="F93" s="210" t="n"/>
      <c r="G93" s="210" t="n"/>
      <c r="H93" s="209" t="n"/>
    </row>
    <row r="94" ht="15" customHeight="1"/>
    <row r="95" ht="15" customHeight="1">
      <c r="A95" s="11" t="inlineStr">
        <is>
          <r>
            <rPr>
              <rFont val="Calibri"/>
              <b val="1"/>
              <i val="1"/>
              <color rgb="00595959"/>
              <sz val="10"/>
            </rPr>
            <t>Sources:</t>
          </r>
          <r>
            <rPr>
              <rFont val="Calibri"/>
              <i val="1"/>
              <color rgb="00595959"/>
              <sz val="10"/>
            </rPr>
            <t xml:space="preserve"> S53 NHS · S54 Police Staff Council / NJC · S55 GLPC · S56 SJC · S57 US OPM.</t>
          </r>
        </is>
      </c>
    </row>
    <row r="96" ht="20" customHeight="1">
      <c r="A96" s="6" t="inlineStr">
        <is>
          <t>2. How weights shift with seniority — the Korn Ferry Hay profile</t>
        </is>
      </c>
    </row>
    <row r="97" ht="28" customHeight="1">
      <c r="A97" s="11" t="inlineStr">
        <is>
          <t>Share of Hay points by job type. Secondary source, used to set the slope by level only; the direction matches the official Canada TBS guidance: operations and line roles score relatively high in Accountability, thinking roles in Problem Solving.</t>
        </is>
      </c>
    </row>
    <row r="98" ht="28" customHeight="1">
      <c r="A98" s="12" t="inlineStr">
        <is>
          <t>Job type</t>
        </is>
      </c>
      <c r="B98" s="12" t="inlineStr">
        <is>
          <t>Know-How</t>
        </is>
      </c>
      <c r="C98" s="12" t="inlineStr">
        <is>
          <t>Problem Solving</t>
        </is>
      </c>
      <c r="D98" s="12" t="inlineStr">
        <is>
          <t>Accountability</t>
        </is>
      </c>
      <c r="E98" s="239" t="inlineStr"/>
      <c r="F98" s="239" t="inlineStr"/>
      <c r="G98" s="239" t="inlineStr"/>
      <c r="H98" s="12" t="inlineStr">
        <is>
          <t>Read as</t>
        </is>
      </c>
    </row>
    <row r="99" ht="15" customHeight="1">
      <c r="A99" s="13" t="inlineStr">
        <is>
          <t>Clerical</t>
        </is>
      </c>
      <c r="B99" s="15" t="inlineStr">
        <is>
          <t>73%</t>
        </is>
      </c>
      <c r="C99" s="15" t="inlineStr">
        <is>
          <t>14%</t>
        </is>
      </c>
      <c r="D99" s="15" t="inlineStr">
        <is>
          <t>14%</t>
        </is>
      </c>
      <c r="E99" s="16" t="inlineStr"/>
      <c r="F99" s="16" t="inlineStr"/>
      <c r="G99" s="16" t="inlineStr"/>
      <c r="H99" s="16" t="inlineStr">
        <is>
          <r>
            <rPr>
              <rFont val="Calibri"/>
              <b val="1"/>
              <sz val="10"/>
            </rPr>
            <t>Junior:</t>
          </r>
          <r>
            <rPr>
              <rFont val="Calibri"/>
              <sz val="10"/>
            </rPr>
            <t xml:space="preserve"> the work itself is almost everything</t>
          </r>
        </is>
      </c>
    </row>
    <row r="100" ht="15" customHeight="1">
      <c r="A100" s="13" t="inlineStr">
        <is>
          <t>Trade / technical</t>
        </is>
      </c>
      <c r="B100" s="15" t="inlineStr">
        <is>
          <t>66%</t>
        </is>
      </c>
      <c r="C100" s="15" t="inlineStr">
        <is>
          <t>15%</t>
        </is>
      </c>
      <c r="D100" s="15" t="inlineStr">
        <is>
          <t>19%</t>
        </is>
      </c>
      <c r="E100" s="16" t="inlineStr"/>
      <c r="F100" s="16" t="inlineStr"/>
      <c r="G100" s="16" t="inlineStr"/>
      <c r="H100" s="16" t="inlineStr">
        <is>
          <r>
            <rPr>
              <rFont val="Calibri"/>
              <b val="1"/>
              <sz val="10"/>
            </rPr>
            <t>Junior:</t>
          </r>
          <r>
            <rPr>
              <rFont val="Calibri"/>
              <sz val="10"/>
            </rPr>
            <t xml:space="preserve"> mostly know-how</t>
          </r>
        </is>
      </c>
    </row>
    <row r="101" ht="15" customHeight="1">
      <c r="A101" s="13" t="inlineStr">
        <is>
          <t>Specialist · research scientist</t>
        </is>
      </c>
      <c r="B101" s="15" t="inlineStr">
        <is>
          <t>56%</t>
        </is>
      </c>
      <c r="C101" s="15" t="inlineStr">
        <is>
          <t>28%</t>
        </is>
      </c>
      <c r="D101" s="15" t="inlineStr">
        <is>
          <t>16%</t>
        </is>
      </c>
      <c r="E101" s="16" t="inlineStr"/>
      <c r="F101" s="16" t="inlineStr"/>
      <c r="G101" s="16" t="inlineStr"/>
      <c r="H101" s="16" t="inlineStr">
        <is>
          <r>
            <rPr>
              <rFont val="Calibri"/>
              <b val="1"/>
              <sz val="10"/>
            </rPr>
            <t>Expert:</t>
          </r>
          <r>
            <rPr>
              <rFont val="Calibri"/>
              <sz val="10"/>
            </rPr>
            <t xml:space="preserve"> know-how and problem solving</t>
          </r>
        </is>
      </c>
    </row>
    <row r="102" ht="15" customHeight="1">
      <c r="A102" s="13" t="inlineStr">
        <is>
          <t>'Level' profile · staff functions</t>
        </is>
      </c>
      <c r="B102" s="15" t="inlineStr">
        <is>
          <t>50%</t>
        </is>
      </c>
      <c r="C102" s="15" t="inlineStr">
        <is>
          <t>25%</t>
        </is>
      </c>
      <c r="D102" s="15" t="inlineStr">
        <is>
          <t>25%</t>
        </is>
      </c>
      <c r="E102" s="16" t="inlineStr"/>
      <c r="F102" s="16" t="inlineStr"/>
      <c r="G102" s="16" t="inlineStr"/>
      <c r="H102" s="16" t="inlineStr">
        <is>
          <r>
            <rPr>
              <rFont val="Calibri"/>
              <b val="1"/>
              <sz val="10"/>
            </rPr>
            <t>Professional:</t>
          </r>
          <r>
            <rPr>
              <rFont val="Calibri"/>
              <sz val="10"/>
            </rPr>
            <t xml:space="preserve"> balanced</t>
          </r>
        </is>
      </c>
    </row>
    <row r="103" ht="15" customHeight="1">
      <c r="A103" s="13" t="inlineStr">
        <is>
          <t>Supervisory / line manager</t>
        </is>
      </c>
      <c r="B103" s="15" t="inlineStr">
        <is>
          <t>47%</t>
        </is>
      </c>
      <c r="C103" s="15" t="inlineStr">
        <is>
          <t>21%</t>
        </is>
      </c>
      <c r="D103" s="15" t="inlineStr">
        <is>
          <t>32%</t>
        </is>
      </c>
      <c r="E103" s="16" t="inlineStr"/>
      <c r="F103" s="16" t="inlineStr"/>
      <c r="G103" s="16" t="inlineStr"/>
      <c r="H103" s="16" t="inlineStr">
        <is>
          <r>
            <rPr>
              <rFont val="Calibri"/>
              <b val="1"/>
              <sz val="10"/>
            </rPr>
            <t>Manager:</t>
          </r>
          <r>
            <rPr>
              <rFont val="Calibri"/>
              <sz val="10"/>
            </rPr>
            <t xml:space="preserve"> accountability rises to a third</t>
          </r>
        </is>
      </c>
    </row>
    <row r="104" ht="15" customHeight="1"/>
    <row r="105" ht="41" customHeight="1">
      <c r="A105" s="11" t="inlineStr">
        <is>
          <r>
            <rPr>
              <rFont val="Calibri"/>
              <b val="1"/>
              <i val="1"/>
              <color rgb="00595959"/>
              <sz val="10"/>
            </rPr>
            <t>Sources:</t>
          </r>
          <r>
            <rPr>
              <rFont val="Calibri"/>
              <i val="1"/>
              <color rgb="00595959"/>
              <sz val="10"/>
            </rPr>
            <t xml:space="preserve"> S46, S47 Canada TBS Hay evaluations · S48, S50 Hay typical profiles. S06 Hay short profile · 'Level' profile. Type-of-work shift: Basis: S06 Hay short profile — A-type delivery jobs weight accountability, P-type thinking jobs weight problem solving, L-type are balanced. The ±5 size is an IRIS design rule, kept small so the market defaults stay in control.</t>
          </r>
        </is>
      </c>
    </row>
    <row r="106" ht="20" customHeight="1">
      <c r="A106" s="6" t="inlineStr">
        <is>
          <t>3. Experience &amp; Qualification — why it can be kept low</t>
        </is>
      </c>
    </row>
    <row r="107" ht="15" customHeight="1">
      <c r="A107" s="12" t="inlineStr">
        <is>
          <t>Method or study</t>
        </is>
      </c>
      <c r="B107" s="209" t="n"/>
      <c r="C107" s="12" t="inlineStr">
        <is>
          <t>What it says</t>
        </is>
      </c>
      <c r="D107" s="210" t="n"/>
      <c r="E107" s="210" t="n"/>
      <c r="F107" s="209" t="n"/>
      <c r="G107" s="12" t="inlineStr">
        <is>
          <t>Source</t>
        </is>
      </c>
      <c r="H107" s="209" t="n"/>
    </row>
    <row r="108" ht="41" customHeight="1">
      <c r="A108" s="13" t="inlineStr">
        <is>
          <t>Korn Ferry Hay</t>
        </is>
      </c>
      <c r="B108" s="209" t="n"/>
      <c r="C108" s="16" t="inlineStr">
        <is>
          <r>
            <rPr>
              <rFont val="Calibri"/>
              <b val="1"/>
              <sz val="10"/>
            </rPr>
            <t>Experience sits inside Know-How:</t>
          </r>
          <r>
            <rPr>
              <rFont val="Calibri"/>
              <sz val="10"/>
            </rPr>
            <t xml:space="preserve"> 'the sum total of every kind of knowledge and skill, however acquired' — no separate experience factor</t>
          </r>
        </is>
      </c>
      <c r="D108" s="210" t="n"/>
      <c r="E108" s="210" t="n"/>
      <c r="F108" s="209" t="n"/>
      <c r="G108" s="16" t="inlineStr">
        <is>
          <t>S05, S46, S49 · Canada TBS Executive Group plan; Lincolnshire CC Hay guide</t>
        </is>
      </c>
      <c r="H108" s="209" t="n"/>
    </row>
    <row r="109" ht="54" customHeight="1">
      <c r="A109" s="13" t="inlineStr">
        <is>
          <t>Mercer IPE</t>
        </is>
      </c>
      <c r="B109" s="209" t="n"/>
      <c r="C109" s="16" t="inlineStr">
        <is>
          <r>
            <rPr>
              <rFont val="Calibri"/>
              <b val="1"/>
              <sz val="10"/>
            </rPr>
            <t>Five factors:</t>
          </r>
          <r>
            <rPr>
              <rFont val="Calibri"/>
              <sz val="10"/>
            </rPr>
            <t xml:space="preserve"> Impact, Communication, Innovation, Knowledge, Risk. Knowledge 'may be acquired through formal education and/or work experience' — no separate experience factor</t>
          </r>
        </is>
      </c>
      <c r="D109" s="210" t="n"/>
      <c r="E109" s="210" t="n"/>
      <c r="F109" s="209" t="n"/>
      <c r="G109" s="16" t="inlineStr">
        <is>
          <t>S04, S52 · mercer.com/en-in · IPE factor sheet · third-party copy</t>
        </is>
      </c>
      <c r="H109" s="209" t="n"/>
    </row>
    <row r="110" ht="54" customHeight="1">
      <c r="A110" s="13" t="inlineStr">
        <is>
          <t>WTW Global Grading System</t>
        </is>
      </c>
      <c r="B110" s="209" t="n"/>
      <c r="C110" s="16" t="inlineStr">
        <is>
          <r>
            <rPr>
              <rFont val="Calibri"/>
              <b val="1"/>
              <sz val="10"/>
            </rPr>
            <t>Seven factors:</t>
          </r>
          <r>
            <rPr>
              <rFont val="Calibri"/>
              <sz val="10"/>
            </rPr>
            <t xml:space="preserve"> functional knowledge, business expertise, leadership, problem solving, nature of impact, area of impact, interpersonal skills — experience appears only in grade descriptors</t>
          </r>
        </is>
      </c>
      <c r="D110" s="210" t="n"/>
      <c r="E110" s="210" t="n"/>
      <c r="F110" s="209" t="n"/>
      <c r="G110" s="16" t="inlineStr">
        <is>
          <t>S07 · WTW report to the School Teachers' Review Body, p. 19 · assets.publishing.service.gov.uk</t>
        </is>
      </c>
      <c r="H110" s="209" t="n"/>
    </row>
    <row r="111" ht="28" customHeight="1">
      <c r="A111" s="13" t="inlineStr">
        <is>
          <t>Public point-factor plans above</t>
        </is>
      </c>
      <c r="B111" s="209" t="n"/>
      <c r="C111" s="16" t="inlineStr">
        <is>
          <t>Knowledge factors rate what the job requires, not the person's years; none scores tenure</t>
        </is>
      </c>
      <c r="D111" s="210" t="n"/>
      <c r="E111" s="210" t="n"/>
      <c r="F111" s="209" t="n"/>
      <c r="G111" s="16" t="inlineStr">
        <is>
          <t>S53–S57 · NHS, PSC/NJC, GLPC, SJC, OPM</t>
        </is>
      </c>
      <c r="H111" s="209" t="n"/>
    </row>
    <row r="112" ht="28" customHeight="1">
      <c r="A112" s="13" t="inlineStr">
        <is>
          <t>McKinsey, 2022</t>
        </is>
      </c>
      <c r="B112" s="209" t="n"/>
      <c r="C112" s="16" t="inlineStr">
        <is>
          <t>Hiring for skills is 'more than two times more predictive than hiring for work experience'</t>
        </is>
      </c>
      <c r="D112" s="210" t="n"/>
      <c r="E112" s="210" t="n"/>
      <c r="F112" s="209" t="n"/>
      <c r="G112" s="16" t="inlineStr">
        <is>
          <t>S58 · mckinsey.com — Taking a skills-based approach</t>
        </is>
      </c>
      <c r="H112" s="209" t="n"/>
    </row>
    <row r="113" ht="28" customHeight="1">
      <c r="A113" s="13" t="inlineStr">
        <is>
          <t>Deloitte Human Capital Trends, 2023</t>
        </is>
      </c>
      <c r="B113" s="209" t="n"/>
      <c r="C113" s="16" t="inlineStr">
        <is>
          <t>Promote and deploy on skills 'versus tenure, job history, or network'</t>
        </is>
      </c>
      <c r="D113" s="210" t="n"/>
      <c r="E113" s="210" t="n"/>
      <c r="F113" s="209" t="n"/>
      <c r="G113" s="16" t="inlineStr">
        <is>
          <t>S59 · deloitte.com/us/en/insights</t>
        </is>
      </c>
      <c r="H113" s="209" t="n"/>
    </row>
    <row r="114" ht="28" customHeight="1">
      <c r="A114" s="13" t="inlineStr">
        <is>
          <t>World Economic Forum, 2024</t>
        </is>
      </c>
      <c r="B114" s="209" t="n"/>
      <c r="C114" s="16" t="inlineStr">
        <is>
          <t>Rethink 'educational achievement and previous experience as proxies'</t>
        </is>
      </c>
      <c r="D114" s="210" t="n"/>
      <c r="E114" s="210" t="n"/>
      <c r="F114" s="209" t="n"/>
      <c r="G114" s="16" t="inlineStr">
        <is>
          <t>S60 · weforum.org — skills-first</t>
        </is>
      </c>
      <c r="H114" s="209" t="n"/>
    </row>
    <row r="115" ht="41" customHeight="1">
      <c r="A115" s="13" t="inlineStr">
        <is>
          <t>EY Future of Pay, India 2026</t>
        </is>
      </c>
      <c r="B115" s="209" t="n"/>
      <c r="C115" s="16" t="inlineStr">
        <is>
          <t>India pay moving 'away from tenure-based increases towards skills-led and performance-driven frameworks'</t>
        </is>
      </c>
      <c r="D115" s="210" t="n"/>
      <c r="E115" s="210" t="n"/>
      <c r="F115" s="209" t="n"/>
      <c r="G115" s="16" t="inlineStr">
        <is>
          <t>S61 · peoplematters.in, Feb 2026</t>
        </is>
      </c>
      <c r="H115" s="209" t="n"/>
    </row>
    <row r="116" ht="15" customHeight="1"/>
    <row r="117" ht="20" customHeight="1">
      <c r="A117" s="6" t="inlineStr">
        <is>
          <t>4. Business Impact — how the methods measure it</t>
        </is>
      </c>
    </row>
    <row r="118" ht="15" customHeight="1">
      <c r="A118" s="12" t="inlineStr">
        <is>
          <t>Method</t>
        </is>
      </c>
      <c r="B118" s="209" t="n"/>
      <c r="C118" s="12" t="inlineStr">
        <is>
          <t>How impact is measured</t>
        </is>
      </c>
      <c r="D118" s="210" t="n"/>
      <c r="E118" s="210" t="n"/>
      <c r="F118" s="210" t="n"/>
      <c r="G118" s="209" t="n"/>
      <c r="H118" s="12" t="inlineStr">
        <is>
          <t>Source</t>
        </is>
      </c>
    </row>
    <row r="119" ht="41" customHeight="1">
      <c r="A119" s="13" t="inlineStr">
        <is>
          <t>Korn Ferry Hay</t>
        </is>
      </c>
      <c r="B119" s="209" t="n"/>
      <c r="C119" s="16" t="inlineStr">
        <is>
          <t>Accountability = freedom to act + area / magnitude + nature of impact · remote → contributory → shared → prime; its share rises with seniority</t>
        </is>
      </c>
      <c r="D119" s="210" t="n"/>
      <c r="E119" s="210" t="n"/>
      <c r="F119" s="210" t="n"/>
      <c r="G119" s="209" t="n"/>
      <c r="H119" s="16" t="inlineStr">
        <is>
          <t>S05, S46</t>
        </is>
      </c>
    </row>
    <row r="120" ht="41" customHeight="1">
      <c r="A120" s="13" t="inlineStr">
        <is>
          <t>Mercer IPE</t>
        </is>
      </c>
      <c r="B120" s="209" t="n"/>
      <c r="C120" s="16" t="inlineStr">
        <is>
          <t>Impact = depth and breadth of influence on the organisation, scaled by organisation size; contribution rated limited → some → direct → significant → major</t>
        </is>
      </c>
      <c r="D120" s="210" t="n"/>
      <c r="E120" s="210" t="n"/>
      <c r="F120" s="210" t="n"/>
      <c r="G120" s="209" t="n"/>
      <c r="H120" s="16" t="inlineStr">
        <is>
          <t>S04, S52</t>
        </is>
      </c>
    </row>
    <row r="121" ht="28" customHeight="1">
      <c r="A121" s="13" t="inlineStr">
        <is>
          <t>WTW GGS</t>
        </is>
      </c>
      <c r="B121" s="209" t="n"/>
      <c r="C121" s="16" t="inlineStr">
        <is>
          <r>
            <rPr>
              <rFont val="Calibri"/>
              <b val="1"/>
              <sz val="10"/>
            </rPr>
            <t>Two impact factors:</t>
          </r>
          <r>
            <rPr>
              <rFont val="Calibri"/>
              <sz val="10"/>
            </rPr>
            <t xml:space="preserve"> nature of impact · how the job affects the business and area of impact · which part of the organisation</t>
          </r>
        </is>
      </c>
      <c r="D121" s="210" t="n"/>
      <c r="E121" s="210" t="n"/>
      <c r="F121" s="210" t="n"/>
      <c r="G121" s="209" t="n"/>
      <c r="H121" s="16" t="inlineStr">
        <is>
          <t>S07</t>
        </is>
      </c>
    </row>
    <row r="122" ht="28" customHeight="1">
      <c r="A122" s="13" t="inlineStr">
        <is>
          <t>Public point-factor plans</t>
        </is>
      </c>
      <c r="B122" s="209" t="n"/>
      <c r="C122" s="16" t="inlineStr">
        <is>
          <t>A separate financial / consequences factor carries 7–10% of points · mean 6.7%, OPM none</t>
        </is>
      </c>
      <c r="D122" s="210" t="n"/>
      <c r="E122" s="210" t="n"/>
      <c r="F122" s="210" t="n"/>
      <c r="G122" s="209" t="n"/>
      <c r="H122" s="16" t="inlineStr">
        <is>
          <t>S53–S57</t>
        </is>
      </c>
    </row>
    <row r="123" ht="15" customHeight="1"/>
    <row r="124" ht="20" customHeight="1">
      <c r="A124" s="6" t="inlineStr">
        <is>
          <t>5. IRIS defaults against the benchmark</t>
        </is>
      </c>
    </row>
    <row r="125" ht="67" customHeight="1">
      <c r="A125" s="11" t="inlineStr">
        <is>
          <r>
            <rPr>
              <rFont val="Calibri"/>
              <b val="1"/>
              <i val="1"/>
              <color rgb="00595959"/>
              <sz val="10"/>
            </rPr>
            <t>How IRIS sets its defaults:</t>
          </r>
          <r>
            <rPr>
              <rFont val="Calibri"/>
              <i val="1"/>
              <color rgb="00595959"/>
              <sz val="10"/>
            </rPr>
            <t xml:space="preserve"> each role group is the average of Hay, Mercer IPE and the public plans. Checks: the share of each factor across all IRIS roles is set against the plans' range; the slope by level follows the Hay progression — know-how falls and accountability rises as roles become more senior; Experience &amp; Qualification is a leadership decision held at 10% in Bands A–B and 5% in Bands C–E, which the methods support because none of them scores experience on its own; Business Impact is the nature-of-impact part of Hay's accountability and Mercer's impact, 6–9%, in line with the plans' financial factor; the type of work then moves a weight by ±5 in each department.</t>
          </r>
        </is>
      </c>
    </row>
    <row r="126" ht="41" customHeight="1">
      <c r="A126" s="12" t="inlineStr">
        <is>
          <t>Factor</t>
        </is>
      </c>
      <c r="B126" s="12" t="inlineStr">
        <is>
          <t>IRIS, average of 27 scored roles</t>
        </is>
      </c>
      <c r="C126" s="12" t="inlineStr">
        <is>
          <t>Plans' average</t>
        </is>
      </c>
      <c r="D126" s="12" t="inlineStr">
        <is>
          <t>Plans' range</t>
        </is>
      </c>
      <c r="E126" s="12" t="inlineStr">
        <is>
          <t>Result</t>
        </is>
      </c>
      <c r="F126" s="239" t="inlineStr"/>
      <c r="G126" s="239" t="inlineStr"/>
      <c r="H126" s="12" t="inlineStr">
        <is>
          <t>Why</t>
        </is>
      </c>
    </row>
    <row r="127" ht="28" customHeight="1">
      <c r="A127" s="13" t="inlineStr">
        <is>
          <t>Complexity &amp; Expertise</t>
        </is>
      </c>
      <c r="B127" s="15" t="inlineStr">
        <is>
          <t>52.3%</t>
        </is>
      </c>
      <c r="C127" s="15" t="inlineStr">
        <is>
          <t>42.8%</t>
        </is>
      </c>
      <c r="D127" s="15" t="inlineStr">
        <is>
          <t>38–52%</t>
        </is>
      </c>
      <c r="E127" s="15" t="inlineStr">
        <is>
          <t>Inside</t>
        </is>
      </c>
      <c r="F127" s="16" t="inlineStr"/>
      <c r="G127" s="16" t="inlineStr"/>
      <c r="H127" s="16" t="inlineStr">
        <is>
          <t>The job's knowledge and problem solving — the largest share, as in every plan</t>
        </is>
      </c>
    </row>
    <row r="128" ht="15" customHeight="1">
      <c r="A128" s="13" t="inlineStr">
        <is>
          <t>Autonomy &amp; Decision</t>
        </is>
      </c>
      <c r="B128" s="15" t="inlineStr">
        <is>
          <t>20.0%</t>
        </is>
      </c>
      <c r="C128" s="15" t="inlineStr">
        <is>
          <t>14.9%</t>
        </is>
      </c>
      <c r="D128" s="15" t="inlineStr">
        <is>
          <t>7–30%</t>
        </is>
      </c>
      <c r="E128" s="15" t="inlineStr">
        <is>
          <t>Inside</t>
        </is>
      </c>
      <c r="F128" s="16" t="inlineStr"/>
      <c r="G128" s="16" t="inlineStr"/>
      <c r="H128" s="16" t="inlineStr">
        <is>
          <t>Close to the plans' average</t>
        </is>
      </c>
    </row>
    <row r="129" ht="15" customHeight="1">
      <c r="A129" s="13" t="inlineStr">
        <is>
          <t>Accountability &amp; Impact</t>
        </is>
      </c>
      <c r="B129" s="15" t="inlineStr">
        <is>
          <t>5.7%</t>
        </is>
      </c>
      <c r="C129" s="15" t="inlineStr">
        <is>
          <t>15.1%</t>
        </is>
      </c>
      <c r="D129" s="15" t="inlineStr">
        <is>
          <t>6–20%</t>
        </is>
      </c>
      <c r="E129" s="15" t="inlineStr">
        <is>
          <t>Inside</t>
        </is>
      </c>
      <c r="F129" s="16" t="inlineStr"/>
      <c r="G129" s="16" t="inlineStr"/>
      <c r="H129" s="16" t="inlineStr">
        <is>
          <t>Close to the plans' average; rises with level</t>
        </is>
      </c>
    </row>
    <row r="130" ht="41" customHeight="1">
      <c r="A130" s="13" t="inlineStr">
        <is>
          <t>Leadership &amp; Strategy</t>
        </is>
      </c>
      <c r="B130" s="15" t="inlineStr">
        <is>
          <t>3.5%</t>
        </is>
      </c>
      <c r="C130" s="15" t="inlineStr">
        <is>
          <t>20.6%</t>
        </is>
      </c>
      <c r="D130" s="15" t="inlineStr">
        <is>
          <t>8–30%</t>
        </is>
      </c>
      <c r="E130" s="15" t="inlineStr">
        <is>
          <t>Below</t>
        </is>
      </c>
      <c r="F130" s="16" t="inlineStr"/>
      <c r="G130" s="16" t="inlineStr"/>
      <c r="H130" s="16" t="inlineStr">
        <is>
          <t>IRIS counts people leadership only, so individual contributors score 0–10%; managers and leaders 20–25%, inside the range</t>
        </is>
      </c>
    </row>
    <row r="131" ht="28" customHeight="1">
      <c r="A131" s="13" t="inlineStr">
        <is>
          <t>Business Impact</t>
        </is>
      </c>
      <c r="B131" s="15" t="inlineStr">
        <is>
          <t>9.1%</t>
        </is>
      </c>
      <c r="C131" s="15" t="inlineStr">
        <is>
          <t>6.7%</t>
        </is>
      </c>
      <c r="D131" s="15" t="inlineStr">
        <is>
          <t>0–10%</t>
        </is>
      </c>
      <c r="E131" s="15" t="inlineStr">
        <is>
          <t>Inside</t>
        </is>
      </c>
      <c r="F131" s="16" t="inlineStr"/>
      <c r="G131" s="16" t="inlineStr"/>
      <c r="H131" s="16" t="inlineStr">
        <is>
          <t>The nature-of-impact part of accountability, as in Hay and Mercer IPE; in line with the plans' financial factor</t>
        </is>
      </c>
    </row>
    <row r="132" ht="41" customHeight="1">
      <c r="A132" s="13" t="inlineStr">
        <is>
          <t>Experience &amp; Qualification</t>
        </is>
      </c>
      <c r="B132" s="15" t="inlineStr">
        <is>
          <t>9.4%</t>
        </is>
      </c>
      <c r="C132" s="15" t="inlineStr">
        <is>
          <t>—</t>
        </is>
      </c>
      <c r="D132" s="15" t="inlineStr">
        <is>
          <t>not a separate factor</t>
        </is>
      </c>
      <c r="E132" s="15" t="inlineStr">
        <is>
          <t>Policy</t>
        </is>
      </c>
      <c r="F132" s="16" t="inlineStr"/>
      <c r="G132" s="16" t="inlineStr"/>
      <c r="H132" s="16" t="inlineStr">
        <is>
          <r>
            <rPr>
              <rFont val="Calibri"/>
              <b val="1"/>
              <sz val="10"/>
            </rPr>
            <t>Leadership decision:</t>
          </r>
          <r>
            <rPr>
              <rFont val="Calibri"/>
              <sz val="10"/>
            </rPr>
            <t xml:space="preserve"> 10% in Bands A–B, 5% in Bands C–E — the lowest that still separates a fresher from an experienced hire</t>
          </r>
        </is>
      </c>
    </row>
    <row r="133" ht="15" customHeight="1"/>
    <row r="134" ht="15" customHeight="1">
      <c r="A134" s="11" t="inlineStr">
        <is>
          <t>The default weights by role group are on sheet 1c and the Weightage Matrix; each department's row there can be changed by its leaders.</t>
        </is>
      </c>
    </row>
    <row r="135" ht="28" customHeight="1">
      <c r="A135" s="12" t="inlineStr">
        <is>
          <t>Role group</t>
        </is>
      </c>
      <c r="B135" s="12" t="inlineStr">
        <is>
          <t>Complexity</t>
        </is>
      </c>
      <c r="C135" s="12" t="inlineStr">
        <is>
          <t>Autonomy</t>
        </is>
      </c>
      <c r="D135" s="12" t="inlineStr">
        <is>
          <t>Accountability</t>
        </is>
      </c>
      <c r="E135" s="12" t="inlineStr">
        <is>
          <t>Leadership</t>
        </is>
      </c>
      <c r="F135" s="12" t="inlineStr">
        <is>
          <t>Experience</t>
        </is>
      </c>
      <c r="G135" s="12" t="inlineStr">
        <is>
          <t>Business impact</t>
        </is>
      </c>
      <c r="H135" s="12" t="inlineStr">
        <is>
          <t>Why</t>
        </is>
      </c>
    </row>
    <row r="136" ht="80" customHeight="1">
      <c r="A136" s="13" t="inlineStr">
        <is>
          <t>Band A</t>
        </is>
      </c>
      <c r="B136" s="15" t="inlineStr">
        <is>
          <t>59%</t>
        </is>
      </c>
      <c r="C136" s="15" t="inlineStr">
        <is>
          <t>16%</t>
        </is>
      </c>
      <c r="D136" s="15" t="inlineStr">
        <is>
          <t>9%</t>
        </is>
      </c>
      <c r="E136" s="15" t="inlineStr">
        <is>
          <t>0%</t>
        </is>
      </c>
      <c r="F136" s="15" t="inlineStr">
        <is>
          <t>10%</t>
        </is>
      </c>
      <c r="G136" s="15" t="inlineStr">
        <is>
          <t>6%</t>
        </is>
      </c>
      <c r="H136" s="16" t="inlineStr">
        <is>
          <r>
            <rPr>
              <rFont val="Calibri"/>
              <b val="1"/>
              <sz val="10"/>
            </rPr>
            <t>Junior work is judged on the work itself:</t>
          </r>
          <r>
            <rPr>
              <rFont val="Calibri"/>
              <sz val="10"/>
            </rPr>
            <t xml:space="preserve"> Hay puts know-how at 73% for clerical jobs and Mercer IPE knowledge plus innovation at 61%; leadership is not expected. Sources: S46–S51 Korn Ferry Hay evaluations · S04, S52 Mercer IPE · S53–S57 NHS, UK NJC/PSC, GLPC, SJC and US OPM point-factor plans.</t>
          </r>
        </is>
      </c>
    </row>
    <row r="137" ht="67" customHeight="1">
      <c r="A137" s="13" t="inlineStr">
        <is>
          <t>Band B · IC / POD Lead</t>
        </is>
      </c>
      <c r="B137" s="15" t="inlineStr">
        <is>
          <t>51%</t>
        </is>
      </c>
      <c r="C137" s="15" t="inlineStr">
        <is>
          <t>17%</t>
        </is>
      </c>
      <c r="D137" s="15" t="inlineStr">
        <is>
          <t>10%</t>
        </is>
      </c>
      <c r="E137" s="15" t="inlineStr">
        <is>
          <t>5%</t>
        </is>
      </c>
      <c r="F137" s="15" t="inlineStr">
        <is>
          <t>10%</t>
        </is>
      </c>
      <c r="G137" s="15" t="inlineStr">
        <is>
          <t>7%</t>
        </is>
      </c>
      <c r="H137" s="16" t="inlineStr">
        <is>
          <r>
            <rPr>
              <rFont val="Calibri"/>
              <b val="1"/>
              <sz val="10"/>
            </rPr>
            <t>Professional and expert work:</t>
          </r>
          <r>
            <rPr>
              <rFont val="Calibri"/>
              <sz val="10"/>
            </rPr>
            <t xml:space="preserve"> the knowledge and problem solving the job needs lead, as in Hay's professional profile and Mercer IPE. Sources: S46–S51 Korn Ferry Hay evaluations · S04, S52 Mercer IPE · S53–S57 NHS, UK NJC/PSC, GLPC, SJC and US OPM point-factor plans.</t>
          </r>
        </is>
      </c>
    </row>
    <row r="138" ht="67" customHeight="1">
      <c r="A138" s="13" t="inlineStr">
        <is>
          <t>Band B · People Manager</t>
        </is>
      </c>
      <c r="B138" s="15" t="inlineStr">
        <is>
          <t>37%</t>
        </is>
      </c>
      <c r="C138" s="15" t="inlineStr">
        <is>
          <t>18%</t>
        </is>
      </c>
      <c r="D138" s="15" t="inlineStr">
        <is>
          <t>11%</t>
        </is>
      </c>
      <c r="E138" s="15" t="inlineStr">
        <is>
          <t>15%</t>
        </is>
      </c>
      <c r="F138" s="15" t="inlineStr">
        <is>
          <t>10%</t>
        </is>
      </c>
      <c r="G138" s="15" t="inlineStr">
        <is>
          <t>9%</t>
        </is>
      </c>
      <c r="H138" s="16" t="inlineStr">
        <is>
          <r>
            <rPr>
              <rFont val="Calibri"/>
              <b val="1"/>
              <sz val="10"/>
            </rPr>
            <t>Results come through a team:</t>
          </r>
          <r>
            <rPr>
              <rFont val="Calibri"/>
              <sz val="10"/>
            </rPr>
            <t xml:space="preserve"> leadership 15%, autonomy and accountability rise, as in Hay's supervisory profile, accountability 32%. Sources: S46–S51 Korn Ferry Hay evaluations · S04, S52 Mercer IPE · S53–S57 NHS, UK NJC/PSC, GLPC, SJC and US OPM point-factor plans.</t>
          </r>
        </is>
      </c>
    </row>
    <row r="139" ht="54" customHeight="1">
      <c r="A139" s="13" t="inlineStr">
        <is>
          <t>Band C · Principal specialist</t>
        </is>
      </c>
      <c r="B139" s="15" t="inlineStr">
        <is>
          <t>54%</t>
        </is>
      </c>
      <c r="C139" s="15" t="inlineStr">
        <is>
          <t>18%</t>
        </is>
      </c>
      <c r="D139" s="15" t="inlineStr">
        <is>
          <t>10%</t>
        </is>
      </c>
      <c r="E139" s="15" t="inlineStr">
        <is>
          <t>5%</t>
        </is>
      </c>
      <c r="F139" s="15" t="inlineStr">
        <is>
          <t>5%</t>
        </is>
      </c>
      <c r="G139" s="15" t="inlineStr">
        <is>
          <t>8%</t>
        </is>
      </c>
      <c r="H139" s="16" t="inlineStr">
        <is>
          <r>
            <rPr>
              <rFont val="Calibri"/>
              <b val="1"/>
              <sz val="10"/>
            </rPr>
            <t>Principal authority:</t>
          </r>
          <r>
            <rPr>
              <rFont val="Calibri"/>
              <sz val="10"/>
            </rPr>
            <t xml:space="preserve"> expertise still leads, as in Hay's 'level' profile 50 / 25 / 25; experience 5%. Sources: S46–S51 Korn Ferry Hay evaluations · S04, S52 Mercer IPE · S53–S57 NHS, UK NJC/PSC, GLPC, SJC and US OPM point-factor plans.</t>
          </r>
        </is>
      </c>
    </row>
    <row r="140" ht="67" customHeight="1">
      <c r="A140" s="13" t="inlineStr">
        <is>
          <t>Band C · Head / manager</t>
        </is>
      </c>
      <c r="B140" s="15" t="inlineStr">
        <is>
          <t>43%</t>
        </is>
      </c>
      <c r="C140" s="15" t="inlineStr">
        <is>
          <t>18%</t>
        </is>
      </c>
      <c r="D140" s="15" t="inlineStr">
        <is>
          <t>11%</t>
        </is>
      </c>
      <c r="E140" s="15" t="inlineStr">
        <is>
          <t>15%</t>
        </is>
      </c>
      <c r="F140" s="15" t="inlineStr">
        <is>
          <t>5%</t>
        </is>
      </c>
      <c r="G140" s="15" t="inlineStr">
        <is>
          <t>8%</t>
        </is>
      </c>
      <c r="H140"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141" ht="67" customHeight="1">
      <c r="A141" s="13" t="inlineStr">
        <is>
          <t>Bands D–E</t>
        </is>
      </c>
      <c r="B141" s="15" t="inlineStr">
        <is>
          <t>37%</t>
        </is>
      </c>
      <c r="C141" s="15" t="inlineStr">
        <is>
          <t>19%</t>
        </is>
      </c>
      <c r="D141" s="15" t="inlineStr">
        <is>
          <t>11%</t>
        </is>
      </c>
      <c r="E141" s="15" t="inlineStr">
        <is>
          <t>20%</t>
        </is>
      </c>
      <c r="F141" s="15" t="inlineStr">
        <is>
          <t>5%</t>
        </is>
      </c>
      <c r="G141" s="15" t="inlineStr">
        <is>
          <t>8%</t>
        </is>
      </c>
      <c r="H141" s="16" t="inlineStr">
        <is>
          <t>Business and enterprise leaders, as in Hay's EX-2 and EX-3 evaluations: leadership 20%, autonomy, accountability and impact 38%. Sources: S46–S51 Korn Ferry Hay evaluations · S04, S52 Mercer IPE · S53–S57 NHS, UK NJC/PSC, GLPC, SJC and US OPM point-factor plans.</t>
        </is>
      </c>
    </row>
    <row r="142" ht="54" customHeight="1">
      <c r="A142" s="13" t="inlineStr">
        <is>
          <t>Player-Coach · B+</t>
        </is>
      </c>
      <c r="B142" s="15" t="inlineStr">
        <is>
          <t>44%</t>
        </is>
      </c>
      <c r="C142" s="15" t="inlineStr">
        <is>
          <t>18%</t>
        </is>
      </c>
      <c r="D142" s="15" t="inlineStr">
        <is>
          <t>10%</t>
        </is>
      </c>
      <c r="E142" s="15" t="inlineStr">
        <is>
          <t>10%</t>
        </is>
      </c>
      <c r="F142" s="15" t="inlineStr">
        <is>
          <t>10%</t>
        </is>
      </c>
      <c r="G142" s="15" t="inlineStr">
        <is>
          <t>8%</t>
        </is>
      </c>
      <c r="H142" s="16" t="inlineStr">
        <is>
          <r>
            <rPr>
              <rFont val="Calibri"/>
              <b val="1"/>
              <sz val="10"/>
            </rPr>
            <t>Half expert, half leader:</t>
          </r>
          <r>
            <rPr>
              <rFont val="Calibri"/>
              <sz val="10"/>
            </rPr>
            <t xml:space="preserve"> between the Band B expert and manager rows. Sources: S46–S51 Korn Ferry Hay evaluations · S04, S52 Mercer IPE · S53–S57 NHS, UK NJC/PSC, GLPC, SJC and US OPM point-factor plans.</t>
          </r>
        </is>
      </c>
    </row>
    <row r="143" ht="54" customHeight="1">
      <c r="A143" s="13" t="inlineStr">
        <is>
          <t>Player-Coach · C+</t>
        </is>
      </c>
      <c r="B143" s="15" t="inlineStr">
        <is>
          <t>38%</t>
        </is>
      </c>
      <c r="C143" s="15" t="inlineStr">
        <is>
          <t>18%</t>
        </is>
      </c>
      <c r="D143" s="15" t="inlineStr">
        <is>
          <t>11%</t>
        </is>
      </c>
      <c r="E143" s="15" t="inlineStr">
        <is>
          <t>20%</t>
        </is>
      </c>
      <c r="F143" s="15" t="inlineStr">
        <is>
          <t>5%</t>
        </is>
      </c>
      <c r="G143" s="15" t="inlineStr">
        <is>
          <t>8%</t>
        </is>
      </c>
      <c r="H143" s="16" t="inlineStr">
        <is>
          <r>
            <rPr>
              <rFont val="Calibri"/>
              <b val="1"/>
              <sz val="10"/>
            </rPr>
            <t>Leads a function and still delivers personally:</t>
          </r>
          <r>
            <rPr>
              <rFont val="Calibri"/>
              <sz val="10"/>
            </rPr>
            <t xml:space="preserve"> between the Band C head and Bands D–E rows. Sources: S46–S51 Korn Ferry Hay evaluations · S04, S52 Mercer IPE · S53–S57 NHS, UK NJC/PSC, GLPC, SJC and US OPM point-factor plans.</t>
          </r>
        </is>
      </c>
    </row>
    <row r="144" ht="15" customHeight="1"/>
    <row r="145" ht="20" customHeight="1">
      <c r="A145" s="6" t="inlineStr">
        <is>
          <t>6. Titles — no Director, no Fellow</t>
        </is>
      </c>
    </row>
    <row r="146" ht="15" customHeight="1">
      <c r="A146" s="12" t="inlineStr">
        <is>
          <t>Decision</t>
        </is>
      </c>
      <c r="B146" s="209" t="n"/>
      <c r="C146" s="12" t="inlineStr">
        <is>
          <t>Why</t>
        </is>
      </c>
      <c r="D146" s="210" t="n"/>
      <c r="E146" s="210" t="n"/>
      <c r="F146" s="209" t="n"/>
      <c r="G146" s="12" t="inlineStr">
        <is>
          <t>Source</t>
        </is>
      </c>
      <c r="H146" s="209" t="n"/>
    </row>
    <row r="147" ht="119" customHeight="1">
      <c r="A147" s="13" t="inlineStr">
        <is>
          <t>No 'Director' title</t>
        </is>
      </c>
      <c r="B147" s="209" t="n"/>
      <c r="C147" s="16" t="inlineStr">
        <is>
          <t>IRIS is a listed company. Under the Companies Act 2013, section 2, clause 34, 'director' means a director appointed to the Board; Indian listed IT companies use Associate Vice President and Vice President for senior employees to avoid confusion with the Board and with KMP disclosures. D1 is therefore 'Associate Vice President / Business Head'; market titles show 'Head of Function / AGM' and 'Senior Head / General Manager' where surveys say Director.</t>
        </is>
      </c>
      <c r="D147" s="210" t="n"/>
      <c r="E147" s="210" t="n"/>
      <c r="F147" s="209" t="n"/>
      <c r="G147" s="16" t="inlineStr">
        <is>
          <t>S63 iPleaders, Companies Act 2013 section 2, clause 34 · S64 Kaanoon practitioner Q&amp;A.</t>
        </is>
      </c>
      <c r="H147" s="209" t="n"/>
    </row>
    <row r="148" ht="145" customHeight="1">
      <c r="A148" s="13" t="inlineStr">
        <is>
          <t>No 'Fellow' title — two options for the heads</t>
        </is>
      </c>
      <c r="B148" s="209" t="n"/>
      <c r="C148" s="16" t="inlineStr">
        <is>
          <t>The top individual-contributor step at D1 has two market options. Option A, Chief Specialist, with discipline forms such as Chief Architect and Chief Consultant, is a recognised senior title in India and marks the step above Principal, where Indian IT ladders such as Infosys stop before AVP. Option B, Distinguished Principal, with forms such as Distinguished Architect and Distinguished Engineer, is the global big-tech standard. Until the heads decide, both are shown. The step is rare and set by leadership decision.</t>
        </is>
      </c>
      <c r="D148" s="210" t="n"/>
      <c r="E148" s="210" t="n"/>
      <c r="F148" s="209" t="n"/>
      <c r="G148" s="16" t="inlineStr">
        <is>
          <r>
            <rPr>
              <rFont val="Calibri"/>
              <b val="1"/>
              <sz val="10"/>
            </rPr>
            <t>Option A:</t>
          </r>
          <r>
            <rPr>
              <rFont val="Calibri"/>
              <sz val="10"/>
            </rPr>
            <t xml:space="preserve"> S72 PayScale India tracks 'Chief Architect, IT' as a late-career role · S33 Infosys tops its architect track at Principal Technology Architect before AVP. Option B: S65 Wipro Distinguished Member of Technical Staff · S66 Salesforce Distinguished Engineer · S67 LeadDev · S32 Google, Microsoft, Amazon levels.</t>
          </r>
        </is>
      </c>
      <c r="H148" s="209" t="n"/>
    </row>
    <row r="149" ht="15" customHeight="1"/>
    <row r="150" ht="20" customHeight="1">
      <c r="A150" s="6" t="inlineStr">
        <is>
          <t>7. Limits of the benchmark</t>
        </is>
      </c>
    </row>
    <row r="151" ht="15" customHeight="1">
      <c r="A151" s="207" t="inlineStr">
        <is>
          <t>• Vendor methods — Hay, Mercer IPE, WTW, Radford — keep their weights proprietary; their structure is public, their points are not.</t>
        </is>
      </c>
    </row>
    <row r="152" ht="15" customHeight="1">
      <c r="A152" s="207" t="inlineStr">
        <is>
          <t>• The plans are public-sector schemes with one weight set for every job; IRIS varies weights by level, following Hay's published direction.</t>
        </is>
      </c>
    </row>
    <row r="153" ht="41" customHeight="1">
      <c r="A153" s="207" t="inlineStr">
        <is>
          <t>• Mapping each plan's factors to the six IRIS factors is a judgement, shown above for every plan. The UK local-government figures are the Police Staff Council version; the NJC's own table is not public. The Hay typical profiles come from a secondary source; the Canada evaluations are primary. The Mercer IPE manual is a third-party copy and its level rows are illustrative ratings.</t>
        </is>
      </c>
    </row>
    <row r="154" ht="15" customHeight="1">
      <c r="A154" s="207" t="inlineStr">
        <is>
          <r>
            <rPr>
              <rFont val="Calibri"/>
              <sz val="10"/>
            </rPr>
            <t xml:space="preserve">• </t>
          </r>
          <r>
            <rPr>
              <rFont val="Calibri"/>
              <b val="1"/>
              <sz val="10"/>
            </rPr>
            <t>The calibration panel tests the weights on its anchor roles:</t>
          </r>
          <r>
            <rPr>
              <rFont val="Calibri"/>
              <sz val="10"/>
            </rPr>
            <t xml:space="preserve"> if two raters and the model agree within one level for 80% of anchors, the weights are confirmed.</t>
          </r>
        </is>
      </c>
    </row>
    <row r="155" ht="15" customHeight="1">
      <c r="A155" s="11" t="inlineStr">
        <is>
          <r>
            <rPr>
              <rFont val="Calibri"/>
              <b val="1"/>
              <i val="1"/>
              <color rgb="00595959"/>
              <sz val="10"/>
            </rPr>
            <t>Full links:</t>
          </r>
          <r>
            <rPr>
              <rFont val="Calibri"/>
              <i val="1"/>
              <color rgb="00595959"/>
              <sz val="10"/>
            </rPr>
            <t xml:space="preserve"> source register, HR Super Master sheet 11 and Framework Master M16.</t>
          </r>
        </is>
      </c>
    </row>
  </sheetData>
  <mergeCells count="98">
    <mergeCell ref="A77:H77"/>
    <mergeCell ref="A107:B107"/>
    <mergeCell ref="A6:H6"/>
    <mergeCell ref="C46:H46"/>
    <mergeCell ref="G147:H147"/>
    <mergeCell ref="A66:H66"/>
    <mergeCell ref="C48:H48"/>
    <mergeCell ref="B90:H90"/>
    <mergeCell ref="C107:F107"/>
    <mergeCell ref="A3:H3"/>
    <mergeCell ref="G148:H148"/>
    <mergeCell ref="A95:H95"/>
    <mergeCell ref="G108:H108"/>
    <mergeCell ref="G114:H114"/>
    <mergeCell ref="A5:H5"/>
    <mergeCell ref="A150:H150"/>
    <mergeCell ref="G110:H110"/>
    <mergeCell ref="A97:H97"/>
    <mergeCell ref="A109:B109"/>
    <mergeCell ref="A106:H106"/>
    <mergeCell ref="G113:H113"/>
    <mergeCell ref="A134:H134"/>
    <mergeCell ref="A96:H96"/>
    <mergeCell ref="A152:H152"/>
    <mergeCell ref="A111:B111"/>
    <mergeCell ref="A48:B48"/>
    <mergeCell ref="A67:H67"/>
    <mergeCell ref="A51:H51"/>
    <mergeCell ref="A45:B45"/>
    <mergeCell ref="C43:H43"/>
    <mergeCell ref="B89:H89"/>
    <mergeCell ref="C111:F111"/>
    <mergeCell ref="A124:H124"/>
    <mergeCell ref="G112:H112"/>
    <mergeCell ref="A46:B46"/>
    <mergeCell ref="C118:G118"/>
    <mergeCell ref="A2:H2"/>
    <mergeCell ref="C147:F147"/>
    <mergeCell ref="A42:H42"/>
    <mergeCell ref="A151:H151"/>
    <mergeCell ref="C146:F146"/>
    <mergeCell ref="B88:H88"/>
    <mergeCell ref="A125:H125"/>
    <mergeCell ref="A115:B115"/>
    <mergeCell ref="C148:F148"/>
    <mergeCell ref="C110:F110"/>
    <mergeCell ref="G115:H115"/>
    <mergeCell ref="A49:B49"/>
    <mergeCell ref="B92:H92"/>
    <mergeCell ref="A119:B119"/>
    <mergeCell ref="A153:H153"/>
    <mergeCell ref="C121:G121"/>
    <mergeCell ref="A41:H41"/>
    <mergeCell ref="C108:F108"/>
    <mergeCell ref="A120:B120"/>
    <mergeCell ref="A145:H145"/>
    <mergeCell ref="A154:H154"/>
    <mergeCell ref="A113:B113"/>
    <mergeCell ref="C113:F113"/>
    <mergeCell ref="A76:H76"/>
    <mergeCell ref="C112:F112"/>
    <mergeCell ref="C109:F109"/>
    <mergeCell ref="C122:G122"/>
    <mergeCell ref="A53:H53"/>
    <mergeCell ref="A147:B147"/>
    <mergeCell ref="C114:F114"/>
    <mergeCell ref="A43:B43"/>
    <mergeCell ref="C45:H45"/>
    <mergeCell ref="A68:H68"/>
    <mergeCell ref="A117:H117"/>
    <mergeCell ref="C47:H47"/>
    <mergeCell ref="A148:B148"/>
    <mergeCell ref="C44:H44"/>
    <mergeCell ref="G107:H107"/>
    <mergeCell ref="A1:H1"/>
    <mergeCell ref="A110:B110"/>
    <mergeCell ref="A146:B146"/>
    <mergeCell ref="A78:H78"/>
    <mergeCell ref="A108:B108"/>
    <mergeCell ref="B91:H91"/>
    <mergeCell ref="G146:H146"/>
    <mergeCell ref="A118:B118"/>
    <mergeCell ref="B93:H93"/>
    <mergeCell ref="A105:H105"/>
    <mergeCell ref="A47:B47"/>
    <mergeCell ref="C120:G120"/>
    <mergeCell ref="C49:H49"/>
    <mergeCell ref="C119:G119"/>
    <mergeCell ref="A122:B122"/>
    <mergeCell ref="G109:H109"/>
    <mergeCell ref="A112:B112"/>
    <mergeCell ref="A121:B121"/>
    <mergeCell ref="A52:H52"/>
    <mergeCell ref="C115:F115"/>
    <mergeCell ref="A44:B44"/>
    <mergeCell ref="A155:H155"/>
    <mergeCell ref="G111:H111"/>
    <mergeCell ref="A114:B114"/>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BV40"/>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16" customWidth="1" min="4" max="4"/>
    <col width="7" customWidth="1" min="5" max="5"/>
    <col width="7" customWidth="1" min="6" max="6"/>
    <col width="12" customWidth="1" min="7" max="7"/>
    <col width="20" customWidth="1" min="8" max="8"/>
    <col width="26" customWidth="1" min="9" max="9"/>
    <col width="18" customWidth="1" min="10" max="10"/>
    <col width="24" customWidth="1" min="11" max="11"/>
    <col width="12" customWidth="1" min="12" max="12"/>
    <col width="8" customWidth="1" min="13" max="13"/>
    <col width="16" customWidth="1" min="14" max="14"/>
    <col width="6" customWidth="1" min="15" max="15"/>
    <col width="11" customWidth="1" min="16" max="16"/>
    <col width="10" customWidth="1" min="17" max="17"/>
    <col width="64" customWidth="1" min="18" max="18"/>
    <col width="46" customWidth="1" min="19" max="19"/>
    <col width="30" customWidth="1" min="20" max="20"/>
    <col width="44" customWidth="1" min="21" max="21"/>
    <col width="44" customWidth="1" min="22" max="22"/>
    <col width="60" customWidth="1" min="23" max="23"/>
    <col width="64" customWidth="1" min="24" max="24"/>
    <col width="30" customWidth="1" min="25" max="25"/>
    <col width="10" customWidth="1" min="26" max="26"/>
    <col width="12"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9" customWidth="1" min="44" max="44"/>
    <col width="8" customWidth="1" min="45" max="45"/>
    <col width="44" customWidth="1" min="46" max="46"/>
    <col width="42" customWidth="1" min="47" max="47"/>
    <col width="52" customWidth="1" min="48" max="48"/>
    <col width="58" customWidth="1" min="49" max="49"/>
    <col width="58" customWidth="1" min="50" max="50"/>
    <col width="58" customWidth="1" min="51" max="51"/>
    <col width="58" customWidth="1" min="52" max="52"/>
    <col width="58" customWidth="1" min="53" max="53"/>
    <col width="58" customWidth="1" min="54" max="54"/>
    <col width="34" customWidth="1" min="55" max="55"/>
    <col width="36" customWidth="1" min="56" max="56"/>
    <col width="46" customWidth="1" min="57" max="57"/>
    <col width="9" customWidth="1" min="58" max="58"/>
    <col width="30" customWidth="1" min="59" max="59"/>
    <col width="22" customWidth="1" min="60" max="60"/>
    <col width="11" customWidth="1" min="61" max="61"/>
    <col width="10" customWidth="1" min="62" max="62"/>
    <col width="10" customWidth="1" min="63" max="63"/>
    <col width="10" customWidth="1" min="64" max="64"/>
    <col width="8" customWidth="1" min="65" max="65"/>
    <col width="11" customWidth="1" min="66" max="66"/>
    <col width="26" customWidth="1" min="67" max="67"/>
    <col width="10" customWidth="1" min="68" max="68"/>
    <col width="9" customWidth="1" min="69" max="69"/>
    <col width="20" customWidth="1" min="70" max="70"/>
    <col width="9" customWidth="1" min="71" max="71"/>
    <col width="13" customWidth="1" min="72" max="72"/>
    <col width="11" customWidth="1" min="73" max="73"/>
    <col hidden="1" width="6" customWidth="1" min="74" max="74"/>
  </cols>
  <sheetData>
    <row r="1" ht="34" customHeight="1">
      <c r="A1" s="1" t="inlineStr">
        <is>
          <t>Talent Mapping — role, weightage, score → level, and the justification for every rating</t>
        </is>
      </c>
      <c r="AA1" s="241" t="inlineStr">
        <is>
          <t>◂ Contents</t>
        </is>
      </c>
    </row>
    <row r="2" ht="30" customHeight="1">
      <c r="A2" s="3" t="inlineStr">
        <is>
          <r>
            <rPr>
              <rFont val="Calibri"/>
              <b val="1"/>
              <i val="1"/>
              <color rgb="00404040"/>
              <sz val="10"/>
            </rPr>
            <t>Sheet 2 · Read left to right:</t>
          </r>
          <r>
            <rPr>
              <rFont val="Calibri"/>
              <i val="1"/>
              <color rgb="00404040"/>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 Ratings use the ladder scale: A1 = 1 … E2 = 12. Weights come live from the Weightage Matrix; points, score and indicated level recalculate when a leader edits it. Managers can overwrite the Business Impact rating, in yellow. Pay columns are left blank for HR.</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H4" s="65" t="inlineStr">
        <is>
          <t>Level up</t>
        </is>
      </c>
      <c r="I4" s="66" t="inlineStr">
        <is>
          <t>Level down — pay &amp; title protected</t>
        </is>
      </c>
      <c r="J4" s="67" t="inlineStr">
        <is>
          <t>Newly mapped</t>
        </is>
      </c>
      <c r="K4" s="68" t="inlineStr">
        <is>
          <t>Player-Coach · B+ · C+</t>
        </is>
      </c>
      <c r="L4" s="69" t="inlineStr">
        <is>
          <t>RED = critical input needed · could change or confirm the level</t>
        </is>
      </c>
      <c r="P4" s="71" t="inlineStr">
        <is>
          <t>YELLOW = to complete in validation</t>
        </is>
      </c>
    </row>
    <row r="5" ht="32" customHeight="1">
      <c r="A5" s="73" t="inlineStr">
        <is>
          <t>PERSON</t>
        </is>
      </c>
      <c r="H5" s="74" t="inlineStr">
        <is>
          <t>ROLE — BEFORE → AFTER</t>
        </is>
      </c>
      <c r="R5" s="76" t="inlineStr">
        <is>
          <t>ROLE PROFILE — what they do · role-holders' survey themes + catalogue</t>
        </is>
      </c>
      <c r="S5" s="77" t="inlineStr">
        <is>
          <t>BUSINESS IMPACT — what the person's role means for the business</t>
        </is>
      </c>
      <c r="U5" s="79" t="inlineStr">
        <is>
          <t>RECRUITMENT — REPLACEMENT PROFILE · to hire a like-for-like replacement</t>
        </is>
      </c>
      <c r="Y5" s="81" t="inlineStr">
        <is>
          <t>WEIGHTAGE — rating × weight = points · weights live from the Weightage Matrix</t>
        </is>
      </c>
      <c r="AT5" s="83" t="inlineStr">
        <is>
          <t>HOW THE SCORE BECOMES THE LEVEL</t>
        </is>
      </c>
      <c r="AW5" s="85" t="inlineStr">
        <is>
          <t>JUSTIFICATION FOR EACH RATING — start point, evidence, market standard</t>
        </is>
      </c>
      <c r="BC5" s="87" t="inlineStr">
        <is>
          <t>DATA SOURCES, INPUTS NEEDED &amp; MARKET STANDARD</t>
        </is>
      </c>
      <c r="BI5" s="89" t="inlineStr">
        <is>
          <t>PAY — set later from the pay survey · left blank</t>
        </is>
      </c>
      <c r="BN5" s="73" t="inlineStr">
        <is>
          <t>VALIDATION — manager &amp; HR</t>
        </is>
      </c>
    </row>
    <row r="6" ht="58" customHeight="1">
      <c r="A6" s="91" t="inlineStr">
        <is>
          <t>Emp ID</t>
        </is>
      </c>
      <c r="B6" s="92" t="inlineStr">
        <is>
          <t>Employee name</t>
        </is>
      </c>
      <c r="C6" s="92" t="inlineStr">
        <is>
          <t>Department</t>
        </is>
      </c>
      <c r="D6" s="92" t="inlineStr">
        <is>
          <t>Reporting manager</t>
        </is>
      </c>
      <c r="E6" s="92" t="inlineStr">
        <is>
          <t>Total exp. · yrs</t>
        </is>
      </c>
      <c r="F6" s="92" t="inlineStr">
        <is>
          <t>Exp. at IRIS · yrs</t>
        </is>
      </c>
      <c r="G6" s="92" t="inlineStr">
        <is>
          <t>Qualification</t>
        </is>
      </c>
      <c r="H6" s="93" t="inlineStr">
        <is>
          <t>Current designation</t>
        </is>
      </c>
      <c r="I6" s="12" t="inlineStr">
        <is>
          <t>Final designation</t>
        </is>
      </c>
      <c r="J6" s="12" t="inlineStr">
        <is>
          <t>Job family</t>
        </is>
      </c>
      <c r="K6" s="12" t="inlineStr">
        <is>
          <t>Sub-family · what they do</t>
        </is>
      </c>
      <c r="L6" s="12" t="inlineStr">
        <is>
          <t>Current level</t>
        </is>
      </c>
      <c r="M6" s="12" t="inlineStr">
        <is>
          <t>FINAL LEVEL</t>
        </is>
      </c>
      <c r="N6" s="12" t="inlineStr">
        <is>
          <t>Level title</t>
        </is>
      </c>
      <c r="O6" s="12" t="inlineStr">
        <is>
          <t>Band</t>
        </is>
      </c>
      <c r="P6" s="12" t="inlineStr">
        <is>
          <t>Track</t>
        </is>
      </c>
      <c r="Q6" s="12" t="inlineStr">
        <is>
          <t>Change vs current</t>
        </is>
      </c>
      <c r="R6" s="94" t="inlineStr">
        <is>
          <t>Role profile — what they do, responsibilities &amp; competencies required</t>
        </is>
      </c>
      <c r="S6" s="95" t="inlineStr">
        <is>
          <t>Business impact — from survey and data</t>
        </is>
      </c>
      <c r="T6" s="96" t="inlineStr">
        <is>
          <t>Business impact — from manager / head · to complete</t>
        </is>
      </c>
      <c r="U6" s="97" t="inlineStr">
        <is>
          <t>Replacement — what they do · simple</t>
        </is>
      </c>
      <c r="V6" s="98" t="inlineStr">
        <is>
          <t>Hire equivalent · external market</t>
        </is>
      </c>
      <c r="W6" s="98" t="inlineStr">
        <is>
          <t>Competencies &amp; skill level to hire for</t>
        </is>
      </c>
      <c r="X6" s="98" t="inlineStr">
        <is>
          <t>Interview questions for the perfect fit</t>
        </is>
      </c>
      <c r="Y6" s="99" t="inlineStr">
        <is>
          <t>Weight row — Weightage Matrix</t>
        </is>
      </c>
      <c r="Z6" s="100" t="inlineStr">
        <is>
          <t>Complexity rating</t>
        </is>
      </c>
      <c r="AA6" s="100" t="inlineStr">
        <is>
          <t>Complexity weight</t>
        </is>
      </c>
      <c r="AB6" s="100" t="inlineStr">
        <is>
          <t>Complexity points</t>
        </is>
      </c>
      <c r="AC6" s="100" t="inlineStr">
        <is>
          <t>Autonomy rating</t>
        </is>
      </c>
      <c r="AD6" s="100" t="inlineStr">
        <is>
          <t>Autonomy weight</t>
        </is>
      </c>
      <c r="AE6" s="100" t="inlineStr">
        <is>
          <t>Autonomy points</t>
        </is>
      </c>
      <c r="AF6" s="100" t="inlineStr">
        <is>
          <t>Accountab. rating</t>
        </is>
      </c>
      <c r="AG6" s="100" t="inlineStr">
        <is>
          <t>Accountab. weight</t>
        </is>
      </c>
      <c r="AH6" s="100" t="inlineStr">
        <is>
          <t>Accountab. points</t>
        </is>
      </c>
      <c r="AI6" s="100" t="inlineStr">
        <is>
          <t>Leadership rating</t>
        </is>
      </c>
      <c r="AJ6" s="100" t="inlineStr">
        <is>
          <t>Leadership weight</t>
        </is>
      </c>
      <c r="AK6" s="100" t="inlineStr">
        <is>
          <t>Leadership points</t>
        </is>
      </c>
      <c r="AL6" s="100" t="inlineStr">
        <is>
          <t>Exp + Qual rating</t>
        </is>
      </c>
      <c r="AM6" s="100" t="inlineStr">
        <is>
          <t>Exp + Qual weight</t>
        </is>
      </c>
      <c r="AN6" s="100" t="inlineStr">
        <is>
          <t>Exp + Qual points</t>
        </is>
      </c>
      <c r="AO6" s="100" t="inlineStr">
        <is>
          <t>Bus. Impact rating</t>
        </is>
      </c>
      <c r="AP6" s="100" t="inlineStr">
        <is>
          <t>Bus. Impact weight</t>
        </is>
      </c>
      <c r="AQ6" s="100" t="inlineStr">
        <is>
          <t>Bus. Impact points</t>
        </is>
      </c>
      <c r="AR6" s="100" t="inlineStr">
        <is>
          <t>WEIGHTED SCORE = Σ points</t>
        </is>
      </c>
      <c r="AS6" s="100" t="inlineStr">
        <is>
          <t>Level the score indicates</t>
        </is>
      </c>
      <c r="AT6" s="101" t="inlineStr">
        <is>
          <t>Why these weights</t>
        </is>
      </c>
      <c r="AU6" s="102" t="inlineStr">
        <is>
          <t>Calculation</t>
        </is>
      </c>
      <c r="AV6" s="102" t="inlineStr">
        <is>
          <t>Gates, limits &amp; Player-Coach transition steps applied — with the numbers</t>
        </is>
      </c>
      <c r="AW6" s="103" t="inlineStr">
        <is>
          <t>Complexity &amp; Expertise — justification</t>
        </is>
      </c>
      <c r="AX6" s="104" t="inlineStr">
        <is>
          <t>Autonomy &amp; Decision — justification</t>
        </is>
      </c>
      <c r="AY6" s="104" t="inlineStr">
        <is>
          <t>Accountability &amp; Impact — justification</t>
        </is>
      </c>
      <c r="AZ6" s="104" t="inlineStr">
        <is>
          <t>Leadership &amp; Strategy — justification</t>
        </is>
      </c>
      <c r="BA6" s="104" t="inlineStr">
        <is>
          <t>Experience &amp; Qualification — justification</t>
        </is>
      </c>
      <c r="BB6" s="104" t="inlineStr">
        <is>
          <t>Business Impact — justification</t>
        </is>
      </c>
      <c r="BC6" s="105" t="inlineStr">
        <is>
          <t>ADDITIONAL INPUTS NEEDED — what, and who provides it</t>
        </is>
      </c>
      <c r="BD6" s="106" t="inlineStr">
        <is>
          <t>Data used for this person</t>
        </is>
      </c>
      <c r="BE6" s="106" t="inlineStr">
        <is>
          <t>Market standard for this role and level</t>
        </is>
      </c>
      <c r="BF6" s="106" t="inlineStr">
        <is>
          <t>Confidence</t>
        </is>
      </c>
      <c r="BG6" s="106" t="inlineStr">
        <is>
          <t>Points to confirm</t>
        </is>
      </c>
      <c r="BH6" s="106" t="inlineStr">
        <is>
          <t>Player-Coach / calibration flag</t>
        </is>
      </c>
      <c r="BI6" s="107" t="inlineStr">
        <is>
          <t>Current fixed pay · annual CTC</t>
        </is>
      </c>
      <c r="BJ6" s="108" t="inlineStr">
        <is>
          <t>Proposed range — minimum</t>
        </is>
      </c>
      <c r="BK6" s="108" t="inlineStr">
        <is>
          <t>Proposed range — midpoint</t>
        </is>
      </c>
      <c r="BL6" s="108" t="inlineStr">
        <is>
          <t>Proposed range — maximum</t>
        </is>
      </c>
      <c r="BM6" s="108" t="inlineStr">
        <is>
          <t>Compa-ratio</t>
        </is>
      </c>
      <c r="BN6" s="91" t="inlineStr">
        <is>
          <t>Manager validation</t>
        </is>
      </c>
      <c r="BO6" s="92" t="inlineStr">
        <is>
          <t>Manager comment / proposed change</t>
        </is>
      </c>
      <c r="BP6" s="92" t="inlineStr">
        <is>
          <t>HR decision</t>
        </is>
      </c>
      <c r="BQ6" s="92" t="inlineStr">
        <is>
          <t>Approved level</t>
        </is>
      </c>
      <c r="BR6" s="92" t="inlineStr">
        <is>
          <t>Approved designation</t>
        </is>
      </c>
      <c r="BS6" s="92" t="inlineStr">
        <is>
          <t>Pay / title protection · Y/N</t>
        </is>
      </c>
      <c r="BT6" s="92" t="inlineStr">
        <is>
          <t>Reviewer</t>
        </is>
      </c>
      <c r="BU6" s="92" t="inlineStr">
        <is>
          <t>Decision date</t>
        </is>
      </c>
      <c r="BV6" s="92" t="inlineStr">
        <is>
          <t>Bus. Impact — model start</t>
        </is>
      </c>
    </row>
    <row r="7" ht="340" customHeight="1">
      <c r="A7" s="109" t="inlineStr">
        <is>
          <t>IRISDT0012</t>
        </is>
      </c>
      <c r="B7" s="110" t="inlineStr">
        <is>
          <t>Jeevan Khokale</t>
        </is>
      </c>
      <c r="C7" s="111" t="inlineStr">
        <is>
          <t>Datatech - Outreach</t>
        </is>
      </c>
      <c r="D7" s="111" t="inlineStr">
        <is>
          <t>Raghin Nair</t>
        </is>
      </c>
      <c r="E7" s="112" t="n">
        <v>7.9</v>
      </c>
      <c r="F7" s="112" t="n">
        <v>0.7</v>
      </c>
      <c r="G7" s="111" t="inlineStr">
        <is>
          <t>MBA</t>
        </is>
      </c>
      <c r="H7" s="113" t="inlineStr">
        <is>
          <t>Program Manager</t>
        </is>
      </c>
      <c r="I7" s="114" t="inlineStr">
        <is>
          <t>Senior Program Specialist – POD Lead</t>
        </is>
      </c>
      <c r="J7" s="115" t="inlineStr">
        <is>
          <t>Sales &amp; Business Development</t>
        </is>
      </c>
      <c r="K7" s="115" t="inlineStr">
        <is>
          <t>Field Outreach &amp; Programme Sales</t>
        </is>
      </c>
      <c r="L7" s="115" t="inlineStr">
        <is>
          <t>L5 – Manager</t>
        </is>
      </c>
      <c r="M7" s="116" t="inlineStr">
        <is>
          <t>B2</t>
        </is>
      </c>
      <c r="N7" s="18" t="inlineStr">
        <is>
          <t>Senior Specialist · POD Lead</t>
        </is>
      </c>
      <c r="O7" s="20" t="inlineStr">
        <is>
          <t>B</t>
        </is>
      </c>
      <c r="P7" s="115" t="inlineStr">
        <is>
          <t>POD Lead</t>
        </is>
      </c>
      <c r="Q7" s="117" t="inlineStr">
        <is>
          <t>• Same level</t>
        </is>
      </c>
      <c r="R7" s="118" t="inlineStr">
        <is>
          <r>
            <rPr>
              <rFont val="Calibri"/>
              <b val="1"/>
              <sz val="10"/>
            </rPr>
            <t>WHAT THE ROLE DOES:</t>
          </r>
          <r>
            <rPr>
              <rFont val="Calibri"/>
              <sz val="10"/>
            </rPr>
            <t xml:space="preserve"> Onboards MSMEs and partners in the field; generates programme leads and engagement. At B2: deep domain expertise, or one team.
</t>
          </r>
          <r>
            <rPr>
              <rFont val="Calibri"/>
              <b val="1"/>
              <sz val="10"/>
            </rPr>
            <t>Common themes in sub-family holders, all levels' answers:</t>
          </r>
          <r>
            <rPr>
              <rFont val="Calibri"/>
              <sz val="10"/>
            </rPr>
            <t xml:space="preserve"> msme · business · relationships · building · partners · services
</t>
          </r>
          <r>
            <rPr>
              <rFont val="Calibri"/>
              <b val="1"/>
              <sz val="10"/>
            </rPr>
            <t>KEY RESPONSIBILITIES:</t>
          </r>
          <r>
            <rPr>
              <rFont val="Calibri"/>
              <sz val="10"/>
            </rPr>
            <t xml:space="preserve"> Onboards MSMEs and partners in the field; generates programme leads and engagement; Hardest problems in the domain; One team or a client portfolio
</t>
          </r>
          <r>
            <rPr>
              <rFont val="Calibri"/>
              <b val="1"/>
              <sz val="10"/>
            </rPr>
            <t>Common themes in sub-family holders, all levels' answers:</t>
          </r>
          <r>
            <rPr>
              <rFont val="Calibri"/>
              <sz val="10"/>
            </rPr>
            <t xml:space="preserve"> business · loan · management · development · relationship · lead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sales · business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business · am · opportunities · accountable · msme · loan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leads · identify · business · potential · follow · sales
</t>
          </r>
          <r>
            <rPr>
              <rFont val="Calibri"/>
              <b val="1"/>
              <sz val="10"/>
            </rPr>
            <t>SKILLS &amp; KNOWLEDGE · role-holders:</t>
          </r>
          <r>
            <rPr>
              <rFont val="Calibri"/>
              <sz val="10"/>
            </rPr>
            <t xml:space="preserve"> Sales · Business development
</t>
          </r>
          <r>
            <rPr>
              <rFont val="Calibri"/>
              <b val="1"/>
              <sz val="10"/>
            </rPr>
            <t>TOOLS &amp; SYSTEMS:</t>
          </r>
          <r>
            <rPr>
              <rFont val="Calibri"/>
              <sz val="10"/>
            </rPr>
            <t xml:space="preserve"> CRM · WhatsApp · email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1 answered the survey; sub-family 6 answered; catalogue RC-157</t>
          </r>
        </is>
      </c>
      <c r="S7"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1 direct report.
</t>
          </r>
          <r>
            <rPr>
              <rFont val="Calibri"/>
              <b val="1"/>
              <sz val="10"/>
            </rPr>
            <t>If the work is missed · role-holders' themes:</t>
          </r>
          <r>
            <rPr>
              <rFont val="Calibri"/>
              <sz val="10"/>
            </rPr>
            <t xml:space="preserve"> business · customer · lead · delays.
Manager talent mapping — Latest rating: 3 · Potential: Medium · 9-Box Grid placement: Core Contributor.</t>
          </r>
        </is>
      </c>
      <c r="T7" s="120" t="n"/>
      <c r="U7" s="121" t="inlineStr">
        <is>
          <r>
            <rPr>
              <rFont val="Calibri"/>
              <sz val="10"/>
            </rPr>
            <t xml:space="preserve">Senior Program Specialist – POD Lead in Datatech - Outreach · Datatech, B2 — POD Lead.
</t>
          </r>
          <r>
            <rPr>
              <rFont val="Calibri"/>
              <b val="1"/>
              <sz val="10"/>
            </rPr>
            <t>The work:</t>
          </r>
          <r>
            <rPr>
              <rFont val="Calibri"/>
              <sz val="10"/>
            </rPr>
            <t xml:space="preserve"> Onboards MSMEs and partners in the field; generates programme leads and engagement.
At this level the role owns deep domain expertise, or one team.
</t>
          </r>
          <r>
            <rPr>
              <rFont val="Calibri"/>
              <b val="1"/>
              <sz val="10"/>
            </rPr>
            <t>Key responsibilities:</t>
          </r>
          <r>
            <rPr>
              <rFont val="Calibri"/>
              <sz val="10"/>
            </rPr>
            <t xml:space="preserve"> Onboards MSMEs and partners in the field; generates programme leads and engagement; Hardest problems in the domain; One team or a client portfolio.
</t>
          </r>
          <r>
            <rPr>
              <rFont val="Calibri"/>
              <b val="1"/>
              <sz val="10"/>
            </rPr>
            <t>Holders describe it with:</t>
          </r>
          <r>
            <rPr>
              <rFont val="Calibri"/>
              <sz val="10"/>
            </rPr>
            <t xml:space="preserve"> business · loan · management · development · relationship · lead.
Leads 1 direct report.</t>
          </r>
        </is>
      </c>
      <c r="V7" s="122" t="inlineStr">
        <is>
          <r>
            <rPr>
              <rFont val="Calibri"/>
              <b val="1"/>
              <sz val="10"/>
            </rPr>
            <t>Hire as:</t>
          </r>
          <r>
            <rPr>
              <rFont val="Calibri"/>
              <sz val="10"/>
            </rPr>
            <t xml:space="preserve"> Senior Account Executive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preferred from B2
</t>
          </r>
          <r>
            <rPr>
              <rFont val="Calibri"/>
              <b val="1"/>
              <sz val="10"/>
            </rPr>
            <t>Equivalent titles at peers:</t>
          </r>
          <r>
            <rPr>
              <rFont val="Calibri"/>
              <sz val="10"/>
            </rPr>
            <t xml:space="preserve"> IRIS Vs Competitor Benchmark — SaaS sales ladder — IC – Mid-Market AE · IRIS Vs Competitor Benchmark — SaaS sales ladder — management – Sales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7" s="122" t="inlineStr">
        <is>
          <r>
            <rPr>
              <rFont val="Calibri"/>
              <sz val="10"/>
            </rPr>
            <t xml:space="preserve">FUNCTIONAL — skill level 4 of 5 · Advanced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Sales · Business development
</t>
          </r>
          <r>
            <rPr>
              <rFont val="Calibri"/>
              <b val="1"/>
              <sz val="10"/>
            </rPr>
            <t>TOOLS:</t>
          </r>
          <r>
            <rPr>
              <rFont val="Calibri"/>
              <sz val="10"/>
            </rPr>
            <t xml:space="preserve"> CRM · WhatsApp · email
★ = must-have for the family. Scale: 1 Awareness · 2 Working · 3 Practitioner · 4 Advanced · 5 Expert.</t>
          </r>
        </is>
      </c>
      <c r="X7" s="122" t="inlineStr">
        <is>
          <r>
            <rPr>
              <rFont val="Calibri"/>
              <sz val="10"/>
            </rPr>
            <t xml:space="preserve">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7" s="123" t="inlineStr">
        <is>
          <t>Datatech · Datatech - Outreach · Band B · Expert / POD Lead</t>
        </is>
      </c>
      <c r="Z7" s="124" t="n">
        <v>5</v>
      </c>
      <c r="AA7" s="125">
        <f>IFERROR(INDEX(WM_C,MATCH($Y7,WM_KEY,0)),"")</f>
        <v>0.46</v>
      </c>
      <c r="AB7" s="126">
        <f>IF(Z7="","",Z7*AA7)</f>
        <v>2.3</v>
      </c>
      <c r="AC7" s="124" t="n">
        <v>5</v>
      </c>
      <c r="AD7" s="125">
        <f>IFERROR(INDEX(WM_AU,MATCH($Y7,WM_KEY,0)),"")</f>
        <v>0.22</v>
      </c>
      <c r="AE7" s="126">
        <f>IF(AC7="","",AC7*AD7)</f>
        <v>1.1</v>
      </c>
      <c r="AF7" s="124" t="n">
        <v>4</v>
      </c>
      <c r="AG7" s="125">
        <f>IFERROR(INDEX(WM_AC,MATCH($Y7,WM_KEY,0)),"")</f>
        <v>0.05</v>
      </c>
      <c r="AH7" s="126">
        <f>IF(AF7="","",AF7*AG7)</f>
        <v>0.2</v>
      </c>
      <c r="AI7" s="124" t="n">
        <v>4</v>
      </c>
      <c r="AJ7" s="125">
        <f>IFERROR(INDEX(WM_L,MATCH($Y7,WM_KEY,0)),"")</f>
        <v>0.05</v>
      </c>
      <c r="AK7" s="126">
        <f>IF(AI7="","",AI7*AJ7)</f>
        <v>0.2</v>
      </c>
      <c r="AL7" s="124" t="n">
        <v>5.5</v>
      </c>
      <c r="AM7" s="125">
        <f>IFERROR(INDEX(WM_E,MATCH($Y7,WM_KEY,0)),"")</f>
        <v>0.1</v>
      </c>
      <c r="AN7" s="126">
        <f>IF(AL7="","",AL7*AM7)</f>
        <v>0.55</v>
      </c>
      <c r="AO7" s="127" t="n">
        <v>4</v>
      </c>
      <c r="AP7" s="125">
        <f>IFERROR(INDEX(WM_BI,MATCH($Y7,WM_KEY,0)),"")</f>
        <v>0.12</v>
      </c>
      <c r="AQ7" s="126">
        <f>IF(AO7="","",AO7*AP7)</f>
        <v>0.48</v>
      </c>
      <c r="AR7" s="126">
        <f>IF(COUNT(AB7,AE7,AH7,AK7,AN7,AQ7)&lt;6,"",SUM(AB7,AE7,AH7,AK7,AN7,AQ7))</f>
        <v>4.83</v>
      </c>
      <c r="AS7" s="128" t="str">
        <f>IF(AR7="","",INDEX({"A1","A2","A3","B1","B2","B3","C1","C2","D1","D2","E1","E2"},MAX(1,MIN(12,ROUND(AR7,0)))))</f>
        <v>B2</v>
      </c>
      <c r="AT7" s="129"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7" s="130" t="inlineStr">
        <is>
          <r>
            <rPr>
              <rFont val="Calibri"/>
              <b val="1"/>
              <sz val="10"/>
            </rPr>
            <t>At build:</t>
          </r>
          <r>
            <rPr>
              <rFont val="Calibri"/>
              <sz val="10"/>
            </rPr>
            <t xml:space="preserve"> Complexity 2.30 + Autonomy 1.10 + Accountability 0.20 + Leadership 0.20 + Experience 0.55 + Business impact 0.48
= 4.83 points → nearest level 5 = B2
</t>
          </r>
          <r>
            <rPr>
              <rFont val="Calibri"/>
              <b val="1"/>
              <sz val="10"/>
            </rPr>
            <t>Final level:</t>
          </r>
          <r>
            <rPr>
              <rFont val="Calibri"/>
              <sz val="10"/>
            </rPr>
            <t xml:space="preserve"> B2 · same as the score</t>
          </r>
        </is>
      </c>
      <c r="AV7" s="130" t="inlineStr">
        <is>
          <r>
            <rPr>
              <rFont val="Calibri"/>
              <b val="1"/>
              <sz val="10"/>
            </rPr>
            <t>No rule applied:</t>
          </r>
          <r>
            <rPr>
              <rFont val="Calibri"/>
              <sz val="10"/>
            </rPr>
            <t xml:space="preserve"> the score decides.</t>
          </r>
        </is>
      </c>
      <c r="AW7" s="131"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Combines MSME sales, DIC / association engagement, channel partners; verifies GST / Udyam data → moved down 1
</t>
          </r>
          <r>
            <rPr>
              <rFont val="Calibri"/>
              <b val="1"/>
              <sz val="10"/>
            </rPr>
            <t>KRA:</t>
          </r>
          <r>
            <rPr>
              <rFont val="Calibri"/>
              <sz val="10"/>
            </rPr>
            <t xml:space="preserve"> “1. MSME Onboarding - Onboard minimum 70 MSMEs per month, 210 per quarter - Weightage: 20% 2. Business Loan Applications - Submit 90 loan…”
</t>
          </r>
          <r>
            <rPr>
              <rFont val="Calibri"/>
              <b val="1"/>
              <sz val="10"/>
            </rPr>
            <t>Market:</t>
          </r>
          <r>
            <rPr>
              <rFont val="Calibri"/>
              <sz val="10"/>
            </rPr>
            <t xml:space="preserve"> B2 = Hardest problems in the domain</t>
          </r>
        </is>
      </c>
      <c r="AX7" s="132"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A2:</t>
          </r>
          <r>
            <rPr>
              <rFont val="Calibri"/>
              <sz val="10"/>
            </rPr>
            <t xml:space="preserve"> Identifies and approaches prospects, initiates conversations, follows up leads → moved down 1
</t>
          </r>
          <r>
            <rPr>
              <rFont val="Calibri"/>
              <b val="1"/>
              <sz val="10"/>
            </rPr>
            <t>Market:</t>
          </r>
          <r>
            <rPr>
              <rFont val="Calibri"/>
              <sz val="10"/>
            </rPr>
            <t xml:space="preserve"> B2 = Allocates people and sets team priorities</t>
          </r>
        </is>
      </c>
      <c r="AY7" s="132" t="inlineStr">
        <is>
          <r>
            <rPr>
              <rFont val="Calibri"/>
              <sz val="10"/>
            </rPr>
            <t xml:space="preserve">Rated 4 of 12
</t>
          </r>
          <r>
            <rPr>
              <rFont val="Calibri"/>
              <b val="1"/>
              <sz val="10"/>
            </rPr>
            <t>Start:</t>
          </r>
          <r>
            <rPr>
              <rFont val="Calibri"/>
              <sz val="10"/>
            </rPr>
            <t xml:space="preserve"> 4.8 · senior manager / lead specialist title; 1 direct report
</t>
          </r>
          <r>
            <rPr>
              <rFont val="Calibri"/>
              <b val="1"/>
              <sz val="10"/>
            </rPr>
            <t>Evidence reads like A3:</t>
          </r>
          <r>
            <rPr>
              <rFont val="Calibri"/>
              <sz val="10"/>
            </rPr>
            <t xml:space="preserve"> Customer acquisition and customer relationships; missed work loses business → moved down 0.8
</t>
          </r>
          <r>
            <rPr>
              <rFont val="Calibri"/>
              <b val="1"/>
              <sz val="10"/>
            </rPr>
            <t>KRA:</t>
          </r>
          <r>
            <rPr>
              <rFont val="Calibri"/>
              <sz val="10"/>
            </rPr>
            <t xml:space="preserve"> “1. MSME Onboarding - Onboard minimum 70 MSMEs per month, 210 per quarter - Weightage: 20% 2. Business Loan Applications - Submit 90 loan…”
</t>
          </r>
          <r>
            <rPr>
              <rFont val="Calibri"/>
              <b val="1"/>
              <sz val="10"/>
            </rPr>
            <t>Market:</t>
          </r>
          <r>
            <rPr>
              <rFont val="Calibri"/>
              <sz val="10"/>
            </rPr>
            <t xml:space="preserve"> B1 = A domain or a small team</t>
          </r>
        </is>
      </c>
      <c r="AZ7" s="132" t="inlineStr">
        <is>
          <r>
            <rPr>
              <rFont val="Calibri"/>
              <sz val="10"/>
            </rPr>
            <t xml:space="preserve">Rated 4 of 12
</t>
          </r>
          <r>
            <rPr>
              <rFont val="Calibri"/>
              <b val="1"/>
              <sz val="10"/>
            </rPr>
            <t>Start:</t>
          </r>
          <r>
            <rPr>
              <rFont val="Calibri"/>
              <sz val="10"/>
            </rPr>
            <t xml:space="preserve"> 5.0
</t>
          </r>
          <r>
            <rPr>
              <rFont val="Calibri"/>
              <b val="1"/>
              <sz val="10"/>
            </rPr>
            <t>Evidence reads like A2:</t>
          </r>
          <r>
            <rPr>
              <rFont val="Calibri"/>
              <sz val="10"/>
            </rPr>
            <t xml:space="preserve"> No guidance of others described; HR shows 1 report → moved down 1
</t>
          </r>
          <r>
            <rPr>
              <rFont val="Calibri"/>
              <b val="1"/>
              <sz val="10"/>
            </rPr>
            <t>Team:</t>
          </r>
          <r>
            <rPr>
              <rFont val="Calibri"/>
              <sz val="10"/>
            </rPr>
            <t xml:space="preserve"> 1 direct report · POD Lead
</t>
          </r>
          <r>
            <rPr>
              <rFont val="Calibri"/>
              <b val="1"/>
              <sz val="10"/>
            </rPr>
            <t>Market:</t>
          </r>
          <r>
            <rPr>
              <rFont val="Calibri"/>
              <sz val="10"/>
            </rPr>
            <t xml:space="preserve"> B1 = IC: mentors and reviews · People: hands-on team lead of 3–5</t>
          </r>
        </is>
      </c>
      <c r="BA7" s="132" t="inlineStr">
        <is>
          <r>
            <rPr>
              <rFont val="Calibri"/>
              <sz val="10"/>
            </rPr>
            <t xml:space="preserve">Rated 5.5 of 12 · between B2 and B3
</t>
          </r>
          <r>
            <rPr>
              <rFont val="Calibri"/>
              <b val="1"/>
              <sz val="10"/>
            </rPr>
            <t>Experience:</t>
          </r>
          <r>
            <rPr>
              <rFont val="Calibri"/>
              <sz val="10"/>
            </rPr>
            <t xml:space="preserve"> 7.9 yrs total · 7.2 before IRIS + 0.7 at IRIS = 5.2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B2 roles typically have 6–10 yrs · IRIS guide 6–9</t>
          </r>
        </is>
      </c>
      <c r="BB7"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7" s="133" t="inlineStr"/>
      <c r="BD7" s="134" t="inlineStr">
        <is>
          <t>✓ HRIS: 7.9 yrs, MBA, 1 direct report
✓ Survey: 20 of 20 questions answered
✓ KRAs: manager-set, quarterly
✓ Manager mapping: rating, potential, 9-box
✗ Job description: not on file</t>
        </is>
      </c>
      <c r="BE7" s="134" t="inlineStr">
        <is>
          <r>
            <rPr>
              <rFont val="Calibri"/>
              <b val="1"/>
              <sz val="10"/>
            </rPr>
            <t>Market level:</t>
          </r>
          <r>
            <rPr>
              <rFont val="Calibri"/>
              <sz val="10"/>
            </rPr>
            <t xml:space="preserve"> P4 / M3 · SFIA 4–5
</t>
          </r>
          <r>
            <rPr>
              <rFont val="Calibri"/>
              <b val="1"/>
              <sz val="10"/>
            </rPr>
            <t>Typical title:</t>
          </r>
          <r>
            <rPr>
              <rFont val="Calibri"/>
              <sz val="10"/>
            </rPr>
            <t xml:space="preserve"> Senior Account Executive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BF7" s="134" t="inlineStr">
        <is>
          <t>Medium</t>
        </is>
      </c>
      <c r="BG7" s="134" t="inlineStr">
        <is>
          <t>• Work described is smaller than the current designation suggests — manager to confirm the actual role</t>
        </is>
      </c>
      <c r="BH7" s="134" t="inlineStr"/>
      <c r="BI7" s="135" t="n"/>
      <c r="BJ7" s="136" t="n"/>
      <c r="BK7" s="136" t="n"/>
      <c r="BL7" s="136" t="n"/>
      <c r="BM7" s="136" t="n"/>
      <c r="BN7" s="137" t="n"/>
      <c r="BO7" s="120" t="n"/>
      <c r="BP7" s="120" t="n"/>
      <c r="BQ7" s="120" t="n"/>
      <c r="BR7" s="120" t="n"/>
      <c r="BS7" s="120" t="n"/>
      <c r="BT7" s="120" t="n"/>
      <c r="BU7" s="120" t="n"/>
      <c r="BV7" s="120" t="n">
        <v>4</v>
      </c>
    </row>
    <row r="8" ht="340" customHeight="1">
      <c r="A8" s="109" t="inlineStr">
        <is>
          <t>IRISDT0011</t>
        </is>
      </c>
      <c r="B8" s="110" t="inlineStr">
        <is>
          <t>Raghin Nair</t>
        </is>
      </c>
      <c r="C8" s="111" t="inlineStr">
        <is>
          <t>Datatech - Outreach</t>
        </is>
      </c>
      <c r="D8" s="111" t="inlineStr">
        <is>
          <t>Shilpa Dhobale</t>
        </is>
      </c>
      <c r="E8" s="112" t="n">
        <v>19.4</v>
      </c>
      <c r="F8" s="112" t="n">
        <v>0.9</v>
      </c>
      <c r="G8" s="111" t="inlineStr">
        <is>
          <t>B.Com</t>
        </is>
      </c>
      <c r="H8" s="113" t="inlineStr">
        <is>
          <t>Program Lead</t>
        </is>
      </c>
      <c r="I8" s="114" t="inlineStr">
        <is>
          <t>Program Manager – Outreach</t>
        </is>
      </c>
      <c r="J8" s="115" t="inlineStr">
        <is>
          <t>Sales &amp; Business Development</t>
        </is>
      </c>
      <c r="K8" s="115" t="inlineStr">
        <is>
          <t>Field Outreach &amp; Programme Sales</t>
        </is>
      </c>
      <c r="L8" s="114" t="inlineStr">
        <is>
          <t>L5 – Lead · IC</t>
        </is>
      </c>
      <c r="M8" s="138" t="inlineStr">
        <is>
          <t>B2</t>
        </is>
      </c>
      <c r="N8" s="18" t="inlineStr">
        <is>
          <t>Manager</t>
        </is>
      </c>
      <c r="O8" s="20" t="inlineStr">
        <is>
          <t>B</t>
        </is>
      </c>
      <c r="P8" s="115" t="inlineStr">
        <is>
          <t>People Manager</t>
        </is>
      </c>
      <c r="Q8" s="139" t="inlineStr">
        <is>
          <t>▼ Down · protected</t>
        </is>
      </c>
      <c r="R8" s="118" t="inlineStr">
        <is>
          <r>
            <rPr>
              <rFont val="Calibri"/>
              <b val="1"/>
              <sz val="10"/>
            </rPr>
            <t>WHAT THE ROLE DOES:</t>
          </r>
          <r>
            <rPr>
              <rFont val="Calibri"/>
              <sz val="10"/>
            </rPr>
            <t xml:space="preserve"> Onboards MSMEs and partners in the field; generates programme leads and engagement. At B2: deep domain expertise, or one team.
</t>
          </r>
          <r>
            <rPr>
              <rFont val="Calibri"/>
              <b val="1"/>
              <sz val="10"/>
            </rPr>
            <t>Common themes in sub-family holders, all levels' answers:</t>
          </r>
          <r>
            <rPr>
              <rFont val="Calibri"/>
              <sz val="10"/>
            </rPr>
            <t xml:space="preserve"> msme · business · relationships · building · partners · services
</t>
          </r>
          <r>
            <rPr>
              <rFont val="Calibri"/>
              <b val="1"/>
              <sz val="10"/>
            </rPr>
            <t>KEY RESPONSIBILITIES:</t>
          </r>
          <r>
            <rPr>
              <rFont val="Calibri"/>
              <sz val="10"/>
            </rPr>
            <t xml:space="preserve"> Onboards MSMEs and partners in the field; generates programme leads and engagement; Hardest problems in the domain; One team or a client portfolio
</t>
          </r>
          <r>
            <rPr>
              <rFont val="Calibri"/>
              <b val="1"/>
              <sz val="10"/>
            </rPr>
            <t>Common themes in sub-family holders, all levels' answers:</t>
          </r>
          <r>
            <rPr>
              <rFont val="Calibri"/>
              <sz val="10"/>
            </rPr>
            <t xml:space="preserve"> business · loan · management · development · relationship · lead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sales · business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business · am · opportunities · accountable · msme · loan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leads · identify · business · potential · follow · sales
</t>
          </r>
          <r>
            <rPr>
              <rFont val="Calibri"/>
              <b val="1"/>
              <sz val="10"/>
            </rPr>
            <t>SKILLS &amp; KNOWLEDGE · role-holders:</t>
          </r>
          <r>
            <rPr>
              <rFont val="Calibri"/>
              <sz val="10"/>
            </rPr>
            <t xml:space="preserve"> Sales · Business development
</t>
          </r>
          <r>
            <rPr>
              <rFont val="Calibri"/>
              <b val="1"/>
              <sz val="10"/>
            </rPr>
            <t>TOOLS &amp; SYSTEMS:</t>
          </r>
          <r>
            <rPr>
              <rFont val="Calibri"/>
              <sz val="10"/>
            </rPr>
            <t xml:space="preserve"> CRM · WhatsApp · email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1 answered the survey; sub-family 6 answered; catalogue RC-158</t>
          </r>
        </is>
      </c>
      <c r="S8"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6 direct reports.
From the survey and manager mapping — critical role: yes; successor named: no.
</t>
          </r>
          <r>
            <rPr>
              <rFont val="Calibri"/>
              <b val="1"/>
              <sz val="10"/>
            </rPr>
            <t>If the work is missed · role-holders' themes:</t>
          </r>
          <r>
            <rPr>
              <rFont val="Calibri"/>
              <sz val="10"/>
            </rPr>
            <t xml:space="preserve"> business · customer · lead · delays.
Manager talent mapping — Latest rating: 3 · 9-Box Grid placement: Core Contributor.</t>
          </r>
        </is>
      </c>
      <c r="T8" s="120" t="n"/>
      <c r="U8" s="121" t="inlineStr">
        <is>
          <r>
            <rPr>
              <rFont val="Calibri"/>
              <sz val="10"/>
            </rPr>
            <t xml:space="preserve">Program Manager – Outreach in Datatech - Outreach · Datatech, B2 — People Manager.
</t>
          </r>
          <r>
            <rPr>
              <rFont val="Calibri"/>
              <b val="1"/>
              <sz val="10"/>
            </rPr>
            <t>The work:</t>
          </r>
          <r>
            <rPr>
              <rFont val="Calibri"/>
              <sz val="10"/>
            </rPr>
            <t xml:space="preserve"> Onboards MSMEs and partners in the field; generates programme leads and engagement.
At this level the role owns deep domain expertise, or one team.
</t>
          </r>
          <r>
            <rPr>
              <rFont val="Calibri"/>
              <b val="1"/>
              <sz val="10"/>
            </rPr>
            <t>Key responsibilities:</t>
          </r>
          <r>
            <rPr>
              <rFont val="Calibri"/>
              <sz val="10"/>
            </rPr>
            <t xml:space="preserve"> Onboards MSMEs and partners in the field; generates programme leads and engagement; Hardest problems in the domain; One team or a client portfolio.
</t>
          </r>
          <r>
            <rPr>
              <rFont val="Calibri"/>
              <b val="1"/>
              <sz val="10"/>
            </rPr>
            <t>Holders describe it with:</t>
          </r>
          <r>
            <rPr>
              <rFont val="Calibri"/>
              <sz val="10"/>
            </rPr>
            <t xml:space="preserve"> business · loan · management · development · relationship · lead.
Leads 6 direct reports.</t>
          </r>
        </is>
      </c>
      <c r="V8" s="122"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preferred from B2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SaaS sales ladder — IC – Mid-Market AE · IRIS Vs Competitor Benchmark — SaaS sales ladder — management – Sales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8" s="122" t="inlineStr">
        <is>
          <r>
            <rPr>
              <rFont val="Calibri"/>
              <sz val="10"/>
            </rPr>
            <t xml:space="preserve">FUNCTIONAL — skill level 4 of 5 · Advanced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Sales · Business development
</t>
          </r>
          <r>
            <rPr>
              <rFont val="Calibri"/>
              <b val="1"/>
              <sz val="10"/>
            </rPr>
            <t>TOOLS:</t>
          </r>
          <r>
            <rPr>
              <rFont val="Calibri"/>
              <sz val="10"/>
            </rPr>
            <t xml:space="preserve"> CRM · WhatsApp · email
★ = must-have for the family. Scale: 1 Awareness · 2 Working · 3 Practitioner · 4 Advanced · 5 Expert.</t>
          </r>
        </is>
      </c>
      <c r="X8" s="122" t="inlineStr">
        <is>
          <r>
            <rPr>
              <rFont val="Calibri"/>
              <sz val="10"/>
            </rPr>
            <t xml:space="preserve">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8" s="123" t="inlineStr">
        <is>
          <t>Datatech · Datatech - Outreach · Band B · People Manager</t>
        </is>
      </c>
      <c r="Z8" s="124" t="n">
        <v>4.5</v>
      </c>
      <c r="AA8" s="125">
        <f>IFERROR(INDEX(WM_C,MATCH($Y8,WM_KEY,0)),"")</f>
        <v>0.32</v>
      </c>
      <c r="AB8" s="126">
        <f>IF(Z8="","",Z8*AA8)</f>
        <v>1.44</v>
      </c>
      <c r="AC8" s="124" t="n">
        <v>4.5</v>
      </c>
      <c r="AD8" s="125">
        <f>IFERROR(INDEX(WM_AU,MATCH($Y8,WM_KEY,0)),"")</f>
        <v>0.23</v>
      </c>
      <c r="AE8" s="126">
        <f>IF(AC8="","",AC8*AD8)</f>
        <v>1.035</v>
      </c>
      <c r="AF8" s="124" t="n">
        <v>5</v>
      </c>
      <c r="AG8" s="125">
        <f>IFERROR(INDEX(WM_AC,MATCH($Y8,WM_KEY,0)),"")</f>
        <v>0.06</v>
      </c>
      <c r="AH8" s="126">
        <f>IF(AF8="","",AF8*AG8)</f>
        <v>0.3</v>
      </c>
      <c r="AI8" s="124" t="n">
        <v>5</v>
      </c>
      <c r="AJ8" s="125">
        <f>IFERROR(INDEX(WM_L,MATCH($Y8,WM_KEY,0)),"")</f>
        <v>0.15</v>
      </c>
      <c r="AK8" s="126">
        <f>IF(AI8="","",AI8*AJ8)</f>
        <v>0.75</v>
      </c>
      <c r="AL8" s="124" t="n">
        <v>9.5</v>
      </c>
      <c r="AM8" s="125">
        <f>IFERROR(INDEX(WM_E,MATCH($Y8,WM_KEY,0)),"")</f>
        <v>0.1</v>
      </c>
      <c r="AN8" s="126">
        <f>IF(AL8="","",AL8*AM8)</f>
        <v>0.95</v>
      </c>
      <c r="AO8" s="127" t="n">
        <v>5.5</v>
      </c>
      <c r="AP8" s="125">
        <f>IFERROR(INDEX(WM_BI,MATCH($Y8,WM_KEY,0)),"")</f>
        <v>0.14</v>
      </c>
      <c r="AQ8" s="126">
        <f>IF(AO8="","",AO8*AP8)</f>
        <v>0.77</v>
      </c>
      <c r="AR8" s="126">
        <f>IF(COUNT(AB8,AE8,AH8,AK8,AN8,AQ8)&lt;6,"",SUM(AB8,AE8,AH8,AK8,AN8,AQ8))</f>
        <v>5.245</v>
      </c>
      <c r="AS8" s="128" t="str">
        <f>IF(AR8="","",INDEX({"A1","A2","A3","B1","B2","B3","C1","C2","D1","D2","E1","E2"},MAX(1,MIN(12,ROUND(AR8,0)))))</f>
        <v>B2</v>
      </c>
      <c r="AT8" s="129" t="inlineStr">
        <is>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8" s="130" t="inlineStr">
        <is>
          <r>
            <rPr>
              <rFont val="Calibri"/>
              <b val="1"/>
              <sz val="10"/>
            </rPr>
            <t>At build:</t>
          </r>
          <r>
            <rPr>
              <rFont val="Calibri"/>
              <sz val="10"/>
            </rPr>
            <t xml:space="preserve"> Complexity 1.44 + Autonomy 1.04 + Accountability 0.30 + Leadership 0.75 + Experience 0.95 + Business impact 0.77
= 5.25 points → nearest level 5 = B2
</t>
          </r>
          <r>
            <rPr>
              <rFont val="Calibri"/>
              <b val="1"/>
              <sz val="10"/>
            </rPr>
            <t>Final level:</t>
          </r>
          <r>
            <rPr>
              <rFont val="Calibri"/>
              <sz val="10"/>
            </rPr>
            <t xml:space="preserve"> B2 · same as the score</t>
          </r>
        </is>
      </c>
      <c r="AV8" s="130" t="inlineStr">
        <is>
          <r>
            <rPr>
              <rFont val="Calibri"/>
              <b val="1"/>
              <sz val="10"/>
            </rPr>
            <t>No rule applied:</t>
          </r>
          <r>
            <rPr>
              <rFont val="Calibri"/>
              <sz val="10"/>
            </rPr>
            <t xml:space="preserve"> the score decides.</t>
          </r>
        </is>
      </c>
      <c r="AW8"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Runs MSME programme sales and operations with product / marketing and partner coordination → moved down 0.5
</t>
          </r>
          <r>
            <rPr>
              <rFont val="Calibri"/>
              <b val="1"/>
              <sz val="10"/>
            </rPr>
            <t>Market:</t>
          </r>
          <r>
            <rPr>
              <rFont val="Calibri"/>
              <sz val="10"/>
            </rPr>
            <t xml:space="preserve"> B1 = Domain specialist work · B2 = Hardest problems in the domain</t>
          </r>
        </is>
      </c>
      <c r="AX8"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States 'operational decisions' for programme and team; nothing on budget or pricing → moved down 0.5
</t>
          </r>
          <r>
            <rPr>
              <rFont val="Calibri"/>
              <b val="1"/>
              <sz val="10"/>
            </rPr>
            <t>Market:</t>
          </r>
          <r>
            <rPr>
              <rFont val="Calibri"/>
              <sz val="10"/>
            </rPr>
            <t xml:space="preserve"> B1 = Technical / QC / client calls for the domain · B2 = Allocates people and sets team priorities</t>
          </r>
        </is>
      </c>
      <c r="AY8" s="132" t="inlineStr">
        <is>
          <r>
            <rPr>
              <rFont val="Calibri"/>
              <sz val="10"/>
            </rPr>
            <t xml:space="preserve">Rated 5 of 12
</t>
          </r>
          <r>
            <rPr>
              <rFont val="Calibri"/>
              <b val="1"/>
              <sz val="10"/>
            </rPr>
            <t>Start:</t>
          </r>
          <r>
            <rPr>
              <rFont val="Calibri"/>
              <sz val="10"/>
            </rPr>
            <t xml:space="preserve"> 5.0 · manager / senior specialist title; 6 direct reports, 7 people below
</t>
          </r>
          <r>
            <rPr>
              <rFont val="Calibri"/>
              <b val="1"/>
              <sz val="10"/>
            </rPr>
            <t>Evidence reads like B2:</t>
          </r>
          <r>
            <rPr>
              <rFont val="Calibri"/>
              <sz val="10"/>
            </rPr>
            <t xml:space="preserve"> Programme growth, team performance and business targets → matches the start
</t>
          </r>
          <r>
            <rPr>
              <rFont val="Calibri"/>
              <b val="1"/>
              <sz val="10"/>
            </rPr>
            <t>Market:</t>
          </r>
          <r>
            <rPr>
              <rFont val="Calibri"/>
              <sz val="10"/>
            </rPr>
            <t xml:space="preserve"> B2 = One team or a client portfolio</t>
          </r>
        </is>
      </c>
      <c r="AZ8" s="132" t="inlineStr">
        <is>
          <r>
            <rPr>
              <rFont val="Calibri"/>
              <sz val="10"/>
            </rPr>
            <t xml:space="preserve">Rated 5 of 12
</t>
          </r>
          <r>
            <rPr>
              <rFont val="Calibri"/>
              <b val="1"/>
              <sz val="10"/>
            </rPr>
            <t>Start:</t>
          </r>
          <r>
            <rPr>
              <rFont val="Calibri"/>
              <sz val="10"/>
            </rPr>
            <t xml:space="preserve"> 5.0
</t>
          </r>
          <r>
            <rPr>
              <rFont val="Calibri"/>
              <b val="1"/>
              <sz val="10"/>
            </rPr>
            <t>Evidence reads like B2:</t>
          </r>
          <r>
            <rPr>
              <rFont val="Calibri"/>
              <sz val="10"/>
            </rPr>
            <t xml:space="preserve"> Lists team management and team performance; 6 direct reports → matches the start
</t>
          </r>
          <r>
            <rPr>
              <rFont val="Calibri"/>
              <b val="1"/>
              <sz val="10"/>
            </rPr>
            <t>Team:</t>
          </r>
          <r>
            <rPr>
              <rFont val="Calibri"/>
              <sz val="10"/>
            </rPr>
            <t xml:space="preserve"> 6 direct reports · People Manager
</t>
          </r>
          <r>
            <rPr>
              <rFont val="Calibri"/>
              <b val="1"/>
              <sz val="10"/>
            </rPr>
            <t>Market:</t>
          </r>
          <r>
            <rPr>
              <rFont val="Calibri"/>
              <sz val="10"/>
            </rPr>
            <t xml:space="preserve"> B2 = IC: guides others in the domain · People: manages a team of 6+</t>
          </r>
        </is>
      </c>
      <c r="BA8" s="132" t="inlineStr">
        <is>
          <r>
            <rPr>
              <rFont val="Calibri"/>
              <sz val="10"/>
            </rPr>
            <t xml:space="preserve">Rated 9.5 of 12 · between D1 and D2
</t>
          </r>
          <r>
            <rPr>
              <rFont val="Calibri"/>
              <b val="1"/>
              <sz val="10"/>
            </rPr>
            <t>Experience:</t>
          </r>
          <r>
            <rPr>
              <rFont val="Calibri"/>
              <sz val="10"/>
            </rPr>
            <t xml:space="preserve"> 19.4 yrs total · 18.5 before IRIS + 0.9 at IRIS = 9.5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B2 roles typically have 6–10 yrs · IRIS guide 6–9</t>
          </r>
        </is>
      </c>
      <c r="BB8" s="132"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8" s="133" t="inlineStr"/>
      <c r="BD8" s="134" t="inlineStr">
        <is>
          <t>✓ HRIS: 19.4 yrs, B.Com, 6 direct reports
✓ Survey: 20 of 20 questions answered
✗ KRAs: none on file
✓ Manager mapping: rating, 9-box
✗ Job description: not on file</t>
        </is>
      </c>
      <c r="BE8" s="134"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BF8" s="134" t="inlineStr">
        <is>
          <t>Medium</t>
        </is>
      </c>
      <c r="BG8" s="134" t="inlineStr">
        <is>
          <t>• Final level B2 is below the current level · L5 ≈ B3 — manager to confirm the scope of the role; pay and title are protected for one cycle</t>
        </is>
      </c>
      <c r="BH8" s="134" t="inlineStr"/>
      <c r="BI8" s="135" t="n"/>
      <c r="BJ8" s="136" t="n"/>
      <c r="BK8" s="136" t="n"/>
      <c r="BL8" s="136" t="n"/>
      <c r="BM8" s="136" t="n"/>
      <c r="BN8" s="137" t="n"/>
      <c r="BO8" s="120" t="n"/>
      <c r="BP8" s="120" t="n"/>
      <c r="BQ8" s="120" t="n"/>
      <c r="BR8" s="120" t="n"/>
      <c r="BS8" s="120" t="n"/>
      <c r="BT8" s="120" t="n"/>
      <c r="BU8" s="120" t="n"/>
      <c r="BV8" s="120" t="n">
        <v>5.5</v>
      </c>
    </row>
    <row r="9" ht="340" customHeight="1">
      <c r="A9" s="109" t="inlineStr">
        <is>
          <t>IRISDT0013</t>
        </is>
      </c>
      <c r="B9" s="110" t="inlineStr">
        <is>
          <t>Bharati Durgaprasad Paranjape</t>
        </is>
      </c>
      <c r="C9" s="111" t="inlineStr">
        <is>
          <t>Datatech - Outreach</t>
        </is>
      </c>
      <c r="D9" s="111" t="inlineStr">
        <is>
          <t>Raghin Nair</t>
        </is>
      </c>
      <c r="E9" s="112" t="n">
        <v>4.4</v>
      </c>
      <c r="F9" s="112" t="n">
        <v>0.7</v>
      </c>
      <c r="G9" s="111" t="inlineStr">
        <is>
          <t>MA</t>
        </is>
      </c>
      <c r="H9" s="113" t="inlineStr">
        <is>
          <t>Program Executive - MSME</t>
        </is>
      </c>
      <c r="I9" s="114" t="inlineStr">
        <is>
          <t>Senior Program Executive</t>
        </is>
      </c>
      <c r="J9" s="115" t="inlineStr">
        <is>
          <t>Sales &amp; Business Development</t>
        </is>
      </c>
      <c r="K9" s="115" t="inlineStr">
        <is>
          <t>Field Outreach &amp; Programme Sales</t>
        </is>
      </c>
      <c r="L9" s="114" t="inlineStr">
        <is>
          <t>L3 – Professional / Associate</t>
        </is>
      </c>
      <c r="M9" s="138" t="inlineStr">
        <is>
          <t>A3</t>
        </is>
      </c>
      <c r="N9" s="140" t="inlineStr">
        <is>
          <t>Senior Associate</t>
        </is>
      </c>
      <c r="O9" s="26" t="inlineStr">
        <is>
          <t>A</t>
        </is>
      </c>
      <c r="P9" s="115" t="inlineStr">
        <is>
          <t>IC</t>
        </is>
      </c>
      <c r="Q9" s="141" t="inlineStr">
        <is>
          <t>▲ Up</t>
        </is>
      </c>
      <c r="R9" s="118" t="inlineStr">
        <is>
          <r>
            <rPr>
              <rFont val="Calibri"/>
              <b val="1"/>
              <sz val="10"/>
            </rPr>
            <t>WHAT THE ROLE DOES:</t>
          </r>
          <r>
            <rPr>
              <rFont val="Calibri"/>
              <sz val="10"/>
            </rPr>
            <t xml:space="preserve"> Onboards MSMEs and partners in the field; generates programme leads and engagement. At A3: varied work; reviews juniors; go-to for a process.
</t>
          </r>
          <r>
            <rPr>
              <rFont val="Calibri"/>
              <b val="1"/>
              <sz val="10"/>
            </rPr>
            <t>Common themes in role-holders' answers:</t>
          </r>
          <r>
            <rPr>
              <rFont val="Calibri"/>
              <sz val="10"/>
            </rPr>
            <t xml:space="preserve"> partners · business · services · msme
</t>
          </r>
          <r>
            <rPr>
              <rFont val="Calibri"/>
              <b val="1"/>
              <sz val="10"/>
            </rPr>
            <t>KEY RESPONSIBILITIES:</t>
          </r>
          <r>
            <rPr>
              <rFont val="Calibri"/>
              <sz val="10"/>
            </rPr>
            <t xml:space="preserve"> Onboards MSMEs and partners in the field; generates programme leads and engagement;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leads
</t>
          </r>
          <r>
            <rPr>
              <rFont val="Calibri"/>
              <b val="1"/>
              <sz val="10"/>
            </rPr>
            <t>SKILLS &amp; KNOWLEDGE · role-holders:</t>
          </r>
          <r>
            <rPr>
              <rFont val="Calibri"/>
              <sz val="10"/>
            </rPr>
            <t xml:space="preserve"> Sales
</t>
          </r>
          <r>
            <rPr>
              <rFont val="Calibri"/>
              <b val="1"/>
              <sz val="10"/>
            </rPr>
            <t>MANAGER-SET KRAs:</t>
          </r>
          <r>
            <rPr>
              <rFont val="Calibri"/>
              <sz val="10"/>
            </rPr>
            <t xml:space="preserve"> Common themes in manager-set KRAs: month quarter · minimum msmes · applications quarter · business · bhr units · onboard minimum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6 answered; catalogue RC-156</t>
          </r>
        </is>
      </c>
      <c r="S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sales · customer.
</t>
          </r>
          <r>
            <rPr>
              <rFont val="Calibri"/>
              <b val="1"/>
              <sz val="10"/>
            </rPr>
            <t>Measured on · manager-set KRA themes:</t>
          </r>
          <r>
            <rPr>
              <rFont val="Calibri"/>
              <sz val="10"/>
            </rPr>
            <t xml:space="preserve"> month quarter · minimum msmes · applications quarter · business · bhr units · onboard minimum.
Manager talent mapping — Latest rating: 3 · Potential: Medium · 9-Box Grid placement: Emerging Talent.</t>
          </r>
        </is>
      </c>
      <c r="T9" s="120" t="n"/>
      <c r="U9" s="121" t="inlineStr">
        <is>
          <r>
            <rPr>
              <rFont val="Calibri"/>
              <sz val="10"/>
            </rPr>
            <t xml:space="preserve">Senior Program Executive in Datatech - Outreach · Datatech, A3 — IC.
</t>
          </r>
          <r>
            <rPr>
              <rFont val="Calibri"/>
              <b val="1"/>
              <sz val="10"/>
            </rPr>
            <t>The work:</t>
          </r>
          <r>
            <rPr>
              <rFont val="Calibri"/>
              <sz val="10"/>
            </rPr>
            <t xml:space="preserve"> Onboards MSMEs and partners in the field; generates programme leads and engagement.
At this level the role owns varied work; reviews juniors; go-to for a process.
</t>
          </r>
          <r>
            <rPr>
              <rFont val="Calibri"/>
              <b val="1"/>
              <sz val="10"/>
            </rPr>
            <t>Key responsibilities:</t>
          </r>
          <r>
            <rPr>
              <rFont val="Calibri"/>
              <sz val="10"/>
            </rPr>
            <t xml:space="preserve"> Onboards MSMEs and partners in the field; generates programme leads and engagement; Varied and non-standard work; handles exceptions; A module / process, or work with client or regulatory consequences.</t>
          </r>
        </is>
      </c>
      <c r="V9" s="122" t="inlineStr">
        <is>
          <r>
            <rPr>
              <rFont val="Calibri"/>
              <b val="1"/>
              <sz val="10"/>
            </rPr>
            <t>Hire as:</t>
          </r>
          <r>
            <rPr>
              <rFont val="Calibri"/>
              <sz val="10"/>
            </rPr>
            <t xml:space="preserve"> SDR / Inside Sales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MBA preferred from B2
</t>
          </r>
          <r>
            <rPr>
              <rFont val="Calibri"/>
              <b val="1"/>
              <sz val="10"/>
            </rPr>
            <t>Equivalent titles at peers:</t>
          </r>
          <r>
            <rPr>
              <rFont val="Calibri"/>
              <sz val="10"/>
            </rPr>
            <t xml:space="preserve"> IRIS Vs Competitor Benchmark — SaaS sales ladder — IC – Senior SDR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9" s="122"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Sales
★ = must-have for the family. Scale: 1 Awareness · 2 Working · 3 Practitioner · 4 Advanced · 5 Expert.</t>
          </r>
        </is>
      </c>
      <c r="X9" s="122"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9" s="123" t="inlineStr">
        <is>
          <t>Datatech · Datatech - Outreach · Band A · Early career</t>
        </is>
      </c>
      <c r="Z9" s="124" t="n">
        <v>2</v>
      </c>
      <c r="AA9" s="125">
        <f>IFERROR(INDEX(WM_C,MATCH($Y9,WM_KEY,0)),"")</f>
        <v>0.54</v>
      </c>
      <c r="AB9" s="126">
        <f>IF(Z9="","",Z9*AA9)</f>
        <v>1.08</v>
      </c>
      <c r="AC9" s="124" t="n">
        <v>2</v>
      </c>
      <c r="AD9" s="125">
        <f>IFERROR(INDEX(WM_AU,MATCH($Y9,WM_KEY,0)),"")</f>
        <v>0.21</v>
      </c>
      <c r="AE9" s="126">
        <f>IF(AC9="","",AC9*AD9)</f>
        <v>0.42</v>
      </c>
      <c r="AF9" s="124" t="n">
        <v>2</v>
      </c>
      <c r="AG9" s="125">
        <f>IFERROR(INDEX(WM_AC,MATCH($Y9,WM_KEY,0)),"")</f>
        <v>0.04</v>
      </c>
      <c r="AH9" s="126">
        <f>IF(AF9="","",AF9*AG9)</f>
        <v>0.08</v>
      </c>
      <c r="AI9" s="124" t="n">
        <v>1</v>
      </c>
      <c r="AJ9" s="125">
        <f>IFERROR(INDEX(WM_L,MATCH($Y9,WM_KEY,0)),"")</f>
        <v>0</v>
      </c>
      <c r="AK9" s="126">
        <f>IF(AI9="","",AI9*AJ9)</f>
        <v>0</v>
      </c>
      <c r="AL9" s="124" t="n">
        <v>4</v>
      </c>
      <c r="AM9" s="125">
        <f>IFERROR(INDEX(WM_E,MATCH($Y9,WM_KEY,0)),"")</f>
        <v>0.1</v>
      </c>
      <c r="AN9" s="126">
        <f>IF(AL9="","",AL9*AM9)</f>
        <v>0.4</v>
      </c>
      <c r="AO9" s="127" t="n">
        <v>2</v>
      </c>
      <c r="AP9" s="125">
        <f>IFERROR(INDEX(WM_BI,MATCH($Y9,WM_KEY,0)),"")</f>
        <v>0.11</v>
      </c>
      <c r="AQ9" s="126">
        <f>IF(AO9="","",AO9*AP9)</f>
        <v>0.22</v>
      </c>
      <c r="AR9" s="126">
        <f>IF(COUNT(AB9,AE9,AH9,AK9,AN9,AQ9)&lt;6,"",SUM(AB9,AE9,AH9,AK9,AN9,AQ9))</f>
        <v>2.2</v>
      </c>
      <c r="AS9" s="128" t="str">
        <f>IF(AR9="","",INDEX({"A1","A2","A3","B1","B2","B3","C1","C2","D1","D2","E1","E2"},MAX(1,MIN(12,ROUND(AR9,0)))))</f>
        <v>A2</v>
      </c>
      <c r="AT9"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9" s="130" t="inlineStr">
        <is>
          <r>
            <rPr>
              <rFont val="Calibri"/>
              <b val="1"/>
              <sz val="10"/>
            </rPr>
            <t>At build:</t>
          </r>
          <r>
            <rPr>
              <rFont val="Calibri"/>
              <sz val="10"/>
            </rPr>
            <t xml:space="preserve"> Complexity 1.08 + Autonomy 0.42 + Accountability 0.08 + Leadership 0.00 + Experience 0.40 + Business impact 0.22
= 2.20 points → nearest level 2 = A2
</t>
          </r>
          <r>
            <rPr>
              <rFont val="Calibri"/>
              <b val="1"/>
              <sz val="10"/>
            </rPr>
            <t>Final level:</t>
          </r>
          <r>
            <rPr>
              <rFont val="Calibri"/>
              <sz val="10"/>
            </rPr>
            <t xml:space="preserve"> A3 · a rule applied: see the next column</t>
          </r>
        </is>
      </c>
      <c r="AV9" s="130" t="inlineStr">
        <is>
          <r>
            <rPr>
              <rFont val="Calibri"/>
              <sz val="10"/>
            </rPr>
            <t xml:space="preserve">• </t>
          </r>
          <r>
            <rPr>
              <rFont val="Calibri"/>
              <b val="1"/>
              <sz val="10"/>
            </rPr>
            <t>Raised to A3:</t>
          </r>
          <r>
            <rPr>
              <rFont val="Calibri"/>
              <sz val="10"/>
            </rPr>
            <t xml:space="preserve"> 4.4 years' experience is 2 years or more.
</t>
          </r>
          <r>
            <rPr>
              <rFont val="Calibri"/>
              <b val="1"/>
              <sz val="10"/>
            </rPr>
            <t>Final level:</t>
          </r>
          <r>
            <rPr>
              <rFont val="Calibri"/>
              <sz val="10"/>
            </rPr>
            <t xml:space="preserve"> A3.</t>
          </r>
        </is>
      </c>
      <c r="AW9"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Engages government officers and industry bodies to sell company services; little detail → matches the start
</t>
          </r>
          <r>
            <rPr>
              <rFont val="Calibri"/>
              <b val="1"/>
              <sz val="10"/>
            </rPr>
            <t>KRA:</t>
          </r>
          <r>
            <rPr>
              <rFont val="Calibri"/>
              <sz val="10"/>
            </rPr>
            <t xml:space="preserve"> “1. MSME Onboarding - Onboard minimum 30 MSMEs per month, 90 per quarter - Weightage: 30% 2. Business Loan Applications - Submit 35 loan…”
</t>
          </r>
          <r>
            <rPr>
              <rFont val="Calibri"/>
              <b val="1"/>
              <sz val="10"/>
            </rPr>
            <t>Market:</t>
          </r>
          <r>
            <rPr>
              <rFont val="Calibri"/>
              <sz val="10"/>
            </rPr>
            <t xml:space="preserve"> A2 = Standard work of the discipline</t>
          </r>
        </is>
      </c>
      <c r="AX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own engagement and sales activity; nothing beyond own work → matches the start
</t>
          </r>
          <r>
            <rPr>
              <rFont val="Calibri"/>
              <b val="1"/>
              <sz val="10"/>
            </rPr>
            <t>Market:</t>
          </r>
          <r>
            <rPr>
              <rFont val="Calibri"/>
              <sz val="10"/>
            </rPr>
            <t xml:space="preserve"> A2 = Chooses own approach within standards</t>
          </r>
        </is>
      </c>
      <c r="AY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States only 'engagement' as accountability → matches the start
</t>
          </r>
          <r>
            <rPr>
              <rFont val="Calibri"/>
              <b val="1"/>
              <sz val="10"/>
            </rPr>
            <t>KRA:</t>
          </r>
          <r>
            <rPr>
              <rFont val="Calibri"/>
              <sz val="10"/>
            </rPr>
            <t xml:space="preserve"> “1. MSME Onboarding - Onboard minimum 30 MSMEs per month, 90 per quarter - Weightage: 30% 2. Business Loan Applications - Submit 35 loan…”
</t>
          </r>
          <r>
            <rPr>
              <rFont val="Calibri"/>
              <b val="1"/>
              <sz val="10"/>
            </rPr>
            <t>Market:</t>
          </r>
          <r>
            <rPr>
              <rFont val="Calibri"/>
              <sz val="10"/>
            </rPr>
            <t xml:space="preserve"> A2 = Own deliverables · accuracy, TAT</t>
          </r>
        </is>
      </c>
      <c r="AZ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9" s="132" t="inlineStr">
        <is>
          <r>
            <rPr>
              <rFont val="Calibri"/>
              <sz val="10"/>
            </rPr>
            <t xml:space="preserve">Rated 4 of 12
</t>
          </r>
          <r>
            <rPr>
              <rFont val="Calibri"/>
              <b val="1"/>
              <sz val="10"/>
            </rPr>
            <t>Experience:</t>
          </r>
          <r>
            <rPr>
              <rFont val="Calibri"/>
              <sz val="10"/>
            </rPr>
            <t xml:space="preserve"> 4.4 yrs total · 3.7 before IRIS + 0.7 at IRIS = 3.6 on the experience scale
</t>
          </r>
          <r>
            <rPr>
              <rFont val="Calibri"/>
              <b val="1"/>
              <sz val="10"/>
            </rPr>
            <t>Qualification:</t>
          </r>
          <r>
            <rPr>
              <rFont val="Calibri"/>
              <sz val="10"/>
            </rPr>
            <t xml:space="preserve"> MA · postgraduate, relevant to the work → +0.5
</t>
          </r>
          <r>
            <rPr>
              <rFont val="Calibri"/>
              <b val="1"/>
              <sz val="10"/>
            </rPr>
            <t>Market:</t>
          </r>
          <r>
            <rPr>
              <rFont val="Calibri"/>
              <sz val="10"/>
            </rPr>
            <t xml:space="preserve"> A3 roles typically have 2–5 yrs · IRIS guide 2–4</t>
          </r>
        </is>
      </c>
      <c r="BB9"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9" s="133" t="inlineStr"/>
      <c r="BD9" s="134" t="inlineStr">
        <is>
          <t>✓ HRIS: 4.4 yrs, MA, 0 direct reports
✓ Survey: 19 of 20 questions answered
✓ KRAs: manager-set, quarterly
✓ Manager mapping: rating, potential, 9-box
✗ Job description: not on file</t>
        </is>
      </c>
      <c r="BE9" s="134"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BF9" s="134" t="inlineStr">
        <is>
          <t>Medium</t>
        </is>
      </c>
      <c r="BG9" s="134" t="inlineStr"/>
      <c r="BH9" s="134" t="inlineStr"/>
      <c r="BI9" s="135" t="n"/>
      <c r="BJ9" s="136" t="n"/>
      <c r="BK9" s="136" t="n"/>
      <c r="BL9" s="136" t="n"/>
      <c r="BM9" s="136" t="n"/>
      <c r="BN9" s="137" t="n"/>
      <c r="BO9" s="120" t="n"/>
      <c r="BP9" s="120" t="n"/>
      <c r="BQ9" s="120" t="n"/>
      <c r="BR9" s="120" t="n"/>
      <c r="BS9" s="120" t="n"/>
      <c r="BT9" s="120" t="n"/>
      <c r="BU9" s="120" t="n"/>
      <c r="BV9" s="120" t="n">
        <v>2</v>
      </c>
    </row>
    <row r="10" ht="340" customHeight="1">
      <c r="A10" s="109" t="inlineStr">
        <is>
          <t>IRISDT0017</t>
        </is>
      </c>
      <c r="B10" s="110" t="inlineStr">
        <is>
          <t>Lakshmikantha RN</t>
        </is>
      </c>
      <c r="C10" s="111" t="inlineStr">
        <is>
          <t>Datatech - Outreach</t>
        </is>
      </c>
      <c r="D10" s="111" t="inlineStr">
        <is>
          <t>Jeevan Khokale</t>
        </is>
      </c>
      <c r="E10" s="112" t="n">
        <v>2.9</v>
      </c>
      <c r="F10" s="112" t="n">
        <v>0.6</v>
      </c>
      <c r="G10" s="111" t="inlineStr">
        <is>
          <t>MBA</t>
        </is>
      </c>
      <c r="H10" s="113" t="inlineStr">
        <is>
          <t>Program Executive - MSME</t>
        </is>
      </c>
      <c r="I10" s="114" t="inlineStr">
        <is>
          <t>Senior Program Executive</t>
        </is>
      </c>
      <c r="J10" s="115" t="inlineStr">
        <is>
          <t>Sales &amp; Business Development</t>
        </is>
      </c>
      <c r="K10" s="115" t="inlineStr">
        <is>
          <t>Field Outreach &amp; Programme Sales</t>
        </is>
      </c>
      <c r="L10" s="114" t="inlineStr">
        <is>
          <t>L3 – Professional / Associate</t>
        </is>
      </c>
      <c r="M10" s="138" t="inlineStr">
        <is>
          <t>A3</t>
        </is>
      </c>
      <c r="N10" s="140" t="inlineStr">
        <is>
          <t>Senior Associate</t>
        </is>
      </c>
      <c r="O10" s="26" t="inlineStr">
        <is>
          <t>A</t>
        </is>
      </c>
      <c r="P10" s="115" t="inlineStr">
        <is>
          <t>IC</t>
        </is>
      </c>
      <c r="Q10" s="141" t="inlineStr">
        <is>
          <t>▲ Up</t>
        </is>
      </c>
      <c r="R10" s="118" t="inlineStr">
        <is>
          <r>
            <rPr>
              <rFont val="Calibri"/>
              <b val="1"/>
              <sz val="10"/>
            </rPr>
            <t>WHAT THE ROLE DOES:</t>
          </r>
          <r>
            <rPr>
              <rFont val="Calibri"/>
              <sz val="10"/>
            </rPr>
            <t xml:space="preserve"> Onboards MSMEs and partners in the field; generates programme leads and engagement. At A3: varied work; reviews juniors; go-to for a process.
</t>
          </r>
          <r>
            <rPr>
              <rFont val="Calibri"/>
              <b val="1"/>
              <sz val="10"/>
            </rPr>
            <t>Common themes in role-holders' answers:</t>
          </r>
          <r>
            <rPr>
              <rFont val="Calibri"/>
              <sz val="10"/>
            </rPr>
            <t xml:space="preserve"> partners · business · services · msme
</t>
          </r>
          <r>
            <rPr>
              <rFont val="Calibri"/>
              <b val="1"/>
              <sz val="10"/>
            </rPr>
            <t>KEY RESPONSIBILITIES:</t>
          </r>
          <r>
            <rPr>
              <rFont val="Calibri"/>
              <sz val="10"/>
            </rPr>
            <t xml:space="preserve"> Onboards MSMEs and partners in the field; generates programme leads and engagement;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leads
</t>
          </r>
          <r>
            <rPr>
              <rFont val="Calibri"/>
              <b val="1"/>
              <sz val="10"/>
            </rPr>
            <t>SKILLS &amp; KNOWLEDGE · role-holders:</t>
          </r>
          <r>
            <rPr>
              <rFont val="Calibri"/>
              <sz val="10"/>
            </rPr>
            <t xml:space="preserve"> Sales
</t>
          </r>
          <r>
            <rPr>
              <rFont val="Calibri"/>
              <b val="1"/>
              <sz val="10"/>
            </rPr>
            <t>MANAGER-SET KRAs:</t>
          </r>
          <r>
            <rPr>
              <rFont val="Calibri"/>
              <sz val="10"/>
            </rPr>
            <t xml:space="preserve"> Common themes in manager-set KRAs: month quarter · minimum msmes · applications quarter · business · bhr units · onboard minimum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6 answered; catalogue RC-156</t>
          </r>
        </is>
      </c>
      <c r="S1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sales · customer.
</t>
          </r>
          <r>
            <rPr>
              <rFont val="Calibri"/>
              <b val="1"/>
              <sz val="10"/>
            </rPr>
            <t>Measured on · manager-set KRA themes:</t>
          </r>
          <r>
            <rPr>
              <rFont val="Calibri"/>
              <sz val="10"/>
            </rPr>
            <t xml:space="preserve"> month quarter · minimum msmes · applications quarter · business · bhr units · onboard minimum.
Manager talent mapping — Latest rating: 3 · Potential: Medium · 9-Box Grid placement: Core Contributor.</t>
          </r>
        </is>
      </c>
      <c r="T10" s="120" t="n"/>
      <c r="U10" s="121" t="inlineStr">
        <is>
          <r>
            <rPr>
              <rFont val="Calibri"/>
              <sz val="10"/>
            </rPr>
            <t xml:space="preserve">Senior Program Executive in Datatech - Outreach · Datatech, A3 — IC.
</t>
          </r>
          <r>
            <rPr>
              <rFont val="Calibri"/>
              <b val="1"/>
              <sz val="10"/>
            </rPr>
            <t>The work:</t>
          </r>
          <r>
            <rPr>
              <rFont val="Calibri"/>
              <sz val="10"/>
            </rPr>
            <t xml:space="preserve"> Onboards MSMEs and partners in the field; generates programme leads and engagement.
At this level the role owns varied work; reviews juniors; go-to for a process.
</t>
          </r>
          <r>
            <rPr>
              <rFont val="Calibri"/>
              <b val="1"/>
              <sz val="10"/>
            </rPr>
            <t>Key responsibilities:</t>
          </r>
          <r>
            <rPr>
              <rFont val="Calibri"/>
              <sz val="10"/>
            </rPr>
            <t xml:space="preserve"> Onboards MSMEs and partners in the field; generates programme leads and engagement; Varied and non-standard work; handles exceptions; A module / process, or work with client or regulatory consequences.</t>
          </r>
        </is>
      </c>
      <c r="V10" s="122" t="inlineStr">
        <is>
          <r>
            <rPr>
              <rFont val="Calibri"/>
              <b val="1"/>
              <sz val="10"/>
            </rPr>
            <t>Hire as:</t>
          </r>
          <r>
            <rPr>
              <rFont val="Calibri"/>
              <sz val="10"/>
            </rPr>
            <t xml:space="preserve"> SDR / Inside Sales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MBA preferred from B2
</t>
          </r>
          <r>
            <rPr>
              <rFont val="Calibri"/>
              <b val="1"/>
              <sz val="10"/>
            </rPr>
            <t>Equivalent titles at peers:</t>
          </r>
          <r>
            <rPr>
              <rFont val="Calibri"/>
              <sz val="10"/>
            </rPr>
            <t xml:space="preserve"> IRIS Vs Competitor Benchmark — SaaS sales ladder — IC – Senior SDR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10" s="122"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Sales
★ = must-have for the family. Scale: 1 Awareness · 2 Working · 3 Practitioner · 4 Advanced · 5 Expert.</t>
          </r>
        </is>
      </c>
      <c r="X10" s="122"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 s="123" t="inlineStr">
        <is>
          <t>Datatech · Datatech - Outreach · Band A · Early career</t>
        </is>
      </c>
      <c r="Z10" s="124" t="n">
        <v>2</v>
      </c>
      <c r="AA10" s="125">
        <f>IFERROR(INDEX(WM_C,MATCH($Y10,WM_KEY,0)),"")</f>
        <v>0.54</v>
      </c>
      <c r="AB10" s="126">
        <f>IF(Z10="","",Z10*AA10)</f>
        <v>1.08</v>
      </c>
      <c r="AC10" s="124" t="n">
        <v>2</v>
      </c>
      <c r="AD10" s="125">
        <f>IFERROR(INDEX(WM_AU,MATCH($Y10,WM_KEY,0)),"")</f>
        <v>0.21</v>
      </c>
      <c r="AE10" s="126">
        <f>IF(AC10="","",AC10*AD10)</f>
        <v>0.42</v>
      </c>
      <c r="AF10" s="124" t="n">
        <v>2</v>
      </c>
      <c r="AG10" s="125">
        <f>IFERROR(INDEX(WM_AC,MATCH($Y10,WM_KEY,0)),"")</f>
        <v>0.04</v>
      </c>
      <c r="AH10" s="126">
        <f>IF(AF10="","",AF10*AG10)</f>
        <v>0.08</v>
      </c>
      <c r="AI10" s="124" t="n">
        <v>1</v>
      </c>
      <c r="AJ10" s="125">
        <f>IFERROR(INDEX(WM_L,MATCH($Y10,WM_KEY,0)),"")</f>
        <v>0</v>
      </c>
      <c r="AK10" s="126">
        <f>IF(AI10="","",AI10*AJ10)</f>
        <v>0</v>
      </c>
      <c r="AL10" s="124" t="n">
        <v>3.5</v>
      </c>
      <c r="AM10" s="125">
        <f>IFERROR(INDEX(WM_E,MATCH($Y10,WM_KEY,0)),"")</f>
        <v>0.1</v>
      </c>
      <c r="AN10" s="126">
        <f>IF(AL10="","",AL10*AM10)</f>
        <v>0.35</v>
      </c>
      <c r="AO10" s="127" t="n">
        <v>2</v>
      </c>
      <c r="AP10" s="125">
        <f>IFERROR(INDEX(WM_BI,MATCH($Y10,WM_KEY,0)),"")</f>
        <v>0.11</v>
      </c>
      <c r="AQ10" s="126">
        <f>IF(AO10="","",AO10*AP10)</f>
        <v>0.22</v>
      </c>
      <c r="AR10" s="126">
        <f>IF(COUNT(AB10,AE10,AH10,AK10,AN10,AQ10)&lt;6,"",SUM(AB10,AE10,AH10,AK10,AN10,AQ10))</f>
        <v>2.15</v>
      </c>
      <c r="AS10" s="128" t="str">
        <f>IF(AR10="","",INDEX({"A1","A2","A3","B1","B2","B3","C1","C2","D1","D2","E1","E2"},MAX(1,MIN(12,ROUND(AR10,0)))))</f>
        <v>A2</v>
      </c>
      <c r="AT10"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0" s="130" t="inlineStr">
        <is>
          <r>
            <rPr>
              <rFont val="Calibri"/>
              <b val="1"/>
              <sz val="10"/>
            </rPr>
            <t>At build:</t>
          </r>
          <r>
            <rPr>
              <rFont val="Calibri"/>
              <sz val="10"/>
            </rPr>
            <t xml:space="preserve"> Complexity 1.08 + Autonomy 0.42 + Accountability 0.08 + Leadership 0.00 + Experience 0.35 + Business impact 0.22
= 2.15 points → nearest level 2 = A2
</t>
          </r>
          <r>
            <rPr>
              <rFont val="Calibri"/>
              <b val="1"/>
              <sz val="10"/>
            </rPr>
            <t>Final level:</t>
          </r>
          <r>
            <rPr>
              <rFont val="Calibri"/>
              <sz val="10"/>
            </rPr>
            <t xml:space="preserve"> A3 · a rule applied: see the next column</t>
          </r>
        </is>
      </c>
      <c r="AV10" s="130" t="inlineStr">
        <is>
          <r>
            <rPr>
              <rFont val="Calibri"/>
              <sz val="10"/>
            </rPr>
            <t xml:space="preserve">• </t>
          </r>
          <r>
            <rPr>
              <rFont val="Calibri"/>
              <b val="1"/>
              <sz val="10"/>
            </rPr>
            <t>Raised to A3:</t>
          </r>
          <r>
            <rPr>
              <rFont val="Calibri"/>
              <sz val="10"/>
            </rPr>
            <t xml:space="preserve"> 2.9 years' experience is 2 years or more.
</t>
          </r>
          <r>
            <rPr>
              <rFont val="Calibri"/>
              <b val="1"/>
              <sz val="10"/>
            </rPr>
            <t>Final level:</t>
          </r>
          <r>
            <rPr>
              <rFont val="Calibri"/>
              <sz val="10"/>
            </rPr>
            <t xml:space="preserve"> A3.</t>
          </r>
        </is>
      </c>
      <c r="AW10"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MSME Onboarding - Onboard minimum 70 MSMEs per month, 210 per quarter- Weightage: 40% 2. Business Loan Applications - Submit 60 loan…”
</t>
          </r>
          <r>
            <rPr>
              <rFont val="Calibri"/>
              <b val="1"/>
              <sz val="10"/>
            </rPr>
            <t>Market:</t>
          </r>
          <r>
            <rPr>
              <rFont val="Calibri"/>
              <sz val="10"/>
            </rPr>
            <t xml:space="preserve"> A2 = Standard work of the discipline</t>
          </r>
        </is>
      </c>
      <c r="AX10"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Plans own field visits, initial discussions and follow-ups → matches the start
</t>
          </r>
          <r>
            <rPr>
              <rFont val="Calibri"/>
              <b val="1"/>
              <sz val="10"/>
            </rPr>
            <t>Market:</t>
          </r>
          <r>
            <rPr>
              <rFont val="Calibri"/>
              <sz val="10"/>
            </rPr>
            <t xml:space="preserve"> A2 = Chooses own approach within standards</t>
          </r>
        </is>
      </c>
      <c r="AY10"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onboardings, leads, partner follow-ups and timely activity reports → matches the start
</t>
          </r>
          <r>
            <rPr>
              <rFont val="Calibri"/>
              <b val="1"/>
              <sz val="10"/>
            </rPr>
            <t>KRA:</t>
          </r>
          <r>
            <rPr>
              <rFont val="Calibri"/>
              <sz val="10"/>
            </rPr>
            <t xml:space="preserve"> “1. MSME Onboarding - Onboard minimum 70 MSMEs per month, 210 per quarter- Weightage: 40% 2. Business Loan Applications - Submit 60 loan…”
</t>
          </r>
          <r>
            <rPr>
              <rFont val="Calibri"/>
              <b val="1"/>
              <sz val="10"/>
            </rPr>
            <t>Market:</t>
          </r>
          <r>
            <rPr>
              <rFont val="Calibri"/>
              <sz val="10"/>
            </rPr>
            <t xml:space="preserve"> A2 = Own deliverables · accuracy, TAT</t>
          </r>
        </is>
      </c>
      <c r="AZ10"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0" s="132" t="inlineStr">
        <is>
          <r>
            <rPr>
              <rFont val="Calibri"/>
              <sz val="10"/>
            </rPr>
            <t xml:space="preserve">Rated 3.5 of 12 · between A3 and B1
</t>
          </r>
          <r>
            <rPr>
              <rFont val="Calibri"/>
              <b val="1"/>
              <sz val="10"/>
            </rPr>
            <t>Experience:</t>
          </r>
          <r>
            <rPr>
              <rFont val="Calibri"/>
              <sz val="10"/>
            </rPr>
            <t xml:space="preserve"> 2.9 yrs total · 2.3 before IRIS + 0.6 at IRIS = 3.0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10"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0" s="133" t="inlineStr"/>
      <c r="BD10" s="134" t="inlineStr">
        <is>
          <t>✓ HRIS: 2.9 yrs, MBA, 0 direct reports
✓ Survey: 20 of 20 questions answered
✓ KRAs: manager-set, quarterly
✓ Manager mapping: rating, potential, 9-box
✗ Job description: not on file</t>
        </is>
      </c>
      <c r="BE10" s="134"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BF10" s="134" t="inlineStr">
        <is>
          <t>Medium</t>
        </is>
      </c>
      <c r="BG10" s="134" t="inlineStr"/>
      <c r="BH10" s="134" t="inlineStr"/>
      <c r="BI10" s="135" t="n"/>
      <c r="BJ10" s="136" t="n"/>
      <c r="BK10" s="136" t="n"/>
      <c r="BL10" s="136" t="n"/>
      <c r="BM10" s="136" t="n"/>
      <c r="BN10" s="137" t="n"/>
      <c r="BO10" s="120" t="n"/>
      <c r="BP10" s="120" t="n"/>
      <c r="BQ10" s="120" t="n"/>
      <c r="BR10" s="120" t="n"/>
      <c r="BS10" s="120" t="n"/>
      <c r="BT10" s="120" t="n"/>
      <c r="BU10" s="120" t="n"/>
      <c r="BV10" s="120" t="n">
        <v>2</v>
      </c>
    </row>
    <row r="11" ht="340" customHeight="1">
      <c r="A11" s="109" t="inlineStr">
        <is>
          <t>IRISDT0003</t>
        </is>
      </c>
      <c r="B11" s="110" t="inlineStr">
        <is>
          <t>Nalini Niranjan Damisetti</t>
        </is>
      </c>
      <c r="C11" s="111" t="inlineStr">
        <is>
          <t>Datatech - Outreach</t>
        </is>
      </c>
      <c r="D11" s="111" t="inlineStr">
        <is>
          <t>Raghin Nair</t>
        </is>
      </c>
      <c r="E11" s="112" t="n">
        <v>7.3</v>
      </c>
      <c r="F11" s="112" t="n">
        <v>1.8</v>
      </c>
      <c r="G11" s="111" t="inlineStr">
        <is>
          <t>PGDM</t>
        </is>
      </c>
      <c r="H11" s="113" t="inlineStr">
        <is>
          <t>Program Coordinator</t>
        </is>
      </c>
      <c r="I11" s="114" t="inlineStr">
        <is>
          <t>Senior Program Executive</t>
        </is>
      </c>
      <c r="J11" s="115" t="inlineStr">
        <is>
          <t>Sales &amp; Business Development</t>
        </is>
      </c>
      <c r="K11" s="115" t="inlineStr">
        <is>
          <t>Field Outreach &amp; Programme Sales</t>
        </is>
      </c>
      <c r="L11" s="114" t="inlineStr">
        <is>
          <t>L3 – Professional / Associate</t>
        </is>
      </c>
      <c r="M11" s="138" t="inlineStr">
        <is>
          <t>A3</t>
        </is>
      </c>
      <c r="N11" s="140" t="inlineStr">
        <is>
          <t>Senior Associate</t>
        </is>
      </c>
      <c r="O11" s="26" t="inlineStr">
        <is>
          <t>A</t>
        </is>
      </c>
      <c r="P11" s="115" t="inlineStr">
        <is>
          <t>IC</t>
        </is>
      </c>
      <c r="Q11" s="141" t="inlineStr">
        <is>
          <t>▲ Up</t>
        </is>
      </c>
      <c r="R11" s="118" t="inlineStr">
        <is>
          <r>
            <rPr>
              <rFont val="Calibri"/>
              <b val="1"/>
              <sz val="10"/>
            </rPr>
            <t>WHAT THE ROLE DOES:</t>
          </r>
          <r>
            <rPr>
              <rFont val="Calibri"/>
              <sz val="10"/>
            </rPr>
            <t xml:space="preserve"> Onboards MSMEs and partners in the field; generates programme leads and engagement. At A3: varied work; reviews juniors; go-to for a process.
</t>
          </r>
          <r>
            <rPr>
              <rFont val="Calibri"/>
              <b val="1"/>
              <sz val="10"/>
            </rPr>
            <t>Common themes in role-holders' answers:</t>
          </r>
          <r>
            <rPr>
              <rFont val="Calibri"/>
              <sz val="10"/>
            </rPr>
            <t xml:space="preserve"> partners · business · services · msme
</t>
          </r>
          <r>
            <rPr>
              <rFont val="Calibri"/>
              <b val="1"/>
              <sz val="10"/>
            </rPr>
            <t>KEY RESPONSIBILITIES:</t>
          </r>
          <r>
            <rPr>
              <rFont val="Calibri"/>
              <sz val="10"/>
            </rPr>
            <t xml:space="preserve"> Onboards MSMEs and partners in the field; generates programme leads and engagement;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leads
</t>
          </r>
          <r>
            <rPr>
              <rFont val="Calibri"/>
              <b val="1"/>
              <sz val="10"/>
            </rPr>
            <t>SKILLS &amp; KNOWLEDGE · role-holders:</t>
          </r>
          <r>
            <rPr>
              <rFont val="Calibri"/>
              <sz val="10"/>
            </rPr>
            <t xml:space="preserve"> Sales
</t>
          </r>
          <r>
            <rPr>
              <rFont val="Calibri"/>
              <b val="1"/>
              <sz val="10"/>
            </rPr>
            <t>MANAGER-SET KRAs:</t>
          </r>
          <r>
            <rPr>
              <rFont val="Calibri"/>
              <sz val="10"/>
            </rPr>
            <t xml:space="preserve"> Common themes in manager-set KRAs: month quarter · minimum msmes · applications quarter · business · bhr units · onboard minimum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6 answered; catalogue RC-156</t>
          </r>
        </is>
      </c>
      <c r="S1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sales · customer.
</t>
          </r>
          <r>
            <rPr>
              <rFont val="Calibri"/>
              <b val="1"/>
              <sz val="10"/>
            </rPr>
            <t>Measured on · manager-set KRA themes:</t>
          </r>
          <r>
            <rPr>
              <rFont val="Calibri"/>
              <sz val="10"/>
            </rPr>
            <t xml:space="preserve"> month quarter · minimum msmes · applications quarter · business · bhr units · onboard minimum.
Manager talent mapping — Latest rating: 3 · Potential: Medium · 9-Box Grid placement: Performance Risk.</t>
          </r>
        </is>
      </c>
      <c r="T11" s="120" t="n"/>
      <c r="U11" s="121" t="inlineStr">
        <is>
          <r>
            <rPr>
              <rFont val="Calibri"/>
              <sz val="10"/>
            </rPr>
            <t xml:space="preserve">Senior Program Executive in Datatech - Outreach · Datatech, A3 — IC.
</t>
          </r>
          <r>
            <rPr>
              <rFont val="Calibri"/>
              <b val="1"/>
              <sz val="10"/>
            </rPr>
            <t>The work:</t>
          </r>
          <r>
            <rPr>
              <rFont val="Calibri"/>
              <sz val="10"/>
            </rPr>
            <t xml:space="preserve"> Onboards MSMEs and partners in the field; generates programme leads and engagement.
At this level the role owns varied work; reviews juniors; go-to for a process.
</t>
          </r>
          <r>
            <rPr>
              <rFont val="Calibri"/>
              <b val="1"/>
              <sz val="10"/>
            </rPr>
            <t>Key responsibilities:</t>
          </r>
          <r>
            <rPr>
              <rFont val="Calibri"/>
              <sz val="10"/>
            </rPr>
            <t xml:space="preserve"> Onboards MSMEs and partners in the field; generates programme leads and engagement; Varied and non-standard work; handles exceptions; A module / process, or work with client or regulatory consequences.</t>
          </r>
        </is>
      </c>
      <c r="V11" s="122" t="inlineStr">
        <is>
          <r>
            <rPr>
              <rFont val="Calibri"/>
              <b val="1"/>
              <sz val="10"/>
            </rPr>
            <t>Hire as:</t>
          </r>
          <r>
            <rPr>
              <rFont val="Calibri"/>
              <sz val="10"/>
            </rPr>
            <t xml:space="preserve"> SDR / Inside Sales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MBA preferred from B2
</t>
          </r>
          <r>
            <rPr>
              <rFont val="Calibri"/>
              <b val="1"/>
              <sz val="10"/>
            </rPr>
            <t>Equivalent titles at peers:</t>
          </r>
          <r>
            <rPr>
              <rFont val="Calibri"/>
              <sz val="10"/>
            </rPr>
            <t xml:space="preserve"> IRIS Vs Competitor Benchmark — SaaS sales ladder — IC – Senior SDR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11" s="122"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Sales
★ = must-have for the family. Scale: 1 Awareness · 2 Working · 3 Practitioner · 4 Advanced · 5 Expert.</t>
          </r>
        </is>
      </c>
      <c r="X11" s="122"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 s="123" t="inlineStr">
        <is>
          <t>Datatech · Datatech - Outreach · Band A · Early career</t>
        </is>
      </c>
      <c r="Z11" s="124" t="n">
        <v>2</v>
      </c>
      <c r="AA11" s="125">
        <f>IFERROR(INDEX(WM_C,MATCH($Y11,WM_KEY,0)),"")</f>
        <v>0.54</v>
      </c>
      <c r="AB11" s="126">
        <f>IF(Z11="","",Z11*AA11)</f>
        <v>1.08</v>
      </c>
      <c r="AC11" s="124" t="n">
        <v>2</v>
      </c>
      <c r="AD11" s="125">
        <f>IFERROR(INDEX(WM_AU,MATCH($Y11,WM_KEY,0)),"")</f>
        <v>0.21</v>
      </c>
      <c r="AE11" s="126">
        <f>IF(AC11="","",AC11*AD11)</f>
        <v>0.42</v>
      </c>
      <c r="AF11" s="124" t="n">
        <v>2</v>
      </c>
      <c r="AG11" s="125">
        <f>IFERROR(INDEX(WM_AC,MATCH($Y11,WM_KEY,0)),"")</f>
        <v>0.04</v>
      </c>
      <c r="AH11" s="126">
        <f>IF(AF11="","",AF11*AG11)</f>
        <v>0.08</v>
      </c>
      <c r="AI11" s="124" t="n">
        <v>1</v>
      </c>
      <c r="AJ11" s="125">
        <f>IFERROR(INDEX(WM_L,MATCH($Y11,WM_KEY,0)),"")</f>
        <v>0</v>
      </c>
      <c r="AK11" s="126">
        <f>IF(AI11="","",AI11*AJ11)</f>
        <v>0</v>
      </c>
      <c r="AL11" s="124" t="n">
        <v>5.5</v>
      </c>
      <c r="AM11" s="125">
        <f>IFERROR(INDEX(WM_E,MATCH($Y11,WM_KEY,0)),"")</f>
        <v>0.1</v>
      </c>
      <c r="AN11" s="126">
        <f>IF(AL11="","",AL11*AM11)</f>
        <v>0.55</v>
      </c>
      <c r="AO11" s="127" t="n">
        <v>2</v>
      </c>
      <c r="AP11" s="125">
        <f>IFERROR(INDEX(WM_BI,MATCH($Y11,WM_KEY,0)),"")</f>
        <v>0.11</v>
      </c>
      <c r="AQ11" s="126">
        <f>IF(AO11="","",AO11*AP11)</f>
        <v>0.22</v>
      </c>
      <c r="AR11" s="126">
        <f>IF(COUNT(AB11,AE11,AH11,AK11,AN11,AQ11)&lt;6,"",SUM(AB11,AE11,AH11,AK11,AN11,AQ11))</f>
        <v>2.35</v>
      </c>
      <c r="AS11" s="128" t="str">
        <f>IF(AR11="","",INDEX({"A1","A2","A3","B1","B2","B3","C1","C2","D1","D2","E1","E2"},MAX(1,MIN(12,ROUND(AR11,0)))))</f>
        <v>A2</v>
      </c>
      <c r="AT11"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1" s="130" t="inlineStr">
        <is>
          <r>
            <rPr>
              <rFont val="Calibri"/>
              <b val="1"/>
              <sz val="10"/>
            </rPr>
            <t>At build:</t>
          </r>
          <r>
            <rPr>
              <rFont val="Calibri"/>
              <sz val="10"/>
            </rPr>
            <t xml:space="preserve"> Complexity 1.08 + Autonomy 0.42 + Accountability 0.08 + Leadership 0.00 + Experience 0.55 + Business impact 0.22
= 2.35 points → nearest level 2 = A2
</t>
          </r>
          <r>
            <rPr>
              <rFont val="Calibri"/>
              <b val="1"/>
              <sz val="10"/>
            </rPr>
            <t>Final level:</t>
          </r>
          <r>
            <rPr>
              <rFont val="Calibri"/>
              <sz val="10"/>
            </rPr>
            <t xml:space="preserve"> A3 · a rule applied: see the next column</t>
          </r>
        </is>
      </c>
      <c r="AV11" s="130" t="inlineStr">
        <is>
          <r>
            <rPr>
              <rFont val="Calibri"/>
              <sz val="10"/>
            </rPr>
            <t xml:space="preserve">• </t>
          </r>
          <r>
            <rPr>
              <rFont val="Calibri"/>
              <b val="1"/>
              <sz val="10"/>
            </rPr>
            <t>Raised to A3:</t>
          </r>
          <r>
            <rPr>
              <rFont val="Calibri"/>
              <sz val="10"/>
            </rPr>
            <t xml:space="preserve"> 7.3 years' experience is 2 years or more.
</t>
          </r>
          <r>
            <rPr>
              <rFont val="Calibri"/>
              <b val="1"/>
              <sz val="10"/>
            </rPr>
            <t>Final level:</t>
          </r>
          <r>
            <rPr>
              <rFont val="Calibri"/>
              <sz val="10"/>
            </rPr>
            <t xml:space="preserve"> A3.</t>
          </r>
        </is>
      </c>
      <c r="AW11"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Processes MSME loan leads as DSA for several lenders; checks GST, CIBIL, banking → matches the start
</t>
          </r>
          <r>
            <rPr>
              <rFont val="Calibri"/>
              <b val="1"/>
              <sz val="10"/>
            </rPr>
            <t>KRA:</t>
          </r>
          <r>
            <rPr>
              <rFont val="Calibri"/>
              <sz val="10"/>
            </rPr>
            <t xml:space="preserve"> “1. MSME Onboarding - Onboard minimum 70 MSMEs per month, 210 per quarter - Weightage: 30% 2. Business Loan Applications - Submit 25 loan…”
</t>
          </r>
          <r>
            <rPr>
              <rFont val="Calibri"/>
              <b val="1"/>
              <sz val="10"/>
            </rPr>
            <t>Market:</t>
          </r>
          <r>
            <rPr>
              <rFont val="Calibri"/>
              <sz val="10"/>
            </rPr>
            <t xml:space="preserve"> A2 = Standard work of the discipline</t>
          </r>
        </is>
      </c>
      <c r="AX1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decision named is punching in leads → matches the start
</t>
          </r>
          <r>
            <rPr>
              <rFont val="Calibri"/>
              <b val="1"/>
              <sz val="10"/>
            </rPr>
            <t>Market:</t>
          </r>
          <r>
            <rPr>
              <rFont val="Calibri"/>
              <sz val="10"/>
            </rPr>
            <t xml:space="preserve"> A2 = Chooses own approach within standards</t>
          </r>
        </is>
      </c>
      <c r="AY1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Names loan disbursement; missed work loses the customer or adds backlog → matches the start
</t>
          </r>
          <r>
            <rPr>
              <rFont val="Calibri"/>
              <b val="1"/>
              <sz val="10"/>
            </rPr>
            <t>KRA:</t>
          </r>
          <r>
            <rPr>
              <rFont val="Calibri"/>
              <sz val="10"/>
            </rPr>
            <t xml:space="preserve"> “1. MSME Onboarding - Onboard minimum 70 MSMEs per month, 210 per quarter - Weightage: 30% 2. Business Loan Applications - Submit 25 loan…”
</t>
          </r>
          <r>
            <rPr>
              <rFont val="Calibri"/>
              <b val="1"/>
              <sz val="10"/>
            </rPr>
            <t>Market:</t>
          </r>
          <r>
            <rPr>
              <rFont val="Calibri"/>
              <sz val="10"/>
            </rPr>
            <t xml:space="preserve"> A2 = Own deliverables · accuracy, TAT</t>
          </r>
        </is>
      </c>
      <c r="AZ11"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1" s="132" t="inlineStr">
        <is>
          <r>
            <rPr>
              <rFont val="Calibri"/>
              <sz val="10"/>
            </rPr>
            <t xml:space="preserve">Rated 5.5 of 12 · between B2 and B3
</t>
          </r>
          <r>
            <rPr>
              <rFont val="Calibri"/>
              <b val="1"/>
              <sz val="10"/>
            </rPr>
            <t>Experience:</t>
          </r>
          <r>
            <rPr>
              <rFont val="Calibri"/>
              <sz val="10"/>
            </rPr>
            <t xml:space="preserve"> 7.3 yrs total · 5.5 before IRIS + 1.8 at IRIS = 4.9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A3 roles typically have 2–5 yrs · IRIS guide 2–4</t>
          </r>
        </is>
      </c>
      <c r="BB11"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1" s="133" t="inlineStr"/>
      <c r="BD11" s="134" t="inlineStr">
        <is>
          <t>✓ HRIS: 7.3 yrs, PGDM, 0 direct reports
✓ Survey: 20 of 20 questions answered
✓ KRAs: manager-set, quarterly
✓ Manager mapping: rating, potential, 9-box
✗ Job description: not on file</t>
        </is>
      </c>
      <c r="BE11" s="134"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BF11" s="134" t="inlineStr">
        <is>
          <t>Medium</t>
        </is>
      </c>
      <c r="BG11" s="134" t="inlineStr">
        <is>
          <t>• 7.3 yrs of experience in a role that reads as Band A work — a career-path question for the manager: can the role be widened · Specialist, B1 or is it correctly sized?</t>
        </is>
      </c>
      <c r="BH11" s="134" t="inlineStr"/>
      <c r="BI11" s="135" t="n"/>
      <c r="BJ11" s="136" t="n"/>
      <c r="BK11" s="136" t="n"/>
      <c r="BL11" s="136" t="n"/>
      <c r="BM11" s="136" t="n"/>
      <c r="BN11" s="137" t="n"/>
      <c r="BO11" s="120" t="n"/>
      <c r="BP11" s="120" t="n"/>
      <c r="BQ11" s="120" t="n"/>
      <c r="BR11" s="120" t="n"/>
      <c r="BS11" s="120" t="n"/>
      <c r="BT11" s="120" t="n"/>
      <c r="BU11" s="120" t="n"/>
      <c r="BV11" s="120" t="n">
        <v>2</v>
      </c>
    </row>
    <row r="12" ht="340" customHeight="1">
      <c r="A12" s="109" t="inlineStr">
        <is>
          <t>IRISDTC004</t>
        </is>
      </c>
      <c r="B12" s="110" t="inlineStr">
        <is>
          <t>Sameeksha More</t>
        </is>
      </c>
      <c r="C12" s="111" t="inlineStr">
        <is>
          <t>Datatech - Outreach</t>
        </is>
      </c>
      <c r="D12" s="111" t="inlineStr">
        <is>
          <t>Raghin Nair</t>
        </is>
      </c>
      <c r="E12" s="112" t="n">
        <v>0.5</v>
      </c>
      <c r="F12" s="112" t="n">
        <v>0.3</v>
      </c>
      <c r="G12" s="111" t="inlineStr">
        <is>
          <t>Diploma In Computer Technology</t>
        </is>
      </c>
      <c r="H12" s="142" t="inlineStr">
        <is>
          <t>MIS Associate</t>
        </is>
      </c>
      <c r="I12" s="115" t="inlineStr">
        <is>
          <t>MIS Associate</t>
        </is>
      </c>
      <c r="J12" s="115" t="inlineStr">
        <is>
          <t>Data &amp; Analytics</t>
        </is>
      </c>
      <c r="K12" s="115" t="inlineStr">
        <is>
          <t>MIS &amp; Business Reporting</t>
        </is>
      </c>
      <c r="L12" s="114" t="inlineStr">
        <is>
          <t>Not in current mapping files</t>
        </is>
      </c>
      <c r="M12" s="138" t="inlineStr">
        <is>
          <t>A2</t>
        </is>
      </c>
      <c r="N12" s="140" t="inlineStr">
        <is>
          <t>Associate</t>
        </is>
      </c>
      <c r="O12" s="26" t="inlineStr">
        <is>
          <t>A</t>
        </is>
      </c>
      <c r="P12" s="115" t="inlineStr">
        <is>
          <t>IC</t>
        </is>
      </c>
      <c r="Q12" s="143" t="inlineStr">
        <is>
          <t>● Newly mapped</t>
        </is>
      </c>
      <c r="R12" s="118" t="inlineStr">
        <is>
          <r>
            <rPr>
              <rFont val="Calibri"/>
              <b val="1"/>
              <sz val="10"/>
            </rPr>
            <t>WHAT THE ROLE DOES:</t>
          </r>
          <r>
            <rPr>
              <rFont val="Calibri"/>
              <sz val="10"/>
            </rPr>
            <t xml:space="preserve"> Builds MIS, dashboards and revenue/ARR forecasts. At A2: standard work delivered independently.
</t>
          </r>
          <r>
            <rPr>
              <rFont val="Calibri"/>
              <b val="1"/>
              <sz val="10"/>
            </rPr>
            <t>KEY RESPONSIBILITIES:</t>
          </r>
          <r>
            <rPr>
              <rFont val="Calibri"/>
              <sz val="10"/>
            </rPr>
            <t xml:space="preserve"> Builds MIS, dashboards and revenue/ARR forecasts; Standard work of the discipline; Own deliverables · accuracy, TAT
</t>
          </r>
          <r>
            <rPr>
              <rFont val="Calibri"/>
              <b val="1"/>
              <sz val="10"/>
            </rPr>
            <t>DELIVERS:</t>
          </r>
          <r>
            <rPr>
              <rFont val="Calibri"/>
              <sz val="10"/>
            </rPr>
            <t xml:space="preserve"> Own deliverables · accuracy, TAT
</t>
          </r>
          <r>
            <rPr>
              <rFont val="Calibri"/>
              <b val="1"/>
              <sz val="10"/>
            </rPr>
            <t>DECIDES ALONE:</t>
          </r>
          <r>
            <rPr>
              <rFont val="Calibri"/>
              <sz val="10"/>
            </rPr>
            <t xml:space="preserve"> Chooses own approach within standards
COMPETENCIES REQUIRED — must-have ★: Data Analytics, BI &amp; Visualisation · Database, SQL &amp; Data Engineering
</t>
          </r>
          <r>
            <rPr>
              <rFont val="Calibri"/>
              <b val="1"/>
              <sz val="10"/>
            </rPr>
            <t>OTHER FUNCTIONAL COMPETENCIES:</t>
          </r>
          <r>
            <rPr>
              <rFont val="Calibri"/>
              <sz val="10"/>
            </rPr>
            <t xml:space="preserve"> Advanced Excel &amp; Productivity Tools · Regulatory &amp; BFSI Domain · Process Improvement &amp; Quality Mindset · Accounting &amp; Reporting Standards · IFRS/US GAAP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Power BI / Tableau · optional; Database certifications · optional
</t>
          </r>
          <r>
            <rPr>
              <rFont val="Calibri"/>
              <b val="1"/>
              <sz val="10"/>
            </rPr>
            <t>SOURCE:</t>
          </r>
          <r>
            <rPr>
              <rFont val="Calibri"/>
              <sz val="10"/>
            </rPr>
            <t xml:space="preserve"> Framework only · fewer than 3 answered — 1 holder, 1 answered the survey; sub-family 2 answered; catalogue RC-043</t>
          </r>
        </is>
      </c>
      <c r="S12"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Manager talent mapping — Latest rating: 4 · Potential: Medium · 9-Box Grid placement: Core Contributor.</t>
          </r>
        </is>
      </c>
      <c r="T12" s="120" t="n"/>
      <c r="U12" s="121" t="inlineStr">
        <is>
          <r>
            <rPr>
              <rFont val="Calibri"/>
              <sz val="10"/>
            </rPr>
            <t xml:space="preserve">MIS Associate in Datatech - Outreach · Datatech, A2 — IC.
</t>
          </r>
          <r>
            <rPr>
              <rFont val="Calibri"/>
              <b val="1"/>
              <sz val="10"/>
            </rPr>
            <t>The work:</t>
          </r>
          <r>
            <rPr>
              <rFont val="Calibri"/>
              <sz val="10"/>
            </rPr>
            <t xml:space="preserve"> Builds MIS, dashboards and revenue/ARR forecasts.
At this level the role owns standard work delivered independently.
</t>
          </r>
          <r>
            <rPr>
              <rFont val="Calibri"/>
              <b val="1"/>
              <sz val="10"/>
            </rPr>
            <t>Key responsibilities:</t>
          </r>
          <r>
            <rPr>
              <rFont val="Calibri"/>
              <sz val="10"/>
            </rPr>
            <t xml:space="preserve"> Builds MIS, dashboards and revenue/ARR forecasts; Standard work of the discipline; Own deliverables · accuracy, TAT.</t>
          </r>
        </is>
      </c>
      <c r="V12" s="122" t="inlineStr">
        <is>
          <r>
            <rPr>
              <rFont val="Calibri"/>
              <b val="1"/>
              <sz val="10"/>
            </rPr>
            <t>Hire as:</t>
          </r>
          <r>
            <rPr>
              <rFont val="Calibri"/>
              <sz val="10"/>
            </rPr>
            <t xml:space="preserve"> Junior Data Analyst / Data Analyst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in commerce / statistics / engineering
</t>
          </r>
          <r>
            <rPr>
              <rFont val="Calibri"/>
              <b val="1"/>
              <sz val="10"/>
            </rPr>
            <t>Equivalent titles at peers:</t>
          </r>
          <r>
            <rPr>
              <rFont val="Calibri"/>
              <sz val="10"/>
            </rPr>
            <t xml:space="preserve"> Atlassian company-wide P-levels – P30 Analyst · IRIS Vs Competitor Benchmark — data analyst ladder – Data Analyst I
</t>
          </r>
          <r>
            <rPr>
              <rFont val="Calibri"/>
              <b val="1"/>
              <sz val="10"/>
            </rPr>
            <t>Credentials:</t>
          </r>
          <r>
            <rPr>
              <rFont val="Calibri"/>
              <sz val="10"/>
            </rPr>
            <t xml:space="preserve"> Power BI / Tableau · optional; Database certifications · optional
</t>
          </r>
          <r>
            <rPr>
              <rFont val="Calibri"/>
              <b val="1"/>
              <sz val="10"/>
            </rPr>
            <t>Must already know:</t>
          </r>
          <r>
            <rPr>
              <rFont val="Calibri"/>
              <sz val="10"/>
            </rPr>
            <t xml:space="preserve"> Data quality and confidentiality</t>
          </r>
        </is>
      </c>
      <c r="W12" s="122" t="inlineStr">
        <is>
          <r>
            <rPr>
              <rFont val="Calibri"/>
              <sz val="10"/>
            </rPr>
            <t xml:space="preserve">FUNCTIONAL — skill level 2 of 5 · Working
 ★ Data Analytics, BI &amp; Visualisation: Builds MIS, dashboards and analysis
 ★ Database, SQL &amp; Data Engineering: Writes and tunes queries, procedures and ETL
 •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 = must-have for the family. Scale: 1 Awareness · 2 Working · 3 Practitioner · 4 Advanced · 5 Expert.</t>
          </r>
        </is>
      </c>
      <c r="X12" s="122" t="inlineStr">
        <is>
          <r>
            <rPr>
              <rFont val="Calibri"/>
              <sz val="10"/>
            </rPr>
            <t xml:space="preserve">Draft — generated from the framework; hiring-manager review pending · HR Super Master, sheet T5.
1. [Data Analytics, BI &amp; Visualisation · level 2] Tell me about recent work that shows this: "Builds MIS, dashboards and analysis". What exactly did you do, how, and what was the result? Assess with: Data case / practical.
2. [Database, SQL &amp; Data Engineering · level 2] Tell me about recent work that shows this: "Writes and tunes queries, procedures and ETL". What exactly did you do, how, and what was the result? Assess with: SQL test / case.
3. [Advanced Excel &amp; Productivity Tools · level 2] Give an example that shows you can do this: "Uses advanced Excel, Word, HTML and conversion tools fluently". Assess with: Practical test.
4. [Regulatory &amp; BFSI Domain · level 2] Give an example that shows you can do this: "Knows the relevant regulators, returns and rules". Assess with: Domain interview.
5. [Process Improvement &amp; Quality Mindset · level 2]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 s="123" t="inlineStr">
        <is>
          <t>Datatech · Datatech - Outreach · Band A · Early career</t>
        </is>
      </c>
      <c r="Z12" s="124" t="n">
        <v>2</v>
      </c>
      <c r="AA12" s="125">
        <f>IFERROR(INDEX(WM_C,MATCH($Y12,WM_KEY,0)),"")</f>
        <v>0.54</v>
      </c>
      <c r="AB12" s="126">
        <f>IF(Z12="","",Z12*AA12)</f>
        <v>1.08</v>
      </c>
      <c r="AC12" s="124" t="n">
        <v>2</v>
      </c>
      <c r="AD12" s="125">
        <f>IFERROR(INDEX(WM_AU,MATCH($Y12,WM_KEY,0)),"")</f>
        <v>0.21</v>
      </c>
      <c r="AE12" s="126">
        <f>IF(AC12="","",AC12*AD12)</f>
        <v>0.42</v>
      </c>
      <c r="AF12" s="124" t="n">
        <v>2</v>
      </c>
      <c r="AG12" s="125">
        <f>IFERROR(INDEX(WM_AC,MATCH($Y12,WM_KEY,0)),"")</f>
        <v>0.04</v>
      </c>
      <c r="AH12" s="126">
        <f>IF(AF12="","",AF12*AG12)</f>
        <v>0.08</v>
      </c>
      <c r="AI12" s="124" t="n">
        <v>1</v>
      </c>
      <c r="AJ12" s="125">
        <f>IFERROR(INDEX(WM_L,MATCH($Y12,WM_KEY,0)),"")</f>
        <v>0</v>
      </c>
      <c r="AK12" s="126">
        <f>IF(AI12="","",AI12*AJ12)</f>
        <v>0</v>
      </c>
      <c r="AL12" s="124" t="n">
        <v>1</v>
      </c>
      <c r="AM12" s="125">
        <f>IFERROR(INDEX(WM_E,MATCH($Y12,WM_KEY,0)),"")</f>
        <v>0.1</v>
      </c>
      <c r="AN12" s="126">
        <f>IF(AL12="","",AL12*AM12)</f>
        <v>0.1</v>
      </c>
      <c r="AO12" s="127" t="n">
        <v>2.5</v>
      </c>
      <c r="AP12" s="125">
        <f>IFERROR(INDEX(WM_BI,MATCH($Y12,WM_KEY,0)),"")</f>
        <v>0.11</v>
      </c>
      <c r="AQ12" s="126">
        <f>IF(AO12="","",AO12*AP12)</f>
        <v>0.275</v>
      </c>
      <c r="AR12" s="126">
        <f>IF(COUNT(AB12,AE12,AH12,AK12,AN12,AQ12)&lt;6,"",SUM(AB12,AE12,AH12,AK12,AN12,AQ12))</f>
        <v>1.955</v>
      </c>
      <c r="AS12" s="128" t="str">
        <f>IF(AR12="","",INDEX({"A1","A2","A3","B1","B2","B3","C1","C2","D1","D2","E1","E2"},MAX(1,MIN(12,ROUND(AR12,0)))))</f>
        <v>A2</v>
      </c>
      <c r="AT12"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2" s="130" t="inlineStr">
        <is>
          <r>
            <rPr>
              <rFont val="Calibri"/>
              <b val="1"/>
              <sz val="10"/>
            </rPr>
            <t>At build:</t>
          </r>
          <r>
            <rPr>
              <rFont val="Calibri"/>
              <sz val="10"/>
            </rPr>
            <t xml:space="preserve"> Complexity 1.08 + Autonomy 0.42 + Accountability 0.08 + Leadership 0.00 + Experience 0.10 + Business impact 0.28
= 1.96 points → nearest level 2 = A2
</t>
          </r>
          <r>
            <rPr>
              <rFont val="Calibri"/>
              <b val="1"/>
              <sz val="10"/>
            </rPr>
            <t>Final level:</t>
          </r>
          <r>
            <rPr>
              <rFont val="Calibri"/>
              <sz val="10"/>
            </rPr>
            <t xml:space="preserve"> A2 · same as the score</t>
          </r>
        </is>
      </c>
      <c r="AV12" s="130" t="inlineStr">
        <is>
          <r>
            <rPr>
              <rFont val="Calibri"/>
              <b val="1"/>
              <sz val="10"/>
            </rPr>
            <t>No rule applied:</t>
          </r>
          <r>
            <rPr>
              <rFont val="Calibri"/>
              <sz val="10"/>
            </rPr>
            <t xml:space="preserve"> the score decides.</t>
          </r>
        </is>
      </c>
      <c r="AW12"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Excel reporting, dashboards, data cleaning and CRM support for loan operations → matches the start
</t>
          </r>
          <r>
            <rPr>
              <rFont val="Calibri"/>
              <b val="1"/>
              <sz val="10"/>
            </rPr>
            <t>KRA:</t>
          </r>
          <r>
            <rPr>
              <rFont val="Calibri"/>
              <sz val="10"/>
            </rPr>
            <t xml:space="preserve"> “1. Accuracy - Maintain report error rate below 20% - Weightage: 50% 2. Turnaround Time · TAT - Deliver reports within 24 hours of request,…”
</t>
          </r>
          <r>
            <rPr>
              <rFont val="Calibri"/>
              <b val="1"/>
              <sz val="10"/>
            </rPr>
            <t>Market:</t>
          </r>
          <r>
            <rPr>
              <rFont val="Calibri"/>
              <sz val="10"/>
            </rPr>
            <t xml:space="preserve"> A2 = Standard work of the discipline</t>
          </r>
        </is>
      </c>
      <c r="AX1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data organisation, report formatting, cleaning and updates → matches the start
</t>
          </r>
          <r>
            <rPr>
              <rFont val="Calibri"/>
              <b val="1"/>
              <sz val="10"/>
            </rPr>
            <t>Market:</t>
          </r>
          <r>
            <rPr>
              <rFont val="Calibri"/>
              <sz val="10"/>
            </rPr>
            <t xml:space="preserve"> A2 = Chooses own approach within standards</t>
          </r>
        </is>
      </c>
      <c r="AY1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and timeliness of own reports and data → matches the start
</t>
          </r>
          <r>
            <rPr>
              <rFont val="Calibri"/>
              <b val="1"/>
              <sz val="10"/>
            </rPr>
            <t>KRA:</t>
          </r>
          <r>
            <rPr>
              <rFont val="Calibri"/>
              <sz val="10"/>
            </rPr>
            <t xml:space="preserve"> “1. Accuracy - Maintain report error rate below 20% - Weightage: 50% 2. Turnaround Time · TAT - Deliver reports within 24 hours of request,…”
</t>
          </r>
          <r>
            <rPr>
              <rFont val="Calibri"/>
              <b val="1"/>
              <sz val="10"/>
            </rPr>
            <t>Market:</t>
          </r>
          <r>
            <rPr>
              <rFont val="Calibri"/>
              <sz val="10"/>
            </rPr>
            <t xml:space="preserve"> A2 = Own deliverables · accuracy, TAT</t>
          </r>
        </is>
      </c>
      <c r="AZ12"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2" s="132" t="inlineStr">
        <is>
          <r>
            <rPr>
              <rFont val="Calibri"/>
              <sz val="10"/>
            </rPr>
            <t xml:space="preserve">Rated 1 of 12
</t>
          </r>
          <r>
            <rPr>
              <rFont val="Calibri"/>
              <b val="1"/>
              <sz val="10"/>
            </rPr>
            <t>Experience:</t>
          </r>
          <r>
            <rPr>
              <rFont val="Calibri"/>
              <sz val="10"/>
            </rPr>
            <t xml:space="preserve"> 0.5 yrs total · 0.2 before IRIS + 0.3 at IRIS = 1.5 on the experience scale
</t>
          </r>
          <r>
            <rPr>
              <rFont val="Calibri"/>
              <b val="1"/>
              <sz val="10"/>
            </rPr>
            <t>Qualification:</t>
          </r>
          <r>
            <rPr>
              <rFont val="Calibri"/>
              <sz val="10"/>
            </rPr>
            <t xml:space="preserve"> Diploma In Computer Technology · below graduate → −0.5
</t>
          </r>
          <r>
            <rPr>
              <rFont val="Calibri"/>
              <b val="1"/>
              <sz val="10"/>
            </rPr>
            <t>Market:</t>
          </r>
          <r>
            <rPr>
              <rFont val="Calibri"/>
              <sz val="10"/>
            </rPr>
            <t xml:space="preserve"> A2 roles typically have 0–3 yrs · IRIS guide 0–2</t>
          </r>
        </is>
      </c>
      <c r="BB12"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2" s="133" t="inlineStr"/>
      <c r="BD12" s="134" t="inlineStr">
        <is>
          <t>✓ HRIS: 0.5 yrs, Diploma In Computer Technology, 0 direct reports
✓ Survey: 20 of 20 questions answered
✓ KRAs: manager-set, quarterly
✓ Manager mapping: rating, potential, 9-box
✗ Job description: not on file</t>
        </is>
      </c>
      <c r="BE12" s="134" t="inlineStr">
        <is>
          <r>
            <rPr>
              <rFont val="Calibri"/>
              <b val="1"/>
              <sz val="10"/>
            </rPr>
            <t>Market level:</t>
          </r>
          <r>
            <rPr>
              <rFont val="Calibri"/>
              <sz val="10"/>
            </rPr>
            <t xml:space="preserve"> P1–P2 · SFIA 2 Assist
</t>
          </r>
          <r>
            <rPr>
              <rFont val="Calibri"/>
              <b val="1"/>
              <sz val="10"/>
            </rPr>
            <t>Typical title:</t>
          </r>
          <r>
            <rPr>
              <rFont val="Calibri"/>
              <sz val="10"/>
            </rPr>
            <t xml:space="preserve"> Junior Data Analyst / Data Analyst
</t>
          </r>
          <r>
            <rPr>
              <rFont val="Calibri"/>
              <b val="1"/>
              <sz val="10"/>
            </rPr>
            <t>At peers:</t>
          </r>
          <r>
            <rPr>
              <rFont val="Calibri"/>
              <sz val="10"/>
            </rPr>
            <t xml:space="preserve"> Atlassian company-wide P-levels – P30 Analyst · IRIS Vs Competitor Benchmark — data analyst ladder: Data Analyst I
</t>
          </r>
          <r>
            <rPr>
              <rFont val="Calibri"/>
              <b val="1"/>
              <sz val="10"/>
            </rPr>
            <t>Typical experience:</t>
          </r>
          <r>
            <rPr>
              <rFont val="Calibri"/>
              <sz val="10"/>
            </rPr>
            <t xml:space="preserve"> 0–3 yrs · IRIS guide 0–2
</t>
          </r>
          <r>
            <rPr>
              <rFont val="Calibri"/>
              <b val="1"/>
              <sz val="10"/>
            </rPr>
            <t>Standard:</t>
          </r>
          <r>
            <rPr>
              <rFont val="Calibri"/>
              <sz val="10"/>
            </rPr>
            <t xml:space="preserve"> DAMA-DMBOK</t>
          </r>
        </is>
      </c>
      <c r="BF12" s="134" t="inlineStr">
        <is>
          <t>High</t>
        </is>
      </c>
      <c r="BG12" s="134" t="inlineStr"/>
      <c r="BH12" s="134" t="inlineStr"/>
      <c r="BI12" s="135" t="n"/>
      <c r="BJ12" s="136" t="n"/>
      <c r="BK12" s="136" t="n"/>
      <c r="BL12" s="136" t="n"/>
      <c r="BM12" s="136" t="n"/>
      <c r="BN12" s="137" t="n"/>
      <c r="BO12" s="120" t="n"/>
      <c r="BP12" s="120" t="n"/>
      <c r="BQ12" s="120" t="n"/>
      <c r="BR12" s="120" t="n"/>
      <c r="BS12" s="120" t="n"/>
      <c r="BT12" s="120" t="n"/>
      <c r="BU12" s="120" t="n"/>
      <c r="BV12" s="120" t="n">
        <v>2.5</v>
      </c>
    </row>
    <row r="13" ht="340" customHeight="1">
      <c r="A13" s="109" t="inlineStr">
        <is>
          <t>IRISDT0015</t>
        </is>
      </c>
      <c r="B13" s="110" t="inlineStr">
        <is>
          <t>Jothi Pillai</t>
        </is>
      </c>
      <c r="C13" s="111" t="inlineStr">
        <is>
          <t>Datatech - Outreach</t>
        </is>
      </c>
      <c r="D13" s="111" t="inlineStr">
        <is>
          <t>Raghin Nair</t>
        </is>
      </c>
      <c r="E13" s="112" t="n">
        <v>1.2</v>
      </c>
      <c r="F13" s="112" t="n">
        <v>0.6</v>
      </c>
      <c r="G13" s="111" t="inlineStr">
        <is>
          <t>B.Com</t>
        </is>
      </c>
      <c r="H13" s="113" t="inlineStr">
        <is>
          <t>Operations Executive</t>
        </is>
      </c>
      <c r="I13" s="114" t="inlineStr">
        <is>
          <t>Program Executive</t>
        </is>
      </c>
      <c r="J13" s="115" t="inlineStr">
        <is>
          <t>Sales &amp; Business Development</t>
        </is>
      </c>
      <c r="K13" s="115" t="inlineStr">
        <is>
          <t>Field Outreach &amp; Programme Sales</t>
        </is>
      </c>
      <c r="L13" s="115" t="inlineStr">
        <is>
          <t>L3 – Professional / Associate</t>
        </is>
      </c>
      <c r="M13" s="144" t="inlineStr">
        <is>
          <t>A2</t>
        </is>
      </c>
      <c r="N13" s="140" t="inlineStr">
        <is>
          <t>Associate</t>
        </is>
      </c>
      <c r="O13" s="26" t="inlineStr">
        <is>
          <t>A</t>
        </is>
      </c>
      <c r="P13" s="115" t="inlineStr">
        <is>
          <t>IC</t>
        </is>
      </c>
      <c r="Q13" s="117" t="inlineStr">
        <is>
          <t>• Same level</t>
        </is>
      </c>
      <c r="R13" s="118" t="inlineStr">
        <is>
          <r>
            <rPr>
              <rFont val="Calibri"/>
              <b val="1"/>
              <sz val="10"/>
            </rPr>
            <t>WHAT THE ROLE DOES:</t>
          </r>
          <r>
            <rPr>
              <rFont val="Calibri"/>
              <sz val="10"/>
            </rPr>
            <t xml:space="preserve"> Onboards MSMEs and partners in the field; generates programme leads and engagement. At A2: standard work delivered independently.
</t>
          </r>
          <r>
            <rPr>
              <rFont val="Calibri"/>
              <b val="1"/>
              <sz val="10"/>
            </rPr>
            <t>Common themes in sub-family holders, all levels' answers:</t>
          </r>
          <r>
            <rPr>
              <rFont val="Calibri"/>
              <sz val="10"/>
            </rPr>
            <t xml:space="preserve"> msme · business · relationships · building · partners · services
</t>
          </r>
          <r>
            <rPr>
              <rFont val="Calibri"/>
              <b val="1"/>
              <sz val="10"/>
            </rPr>
            <t>KEY RESPONSIBILITIES:</t>
          </r>
          <r>
            <rPr>
              <rFont val="Calibri"/>
              <sz val="10"/>
            </rPr>
            <t xml:space="preserve"> Onboards MSMEs and partners in the field; generates programme leads and engagement; Standard work of the discipline; Own deliverables · accuracy, TAT
</t>
          </r>
          <r>
            <rPr>
              <rFont val="Calibri"/>
              <b val="1"/>
              <sz val="10"/>
            </rPr>
            <t>Common themes in sub-family holders, all levels' answers:</t>
          </r>
          <r>
            <rPr>
              <rFont val="Calibri"/>
              <sz val="10"/>
            </rPr>
            <t xml:space="preserve"> business · loan · management · development · relationship · lead
</t>
          </r>
          <r>
            <rPr>
              <rFont val="Calibri"/>
              <b val="1"/>
              <sz val="10"/>
            </rPr>
            <t>DELIVERS:</t>
          </r>
          <r>
            <rPr>
              <rFont val="Calibri"/>
              <sz val="10"/>
            </rPr>
            <t xml:space="preserve"> Own deliverables · accuracy, TAT
</t>
          </r>
          <r>
            <rPr>
              <rFont val="Calibri"/>
              <b val="1"/>
              <sz val="10"/>
            </rPr>
            <t>Common themes in sub-family holders, all levels' answers:</t>
          </r>
          <r>
            <rPr>
              <rFont val="Calibri"/>
              <sz val="10"/>
            </rPr>
            <t xml:space="preserve"> sales · business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business · am · opportunities · accountable · msme · loan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leads · identify · business · potential · follow · sales
</t>
          </r>
          <r>
            <rPr>
              <rFont val="Calibri"/>
              <b val="1"/>
              <sz val="10"/>
            </rPr>
            <t>SKILLS &amp; KNOWLEDGE · role-holders:</t>
          </r>
          <r>
            <rPr>
              <rFont val="Calibri"/>
              <sz val="10"/>
            </rPr>
            <t xml:space="preserve"> Sales · Business development
</t>
          </r>
          <r>
            <rPr>
              <rFont val="Calibri"/>
              <b val="1"/>
              <sz val="10"/>
            </rPr>
            <t>TOOLS &amp; SYSTEMS:</t>
          </r>
          <r>
            <rPr>
              <rFont val="Calibri"/>
              <sz val="10"/>
            </rPr>
            <t xml:space="preserve"> CRM · WhatsApp · email
</t>
          </r>
          <r>
            <rPr>
              <rFont val="Calibri"/>
              <b val="1"/>
              <sz val="10"/>
            </rPr>
            <t>MANAGER-SET KRAs:</t>
          </r>
          <r>
            <rPr>
              <rFont val="Calibri"/>
              <sz val="10"/>
            </rPr>
            <t xml:space="preserve"> Common themes in manager-set KRAs: ramping quarter · weightage bhr · applications achieve · sales · sell · ratio ramping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2 holders, 1 answered the survey; sub-family 6 answered; catalogue RC-155</t>
          </r>
        </is>
      </c>
      <c r="S13"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business · customer · lead · delays.
</t>
          </r>
          <r>
            <rPr>
              <rFont val="Calibri"/>
              <b val="1"/>
              <sz val="10"/>
            </rPr>
            <t>Measured on · manager-set KRA themes:</t>
          </r>
          <r>
            <rPr>
              <rFont val="Calibri"/>
              <sz val="10"/>
            </rPr>
            <t xml:space="preserve"> ramping quarter · weightage bhr · applications achieve · sales · sell · ratio ramping.
Manager talent mapping — Latest rating: 2 · Potential: Low · 9-Box Grid placement: Underperformer / Exit Risk.</t>
          </r>
        </is>
      </c>
      <c r="T13" s="120" t="n"/>
      <c r="U13" s="121" t="inlineStr">
        <is>
          <r>
            <rPr>
              <rFont val="Calibri"/>
              <sz val="10"/>
            </rPr>
            <t xml:space="preserve">Program Executive in Datatech - Outreach · Datatech, A2 — IC.
</t>
          </r>
          <r>
            <rPr>
              <rFont val="Calibri"/>
              <b val="1"/>
              <sz val="10"/>
            </rPr>
            <t>The work:</t>
          </r>
          <r>
            <rPr>
              <rFont val="Calibri"/>
              <sz val="10"/>
            </rPr>
            <t xml:space="preserve"> Onboards MSMEs and partners in the field; generates programme leads and engagement.
At this level the role owns standard work delivered independently.
</t>
          </r>
          <r>
            <rPr>
              <rFont val="Calibri"/>
              <b val="1"/>
              <sz val="10"/>
            </rPr>
            <t>Key responsibilities:</t>
          </r>
          <r>
            <rPr>
              <rFont val="Calibri"/>
              <sz val="10"/>
            </rPr>
            <t xml:space="preserve"> Onboards MSMEs and partners in the field; generates programme leads and engagement; Standard work of the discipline; Own deliverables · accuracy, TAT.
</t>
          </r>
          <r>
            <rPr>
              <rFont val="Calibri"/>
              <b val="1"/>
              <sz val="10"/>
            </rPr>
            <t>Holders describe it with:</t>
          </r>
          <r>
            <rPr>
              <rFont val="Calibri"/>
              <sz val="10"/>
            </rPr>
            <t xml:space="preserve"> business · loan · management · development · relationship · lead.</t>
          </r>
        </is>
      </c>
      <c r="V13" s="122" t="inlineStr">
        <is>
          <r>
            <rPr>
              <rFont val="Calibri"/>
              <b val="1"/>
              <sz val="10"/>
            </rPr>
            <t>Hire as:</t>
          </r>
          <r>
            <rPr>
              <rFont val="Calibri"/>
              <sz val="10"/>
            </rPr>
            <t xml:space="preserve"> SDR · entry / SDR / Inside Sales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MBA preferred from B2
</t>
          </r>
          <r>
            <rPr>
              <rFont val="Calibri"/>
              <b val="1"/>
              <sz val="10"/>
            </rPr>
            <t>Equivalent titles at peers:</t>
          </r>
          <r>
            <rPr>
              <rFont val="Calibri"/>
              <sz val="10"/>
            </rPr>
            <t xml:space="preserve"> IRIS Vs Competitor Benchmark — SaaS sales ladder — IC – SDR / BDR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13" s="122" t="inlineStr">
        <is>
          <r>
            <rPr>
              <rFont val="Calibri"/>
              <sz val="10"/>
            </rPr>
            <t xml:space="preserve">FUNCTIONAL — skill level 2 of 5 · Working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Sales · Business development
</t>
          </r>
          <r>
            <rPr>
              <rFont val="Calibri"/>
              <b val="1"/>
              <sz val="10"/>
            </rPr>
            <t>TOOLS:</t>
          </r>
          <r>
            <rPr>
              <rFont val="Calibri"/>
              <sz val="10"/>
            </rPr>
            <t xml:space="preserve"> CRM · WhatsApp · email
★ = must-have for the family. Scale: 1 Awareness · 2 Working · 3 Practitioner · 4 Advanced · 5 Expert.</t>
          </r>
        </is>
      </c>
      <c r="X13" s="122" t="inlineStr">
        <is>
          <r>
            <rPr>
              <rFont val="Calibri"/>
              <sz val="10"/>
            </rPr>
            <t xml:space="preserve">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 s="123" t="inlineStr">
        <is>
          <t>Datatech · Datatech - Outreach · Band A · Early career</t>
        </is>
      </c>
      <c r="Z13" s="124" t="n">
        <v>2</v>
      </c>
      <c r="AA13" s="125">
        <f>IFERROR(INDEX(WM_C,MATCH($Y13,WM_KEY,0)),"")</f>
        <v>0.54</v>
      </c>
      <c r="AB13" s="126">
        <f>IF(Z13="","",Z13*AA13)</f>
        <v>1.08</v>
      </c>
      <c r="AC13" s="124" t="n">
        <v>2</v>
      </c>
      <c r="AD13" s="125">
        <f>IFERROR(INDEX(WM_AU,MATCH($Y13,WM_KEY,0)),"")</f>
        <v>0.21</v>
      </c>
      <c r="AE13" s="126">
        <f>IF(AC13="","",AC13*AD13)</f>
        <v>0.42</v>
      </c>
      <c r="AF13" s="124" t="n">
        <v>2</v>
      </c>
      <c r="AG13" s="125">
        <f>IFERROR(INDEX(WM_AC,MATCH($Y13,WM_KEY,0)),"")</f>
        <v>0.04</v>
      </c>
      <c r="AH13" s="126">
        <f>IF(AF13="","",AF13*AG13)</f>
        <v>0.08</v>
      </c>
      <c r="AI13" s="124" t="n">
        <v>1</v>
      </c>
      <c r="AJ13" s="125">
        <f>IFERROR(INDEX(WM_L,MATCH($Y13,WM_KEY,0)),"")</f>
        <v>0</v>
      </c>
      <c r="AK13" s="126">
        <f>IF(AI13="","",AI13*AJ13)</f>
        <v>0</v>
      </c>
      <c r="AL13" s="124" t="n">
        <v>2</v>
      </c>
      <c r="AM13" s="125">
        <f>IFERROR(INDEX(WM_E,MATCH($Y13,WM_KEY,0)),"")</f>
        <v>0.1</v>
      </c>
      <c r="AN13" s="126">
        <f>IF(AL13="","",AL13*AM13)</f>
        <v>0.2</v>
      </c>
      <c r="AO13" s="127" t="n">
        <v>2.5</v>
      </c>
      <c r="AP13" s="125">
        <f>IFERROR(INDEX(WM_BI,MATCH($Y13,WM_KEY,0)),"")</f>
        <v>0.11</v>
      </c>
      <c r="AQ13" s="126">
        <f>IF(AO13="","",AO13*AP13)</f>
        <v>0.275</v>
      </c>
      <c r="AR13" s="126">
        <f>IF(COUNT(AB13,AE13,AH13,AK13,AN13,AQ13)&lt;6,"",SUM(AB13,AE13,AH13,AK13,AN13,AQ13))</f>
        <v>2.055</v>
      </c>
      <c r="AS13" s="128" t="str">
        <f>IF(AR13="","",INDEX({"A1","A2","A3","B1","B2","B3","C1","C2","D1","D2","E1","E2"},MAX(1,MIN(12,ROUND(AR13,0)))))</f>
        <v>A2</v>
      </c>
      <c r="AT13"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3" s="130" t="inlineStr">
        <is>
          <r>
            <rPr>
              <rFont val="Calibri"/>
              <b val="1"/>
              <sz val="10"/>
            </rPr>
            <t>At build:</t>
          </r>
          <r>
            <rPr>
              <rFont val="Calibri"/>
              <sz val="10"/>
            </rPr>
            <t xml:space="preserve"> Complexity 1.08 + Autonomy 0.42 + Accountability 0.08 + Leadership 0.00 + Experience 0.20 + Business impact 0.28
= 2.06 points → nearest level 2 = A2
</t>
          </r>
          <r>
            <rPr>
              <rFont val="Calibri"/>
              <b val="1"/>
              <sz val="10"/>
            </rPr>
            <t>Final level:</t>
          </r>
          <r>
            <rPr>
              <rFont val="Calibri"/>
              <sz val="10"/>
            </rPr>
            <t xml:space="preserve"> A2 · same as the score</t>
          </r>
        </is>
      </c>
      <c r="AV13" s="130" t="inlineStr">
        <is>
          <r>
            <rPr>
              <rFont val="Calibri"/>
              <b val="1"/>
              <sz val="10"/>
            </rPr>
            <t>No rule applied:</t>
          </r>
          <r>
            <rPr>
              <rFont val="Calibri"/>
              <sz val="10"/>
            </rPr>
            <t xml:space="preserve"> the score decides.</t>
          </r>
        </is>
      </c>
      <c r="AW13"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Manager KRA only: bank submission of loan applications and BHR unit sales → matches the start
</t>
          </r>
          <r>
            <rPr>
              <rFont val="Calibri"/>
              <b val="1"/>
              <sz val="10"/>
            </rPr>
            <t>KRA:</t>
          </r>
          <r>
            <rPr>
              <rFont val="Calibri"/>
              <sz val="10"/>
            </rPr>
            <t xml:space="preserve"> “1. Business Loan Applications - Achieve 40% Submit-to-Bank ratio, ramping quarter over quarter to 40% · Baseline: ~10% - Weightage: 55% 2.…”
</t>
          </r>
          <r>
            <rPr>
              <rFont val="Calibri"/>
              <b val="1"/>
              <sz val="10"/>
            </rPr>
            <t>Market:</t>
          </r>
          <r>
            <rPr>
              <rFont val="Calibri"/>
              <sz val="10"/>
            </rPr>
            <t xml:space="preserve"> A2 = Standard work of the discipline</t>
          </r>
        </is>
      </c>
      <c r="AX13" s="145"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1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Individual KRA targets: 40% submit-to-bank ratio, 60 BHR units a quarter → matches the start
</t>
          </r>
          <r>
            <rPr>
              <rFont val="Calibri"/>
              <b val="1"/>
              <sz val="10"/>
            </rPr>
            <t>KRA:</t>
          </r>
          <r>
            <rPr>
              <rFont val="Calibri"/>
              <sz val="10"/>
            </rPr>
            <t xml:space="preserve"> “1. Business Loan Applications - Achieve 40% Submit-to-Bank ratio, ramping quarter over quarter to 40% · Baseline: ~10% - Weightage: 55% 2.…”
</t>
          </r>
          <r>
            <rPr>
              <rFont val="Calibri"/>
              <b val="1"/>
              <sz val="10"/>
            </rPr>
            <t>Market:</t>
          </r>
          <r>
            <rPr>
              <rFont val="Calibri"/>
              <sz val="10"/>
            </rPr>
            <t xml:space="preserve"> A2 = Own deliverables · accuracy, TAT</t>
          </r>
        </is>
      </c>
      <c r="AZ1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KRAs are 100% individual targets; no people responsibility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 s="132" t="inlineStr">
        <is>
          <r>
            <rPr>
              <rFont val="Calibri"/>
              <sz val="10"/>
            </rPr>
            <t xml:space="preserve">Rated 2 of 12
</t>
          </r>
          <r>
            <rPr>
              <rFont val="Calibri"/>
              <b val="1"/>
              <sz val="10"/>
            </rPr>
            <t>Experience:</t>
          </r>
          <r>
            <rPr>
              <rFont val="Calibri"/>
              <sz val="10"/>
            </rPr>
            <t xml:space="preserve"> 1.2 yrs total · 0.6 before IRIS + 0.6 at IRIS = 2.1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A2 roles typically have 0–3 yrs · IRIS guide 0–2</t>
          </r>
        </is>
      </c>
      <c r="BB13"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3" s="133" t="inlineStr"/>
      <c r="BD13" s="134" t="inlineStr">
        <is>
          <t>✓ HRIS: 1.2 yrs, B.Com, 0 direct reports
✗ Survey: no response
✓ KRAs: manager-set, quarterly
✓ Manager mapping: rating, potential, 9-box
✗ Job description: not on file</t>
        </is>
      </c>
      <c r="BE13" s="134"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BF13" s="134" t="inlineStr">
        <is>
          <t>Medium</t>
        </is>
      </c>
      <c r="BG13" s="134" t="inlineStr"/>
      <c r="BH13" s="134" t="inlineStr"/>
      <c r="BI13" s="135" t="n"/>
      <c r="BJ13" s="136" t="n"/>
      <c r="BK13" s="136" t="n"/>
      <c r="BL13" s="136" t="n"/>
      <c r="BM13" s="136" t="n"/>
      <c r="BN13" s="137" t="n"/>
      <c r="BO13" s="120" t="n"/>
      <c r="BP13" s="120" t="n"/>
      <c r="BQ13" s="120" t="n"/>
      <c r="BR13" s="120" t="n"/>
      <c r="BS13" s="120" t="n"/>
      <c r="BT13" s="120" t="n"/>
      <c r="BU13" s="120" t="n"/>
      <c r="BV13" s="120" t="n">
        <v>2.5</v>
      </c>
    </row>
    <row r="14" ht="340" customHeight="1">
      <c r="A14" s="109" t="inlineStr">
        <is>
          <t>IRISDTC003</t>
        </is>
      </c>
      <c r="B14" s="110" t="inlineStr">
        <is>
          <t>Vaibhav Dukare</t>
        </is>
      </c>
      <c r="C14" s="111" t="inlineStr">
        <is>
          <t>Datatech - Outreach</t>
        </is>
      </c>
      <c r="D14" s="111" t="inlineStr">
        <is>
          <t>Raghin Nair</t>
        </is>
      </c>
      <c r="E14" s="112" t="n">
        <v>1.7</v>
      </c>
      <c r="F14" s="112" t="n">
        <v>0.5</v>
      </c>
      <c r="G14" s="111" t="inlineStr">
        <is>
          <t>B.E</t>
        </is>
      </c>
      <c r="H14" s="113" t="inlineStr">
        <is>
          <t>Customer Engagement Executive</t>
        </is>
      </c>
      <c r="I14" s="114" t="inlineStr">
        <is>
          <t>Program Executive</t>
        </is>
      </c>
      <c r="J14" s="115" t="inlineStr">
        <is>
          <t>Sales &amp; Business Development</t>
        </is>
      </c>
      <c r="K14" s="115" t="inlineStr">
        <is>
          <t>Field Outreach &amp; Programme Sales</t>
        </is>
      </c>
      <c r="L14" s="115" t="inlineStr">
        <is>
          <t>L3 – Professional / Associate</t>
        </is>
      </c>
      <c r="M14" s="144" t="inlineStr">
        <is>
          <t>A2</t>
        </is>
      </c>
      <c r="N14" s="140" t="inlineStr">
        <is>
          <t>Associate</t>
        </is>
      </c>
      <c r="O14" s="26" t="inlineStr">
        <is>
          <t>A</t>
        </is>
      </c>
      <c r="P14" s="115" t="inlineStr">
        <is>
          <t>IC</t>
        </is>
      </c>
      <c r="Q14" s="117" t="inlineStr">
        <is>
          <t>• Same level</t>
        </is>
      </c>
      <c r="R14" s="118" t="inlineStr">
        <is>
          <r>
            <rPr>
              <rFont val="Calibri"/>
              <b val="1"/>
              <sz val="10"/>
            </rPr>
            <t>WHAT THE ROLE DOES:</t>
          </r>
          <r>
            <rPr>
              <rFont val="Calibri"/>
              <sz val="10"/>
            </rPr>
            <t xml:space="preserve"> Onboards MSMEs and partners in the field; generates programme leads and engagement. At A2: standard work delivered independently.
</t>
          </r>
          <r>
            <rPr>
              <rFont val="Calibri"/>
              <b val="1"/>
              <sz val="10"/>
            </rPr>
            <t>Common themes in sub-family holders, all levels' answers:</t>
          </r>
          <r>
            <rPr>
              <rFont val="Calibri"/>
              <sz val="10"/>
            </rPr>
            <t xml:space="preserve"> msme · business · relationships · building · partners · services
</t>
          </r>
          <r>
            <rPr>
              <rFont val="Calibri"/>
              <b val="1"/>
              <sz val="10"/>
            </rPr>
            <t>KEY RESPONSIBILITIES:</t>
          </r>
          <r>
            <rPr>
              <rFont val="Calibri"/>
              <sz val="10"/>
            </rPr>
            <t xml:space="preserve"> Onboards MSMEs and partners in the field; generates programme leads and engagement; Standard work of the discipline; Own deliverables · accuracy, TAT
</t>
          </r>
          <r>
            <rPr>
              <rFont val="Calibri"/>
              <b val="1"/>
              <sz val="10"/>
            </rPr>
            <t>Common themes in sub-family holders, all levels' answers:</t>
          </r>
          <r>
            <rPr>
              <rFont val="Calibri"/>
              <sz val="10"/>
            </rPr>
            <t xml:space="preserve"> business · loan · management · development · relationship · lead
</t>
          </r>
          <r>
            <rPr>
              <rFont val="Calibri"/>
              <b val="1"/>
              <sz val="10"/>
            </rPr>
            <t>DELIVERS:</t>
          </r>
          <r>
            <rPr>
              <rFont val="Calibri"/>
              <sz val="10"/>
            </rPr>
            <t xml:space="preserve"> Own deliverables · accuracy, TAT
</t>
          </r>
          <r>
            <rPr>
              <rFont val="Calibri"/>
              <b val="1"/>
              <sz val="10"/>
            </rPr>
            <t>Common themes in sub-family holders, all levels' answers:</t>
          </r>
          <r>
            <rPr>
              <rFont val="Calibri"/>
              <sz val="10"/>
            </rPr>
            <t xml:space="preserve"> sales · business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business · am · opportunities · accountable · msme · loan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leads · identify · business · potential · follow · sales
</t>
          </r>
          <r>
            <rPr>
              <rFont val="Calibri"/>
              <b val="1"/>
              <sz val="10"/>
            </rPr>
            <t>SKILLS &amp; KNOWLEDGE · role-holders:</t>
          </r>
          <r>
            <rPr>
              <rFont val="Calibri"/>
              <sz val="10"/>
            </rPr>
            <t xml:space="preserve"> Sales · Business development
</t>
          </r>
          <r>
            <rPr>
              <rFont val="Calibri"/>
              <b val="1"/>
              <sz val="10"/>
            </rPr>
            <t>TOOLS &amp; SYSTEMS:</t>
          </r>
          <r>
            <rPr>
              <rFont val="Calibri"/>
              <sz val="10"/>
            </rPr>
            <t xml:space="preserve"> CRM · WhatsApp · email
</t>
          </r>
          <r>
            <rPr>
              <rFont val="Calibri"/>
              <b val="1"/>
              <sz val="10"/>
            </rPr>
            <t>MANAGER-SET KRAs:</t>
          </r>
          <r>
            <rPr>
              <rFont val="Calibri"/>
              <sz val="10"/>
            </rPr>
            <t xml:space="preserve"> Common themes in manager-set KRAs: ramping quarter · weightage bhr · applications achieve · sales · sell · ratio ramping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2 holders, 1 answered the survey; sub-family 6 answered; catalogue RC-155</t>
          </r>
        </is>
      </c>
      <c r="S14"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business · customer · lead · delays.
</t>
          </r>
          <r>
            <rPr>
              <rFont val="Calibri"/>
              <b val="1"/>
              <sz val="10"/>
            </rPr>
            <t>Measured on · manager-set KRA themes:</t>
          </r>
          <r>
            <rPr>
              <rFont val="Calibri"/>
              <sz val="10"/>
            </rPr>
            <t xml:space="preserve"> ramping quarter · weightage bhr · applications achieve · sales · sell · ratio ramping.
Manager talent mapping — Latest rating: 3 · Potential: Medium · 9-Box Grid placement: Core Contributor.</t>
          </r>
        </is>
      </c>
      <c r="T14" s="120" t="n"/>
      <c r="U14" s="121" t="inlineStr">
        <is>
          <r>
            <rPr>
              <rFont val="Calibri"/>
              <sz val="10"/>
            </rPr>
            <t xml:space="preserve">Program Executive in Datatech - Outreach · Datatech, A2 — IC.
</t>
          </r>
          <r>
            <rPr>
              <rFont val="Calibri"/>
              <b val="1"/>
              <sz val="10"/>
            </rPr>
            <t>The work:</t>
          </r>
          <r>
            <rPr>
              <rFont val="Calibri"/>
              <sz val="10"/>
            </rPr>
            <t xml:space="preserve"> Onboards MSMEs and partners in the field; generates programme leads and engagement.
At this level the role owns standard work delivered independently.
</t>
          </r>
          <r>
            <rPr>
              <rFont val="Calibri"/>
              <b val="1"/>
              <sz val="10"/>
            </rPr>
            <t>Key responsibilities:</t>
          </r>
          <r>
            <rPr>
              <rFont val="Calibri"/>
              <sz val="10"/>
            </rPr>
            <t xml:space="preserve"> Onboards MSMEs and partners in the field; generates programme leads and engagement; Standard work of the discipline; Own deliverables · accuracy, TAT.
</t>
          </r>
          <r>
            <rPr>
              <rFont val="Calibri"/>
              <b val="1"/>
              <sz val="10"/>
            </rPr>
            <t>Holders describe it with:</t>
          </r>
          <r>
            <rPr>
              <rFont val="Calibri"/>
              <sz val="10"/>
            </rPr>
            <t xml:space="preserve"> business · loan · management · development · relationship · lead.</t>
          </r>
        </is>
      </c>
      <c r="V14" s="122" t="inlineStr">
        <is>
          <r>
            <rPr>
              <rFont val="Calibri"/>
              <b val="1"/>
              <sz val="10"/>
            </rPr>
            <t>Hire as:</t>
          </r>
          <r>
            <rPr>
              <rFont val="Calibri"/>
              <sz val="10"/>
            </rPr>
            <t xml:space="preserve"> SDR · entry / SDR / Inside Sales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MBA preferred from B2
</t>
          </r>
          <r>
            <rPr>
              <rFont val="Calibri"/>
              <b val="1"/>
              <sz val="10"/>
            </rPr>
            <t>Equivalent titles at peers:</t>
          </r>
          <r>
            <rPr>
              <rFont val="Calibri"/>
              <sz val="10"/>
            </rPr>
            <t xml:space="preserve"> IRIS Vs Competitor Benchmark — SaaS sales ladder — IC – SDR / BDR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14" s="122" t="inlineStr">
        <is>
          <r>
            <rPr>
              <rFont val="Calibri"/>
              <sz val="10"/>
            </rPr>
            <t xml:space="preserve">FUNCTIONAL — skill level 2 of 5 · Working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Sales · Business development
</t>
          </r>
          <r>
            <rPr>
              <rFont val="Calibri"/>
              <b val="1"/>
              <sz val="10"/>
            </rPr>
            <t>TOOLS:</t>
          </r>
          <r>
            <rPr>
              <rFont val="Calibri"/>
              <sz val="10"/>
            </rPr>
            <t xml:space="preserve"> CRM · WhatsApp · email
★ = must-have for the family. Scale: 1 Awareness · 2 Working · 3 Practitioner · 4 Advanced · 5 Expert.</t>
          </r>
        </is>
      </c>
      <c r="X14" s="122" t="inlineStr">
        <is>
          <r>
            <rPr>
              <rFont val="Calibri"/>
              <sz val="10"/>
            </rPr>
            <t xml:space="preserve">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 s="123" t="inlineStr">
        <is>
          <t>Datatech · Datatech - Outreach · Band A · Early career</t>
        </is>
      </c>
      <c r="Z14" s="124" t="n">
        <v>2</v>
      </c>
      <c r="AA14" s="125">
        <f>IFERROR(INDEX(WM_C,MATCH($Y14,WM_KEY,0)),"")</f>
        <v>0.54</v>
      </c>
      <c r="AB14" s="126">
        <f>IF(Z14="","",Z14*AA14)</f>
        <v>1.08</v>
      </c>
      <c r="AC14" s="124" t="n">
        <v>2</v>
      </c>
      <c r="AD14" s="125">
        <f>IFERROR(INDEX(WM_AU,MATCH($Y14,WM_KEY,0)),"")</f>
        <v>0.21</v>
      </c>
      <c r="AE14" s="126">
        <f>IF(AC14="","",AC14*AD14)</f>
        <v>0.42</v>
      </c>
      <c r="AF14" s="124" t="n">
        <v>2</v>
      </c>
      <c r="AG14" s="125">
        <f>IFERROR(INDEX(WM_AC,MATCH($Y14,WM_KEY,0)),"")</f>
        <v>0.04</v>
      </c>
      <c r="AH14" s="126">
        <f>IF(AF14="","",AF14*AG14)</f>
        <v>0.08</v>
      </c>
      <c r="AI14" s="124" t="n">
        <v>1</v>
      </c>
      <c r="AJ14" s="125">
        <f>IFERROR(INDEX(WM_L,MATCH($Y14,WM_KEY,0)),"")</f>
        <v>0</v>
      </c>
      <c r="AK14" s="126">
        <f>IF(AI14="","",AI14*AJ14)</f>
        <v>0</v>
      </c>
      <c r="AL14" s="124" t="n">
        <v>2.5</v>
      </c>
      <c r="AM14" s="125">
        <f>IFERROR(INDEX(WM_E,MATCH($Y14,WM_KEY,0)),"")</f>
        <v>0.1</v>
      </c>
      <c r="AN14" s="126">
        <f>IF(AL14="","",AL14*AM14)</f>
        <v>0.25</v>
      </c>
      <c r="AO14" s="127" t="n">
        <v>2.5</v>
      </c>
      <c r="AP14" s="125">
        <f>IFERROR(INDEX(WM_BI,MATCH($Y14,WM_KEY,0)),"")</f>
        <v>0.11</v>
      </c>
      <c r="AQ14" s="126">
        <f>IF(AO14="","",AO14*AP14)</f>
        <v>0.275</v>
      </c>
      <c r="AR14" s="126">
        <f>IF(COUNT(AB14,AE14,AH14,AK14,AN14,AQ14)&lt;6,"",SUM(AB14,AE14,AH14,AK14,AN14,AQ14))</f>
        <v>2.105</v>
      </c>
      <c r="AS14" s="128" t="str">
        <f>IF(AR14="","",INDEX({"A1","A2","A3","B1","B2","B3","C1","C2","D1","D2","E1","E2"},MAX(1,MIN(12,ROUND(AR14,0)))))</f>
        <v>A2</v>
      </c>
      <c r="AT14"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4" s="130" t="inlineStr">
        <is>
          <r>
            <rPr>
              <rFont val="Calibri"/>
              <b val="1"/>
              <sz val="10"/>
            </rPr>
            <t>At build:</t>
          </r>
          <r>
            <rPr>
              <rFont val="Calibri"/>
              <sz val="10"/>
            </rPr>
            <t xml:space="preserve"> Complexity 1.08 + Autonomy 0.42 + Accountability 0.08 + Leadership 0.00 + Experience 0.25 + Business impact 0.28
= 2.10 points → nearest level 2 = A2
</t>
          </r>
          <r>
            <rPr>
              <rFont val="Calibri"/>
              <b val="1"/>
              <sz val="10"/>
            </rPr>
            <t>Final level:</t>
          </r>
          <r>
            <rPr>
              <rFont val="Calibri"/>
              <sz val="10"/>
            </rPr>
            <t xml:space="preserve"> A2 · same as the score</t>
          </r>
        </is>
      </c>
      <c r="AV14" s="130" t="inlineStr">
        <is>
          <r>
            <rPr>
              <rFont val="Calibri"/>
              <b val="1"/>
              <sz val="10"/>
            </rPr>
            <t>No rule applied:</t>
          </r>
          <r>
            <rPr>
              <rFont val="Calibri"/>
              <sz val="10"/>
            </rPr>
            <t xml:space="preserve"> the score decides.</t>
          </r>
        </is>
      </c>
      <c r="AW14"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Cold calls MSMEs, files loan applications on Peridot, maintains Excel sheet → matches the start
</t>
          </r>
          <r>
            <rPr>
              <rFont val="Calibri"/>
              <b val="1"/>
              <sz val="10"/>
            </rPr>
            <t>KRA:</t>
          </r>
          <r>
            <rPr>
              <rFont val="Calibri"/>
              <sz val="10"/>
            </rPr>
            <t xml:space="preserve"> “1. Business Loan Applications - Achieve 40% Submit-to-Bank ratio, ramping quarter over quarter to 40% · Baseline: ~10% - Weightage: 55% 2.…”
</t>
          </r>
          <r>
            <rPr>
              <rFont val="Calibri"/>
              <b val="1"/>
              <sz val="10"/>
            </rPr>
            <t>Market:</t>
          </r>
          <r>
            <rPr>
              <rFont val="Calibri"/>
              <sz val="10"/>
            </rPr>
            <t xml:space="preserve"> A2 = Standard work of the discipline</t>
          </r>
        </is>
      </c>
      <c r="AX14"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Decision answer vague · 'Sales', 'moderate load'; routine customer guidance only → matches the start
</t>
          </r>
          <r>
            <rPr>
              <rFont val="Calibri"/>
              <b val="1"/>
              <sz val="10"/>
            </rPr>
            <t>Market:</t>
          </r>
          <r>
            <rPr>
              <rFont val="Calibri"/>
              <sz val="10"/>
            </rPr>
            <t xml:space="preserve"> A2 = Chooses own approach within standards</t>
          </r>
        </is>
      </c>
      <c r="AY14"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loan applications and Business Health Report leads for MSMEs → matches the start
</t>
          </r>
          <r>
            <rPr>
              <rFont val="Calibri"/>
              <b val="1"/>
              <sz val="10"/>
            </rPr>
            <t>KRA:</t>
          </r>
          <r>
            <rPr>
              <rFont val="Calibri"/>
              <sz val="10"/>
            </rPr>
            <t xml:space="preserve"> “1. Business Loan Applications - Achieve 40% Submit-to-Bank ratio, ramping quarter over quarter to 40% · Baseline: ~10% - Weightage: 55% 2.…”
</t>
          </r>
          <r>
            <rPr>
              <rFont val="Calibri"/>
              <b val="1"/>
              <sz val="10"/>
            </rPr>
            <t>Market:</t>
          </r>
          <r>
            <rPr>
              <rFont val="Calibri"/>
              <sz val="10"/>
            </rPr>
            <t xml:space="preserve"> A2 = Own deliverables · accuracy, TAT</t>
          </r>
        </is>
      </c>
      <c r="AZ14"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 s="132" t="inlineStr">
        <is>
          <r>
            <rPr>
              <rFont val="Calibri"/>
              <sz val="10"/>
            </rPr>
            <t xml:space="preserve">Rated 2.5 of 12 · between A2 and A3
</t>
          </r>
          <r>
            <rPr>
              <rFont val="Calibri"/>
              <b val="1"/>
              <sz val="10"/>
            </rPr>
            <t>Experience:</t>
          </r>
          <r>
            <rPr>
              <rFont val="Calibri"/>
              <sz val="10"/>
            </rPr>
            <t xml:space="preserve"> 1.7 yrs total · 1.2 before IRIS + 0.5 at IRIS = 2.4 on the experience scale
</t>
          </r>
          <r>
            <rPr>
              <rFont val="Calibri"/>
              <b val="1"/>
              <sz val="10"/>
            </rPr>
            <t>Qualification:</t>
          </r>
          <r>
            <rPr>
              <rFont val="Calibri"/>
              <sz val="10"/>
            </rPr>
            <t xml:space="preserve"> B.E · graduate → no change
</t>
          </r>
          <r>
            <rPr>
              <rFont val="Calibri"/>
              <b val="1"/>
              <sz val="10"/>
            </rPr>
            <t>Market:</t>
          </r>
          <r>
            <rPr>
              <rFont val="Calibri"/>
              <sz val="10"/>
            </rPr>
            <t xml:space="preserve"> A2 roles typically have 0–3 yrs · IRIS guide 0–2</t>
          </r>
        </is>
      </c>
      <c r="BB14"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4" s="133" t="inlineStr"/>
      <c r="BD14" s="134" t="inlineStr">
        <is>
          <t>✓ HRIS: 1.7 yrs, B.E, 0 direct reports
✓ Survey: 19 of 20 questions answered
✓ KRAs: manager-set, quarterly
✓ Manager mapping: rating, potential, 9-box
✗ Job description: not on file</t>
        </is>
      </c>
      <c r="BE14" s="134"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BF14" s="134" t="inlineStr">
        <is>
          <t>Medium</t>
        </is>
      </c>
      <c r="BG14" s="134" t="inlineStr"/>
      <c r="BH14" s="134" t="inlineStr"/>
      <c r="BI14" s="135" t="n"/>
      <c r="BJ14" s="136" t="n"/>
      <c r="BK14" s="136" t="n"/>
      <c r="BL14" s="136" t="n"/>
      <c r="BM14" s="136" t="n"/>
      <c r="BN14" s="137" t="n"/>
      <c r="BO14" s="120" t="n"/>
      <c r="BP14" s="120" t="n"/>
      <c r="BQ14" s="120" t="n"/>
      <c r="BR14" s="120" t="n"/>
      <c r="BS14" s="120" t="n"/>
      <c r="BT14" s="120" t="n"/>
      <c r="BU14" s="120" t="n"/>
      <c r="BV14" s="120" t="n">
        <v>2.5</v>
      </c>
    </row>
    <row r="15" ht="340" customHeight="1">
      <c r="A15" s="109" t="inlineStr">
        <is>
          <t>IRISDT0001</t>
        </is>
      </c>
      <c r="B15" s="110" t="inlineStr">
        <is>
          <t>Shilpa Dhobale</t>
        </is>
      </c>
      <c r="C15" s="111" t="inlineStr">
        <is>
          <t>Datatech Business Head</t>
        </is>
      </c>
      <c r="D15" s="111" t="inlineStr">
        <is>
          <t>Balachandran K</t>
        </is>
      </c>
      <c r="E15" s="112" t="n">
        <v>3.8</v>
      </c>
      <c r="F15" s="112" t="n">
        <v>1.8</v>
      </c>
      <c r="G15" s="111" t="inlineStr">
        <is>
          <t>CWA</t>
        </is>
      </c>
      <c r="H15" s="142" t="inlineStr">
        <is>
          <t>Business Head - DataTech</t>
        </is>
      </c>
      <c r="I15" s="115" t="inlineStr">
        <is>
          <t>Business Head – DataTech</t>
        </is>
      </c>
      <c r="J15" s="115" t="inlineStr">
        <is>
          <t>Executive Leadership</t>
        </is>
      </c>
      <c r="K15" s="115" t="inlineStr">
        <is>
          <t>Business &amp; Functional Leadership</t>
        </is>
      </c>
      <c r="L15" s="114" t="inlineStr">
        <is>
          <t>L7 – Head / Sr Director</t>
        </is>
      </c>
      <c r="M15" s="138" t="inlineStr">
        <is>
          <t>D2</t>
        </is>
      </c>
      <c r="N15" s="146" t="inlineStr">
        <is>
          <t>Vice President</t>
        </is>
      </c>
      <c r="O15" s="39" t="inlineStr">
        <is>
          <t>D</t>
        </is>
      </c>
      <c r="P15" s="115" t="inlineStr">
        <is>
          <t>People Manager</t>
        </is>
      </c>
      <c r="Q15" s="141" t="inlineStr">
        <is>
          <t>▲ Up</t>
        </is>
      </c>
      <c r="R15" s="118" t="inlineStr">
        <is>
          <r>
            <rPr>
              <rFont val="Calibri"/>
              <b val="1"/>
              <sz val="10"/>
            </rPr>
            <t>WHAT THE ROLE DOES:</t>
          </r>
          <r>
            <rPr>
              <rFont val="Calibri"/>
              <sz val="10"/>
            </rPr>
            <t xml:space="preserve"> Owns a business line or enterprise function end to end. At D2: several business lines or an executive-scope enterprise function.
</t>
          </r>
          <r>
            <rPr>
              <rFont val="Calibri"/>
              <b val="1"/>
              <sz val="10"/>
            </rPr>
            <t>KEY RESPONSIBILITIES:</t>
          </r>
          <r>
            <rPr>
              <rFont val="Calibri"/>
              <sz val="10"/>
            </rPr>
            <t xml:space="preserve"> Owns a business line or enterprise function end to end; Portfolio-level strategic, financial and regulatory trade-offs; Multi-business results
</t>
          </r>
          <r>
            <rPr>
              <rFont val="Calibri"/>
              <b val="1"/>
              <sz val="10"/>
            </rPr>
            <t>DELIVERS:</t>
          </r>
          <r>
            <rPr>
              <rFont val="Calibri"/>
              <sz val="10"/>
            </rPr>
            <t xml:space="preserve"> Multi-business results
</t>
          </r>
          <r>
            <rPr>
              <rFont val="Calibri"/>
              <b val="1"/>
              <sz val="10"/>
            </rPr>
            <t>DECIDES ALONE:</t>
          </r>
          <r>
            <rPr>
              <rFont val="Calibri"/>
              <sz val="10"/>
            </rPr>
            <t xml:space="preserve"> Sets direction across business lines
</t>
          </r>
          <r>
            <rPr>
              <rFont val="Calibri"/>
              <b val="1"/>
              <sz val="10"/>
            </rPr>
            <t>SKILLS &amp; KNOWLEDGE · role-holders:</t>
          </r>
          <r>
            <rPr>
              <rFont val="Calibri"/>
              <sz val="10"/>
            </rPr>
            <t xml:space="preserve"> Product Management
COMPETENCIES REQUIRED — must-have ★: Strategic Thinking &amp; Business Acumen · People Leadership &amp; Mentoring
</t>
          </r>
          <r>
            <rPr>
              <rFont val="Calibri"/>
              <b val="1"/>
              <sz val="10"/>
            </rPr>
            <t>OTHER FUNCTIONAL COMPETENCIES:</t>
          </r>
          <r>
            <rPr>
              <rFont val="Calibri"/>
              <sz val="10"/>
            </rPr>
            <t xml:space="preserve"> Stakeholder &amp; Client Management · Product, Platform &amp; Domain Knowledge · Regulatory &amp; BFSI Domain · Communication &amp; Presentation
</t>
          </r>
          <r>
            <rPr>
              <rFont val="Calibri"/>
              <b val="1"/>
              <sz val="10"/>
            </rPr>
            <t>PROFICIENCY NEEDED AT THIS LEVEL:</t>
          </r>
          <r>
            <rPr>
              <rFont val="Calibri"/>
              <sz val="10"/>
            </rPr>
            <t xml:space="preserve"> Core 5 · Future-ready 4 · Functional 4 · Leadership 5
</t>
          </r>
          <r>
            <rPr>
              <rFont val="Calibri"/>
              <b val="1"/>
              <sz val="10"/>
            </rPr>
            <t>CREDENTIALS:</t>
          </r>
          <r>
            <rPr>
              <rFont val="Calibri"/>
              <sz val="10"/>
            </rPr>
            <t xml:space="preserve"> MBA / PGDM · preferred at C+
</t>
          </r>
          <r>
            <rPr>
              <rFont val="Calibri"/>
              <b val="1"/>
              <sz val="10"/>
            </rPr>
            <t>SOURCE:</t>
          </r>
          <r>
            <rPr>
              <rFont val="Calibri"/>
              <sz val="10"/>
            </rPr>
            <t xml:space="preserve"> Framework only · fewer than 3 answered — 3 holders, 0 answered the survey; sub-family 0 answered; catalogue RC-091</t>
          </r>
        </is>
      </c>
      <c r="S15" s="119" t="inlineStr">
        <is>
          <r>
            <rPr>
              <rFont val="Calibri"/>
              <b val="1"/>
              <sz val="10"/>
            </rPr>
            <t>What the role answers for:</t>
          </r>
          <r>
            <rPr>
              <rFont val="Calibri"/>
              <sz val="10"/>
            </rPr>
            <t xml:space="preserve"> Multi-business results.
</t>
          </r>
          <r>
            <rPr>
              <rFont val="Calibri"/>
              <b val="1"/>
              <sz val="10"/>
            </rPr>
            <t>Accountability &amp; Impact rating:</t>
          </r>
          <r>
            <rPr>
              <rFont val="Calibri"/>
              <sz val="10"/>
            </rPr>
            <t xml:space="preserve"> 9 of 12 · D1-level impact.
Leads 9 direct reports.
From the survey and manager mapping — critical role: yes; successor named: no.
Manager talent mapping — Latest rating: 3 · 9-Box Grid placement: Future Leader.</t>
          </r>
        </is>
      </c>
      <c r="T15" s="120" t="n"/>
      <c r="U15" s="121" t="inlineStr">
        <is>
          <r>
            <rPr>
              <rFont val="Calibri"/>
              <sz val="10"/>
            </rPr>
            <t xml:space="preserve">Business Head – DataTech in Datatech Business Head · Datatech, D2 — People Manager.
</t>
          </r>
          <r>
            <rPr>
              <rFont val="Calibri"/>
              <b val="1"/>
              <sz val="10"/>
            </rPr>
            <t>The work:</t>
          </r>
          <r>
            <rPr>
              <rFont val="Calibri"/>
              <sz val="10"/>
            </rPr>
            <t xml:space="preserve"> Owns a business line or enterprise function end to end.
At this level the role owns several business lines or an executive-scope enterprise function.
</t>
          </r>
          <r>
            <rPr>
              <rFont val="Calibri"/>
              <b val="1"/>
              <sz val="10"/>
            </rPr>
            <t>Key responsibilities:</t>
          </r>
          <r>
            <rPr>
              <rFont val="Calibri"/>
              <sz val="10"/>
            </rPr>
            <t xml:space="preserve"> Owns a business line or enterprise function end to end; Portfolio-level strategic, financial and regulatory trade-offs; Multi-business results.
Leads 9 direct reports.</t>
          </r>
        </is>
      </c>
      <c r="V15" s="122" t="inlineStr">
        <is>
          <r>
            <rPr>
              <rFont val="Calibri"/>
              <b val="1"/>
              <sz val="10"/>
            </rPr>
            <t>Hire as:</t>
          </r>
          <r>
            <rPr>
              <rFont val="Calibri"/>
              <sz val="10"/>
            </rPr>
            <t xml:space="preserve"> Associate Vice President / Business Head — IRIS D2 Vice President · People Manager
</t>
          </r>
          <r>
            <rPr>
              <rFont val="Calibri"/>
              <b val="1"/>
              <sz val="10"/>
            </rPr>
            <t>Market level:</t>
          </r>
          <r>
            <rPr>
              <rFont val="Calibri"/>
              <sz val="10"/>
            </rPr>
            <t xml:space="preserve"> E3–E4 · SFIA 7 Set strategy
</t>
          </r>
          <r>
            <rPr>
              <rFont val="Calibri"/>
              <b val="1"/>
              <sz val="10"/>
            </rPr>
            <t>Experience:</t>
          </r>
          <r>
            <rPr>
              <rFont val="Calibri"/>
              <sz val="10"/>
            </rPr>
            <t xml:space="preserve"> 18–24 yrs · Education: Postgraduate / professional qualification
</t>
          </r>
          <r>
            <rPr>
              <rFont val="Calibri"/>
              <b val="1"/>
              <sz val="10"/>
            </rPr>
            <t>Team size at this level:</t>
          </r>
          <r>
            <rPr>
              <rFont val="Calibri"/>
              <sz val="10"/>
            </rPr>
            <t xml:space="preserve"> 5–8 AVPs / heads
</t>
          </r>
          <r>
            <rPr>
              <rFont val="Calibri"/>
              <b val="1"/>
              <sz val="10"/>
            </rPr>
            <t>Equivalent titles at peers:</t>
          </r>
          <r>
            <rPr>
              <rFont val="Calibri"/>
              <sz val="10"/>
            </rPr>
            <t xml:space="preserve"> IRIS Vs Market Benchmark — Aon Radford / Mercer executive codes – E3–E4 SVP · IRIS Vs Competitor Benchmark — regtech / SaaS executive titles – SVP
</t>
          </r>
          <r>
            <rPr>
              <rFont val="Calibri"/>
              <b val="1"/>
              <sz val="10"/>
            </rPr>
            <t>Credentials:</t>
          </r>
          <r>
            <rPr>
              <rFont val="Calibri"/>
              <sz val="10"/>
            </rPr>
            <t xml:space="preserve"> MBA / PGDM · preferred at C+
</t>
          </r>
          <r>
            <rPr>
              <rFont val="Calibri"/>
              <b val="1"/>
              <sz val="10"/>
            </rPr>
            <t>Must already know:</t>
          </r>
          <r>
            <rPr>
              <rFont val="Calibri"/>
              <sz val="10"/>
            </rPr>
            <t xml:space="preserve"> Governance, risk and regulatory accountability</t>
          </r>
        </is>
      </c>
      <c r="W15" s="122" t="inlineStr">
        <is>
          <r>
            <rPr>
              <rFont val="Calibri"/>
              <sz val="10"/>
            </rPr>
            <t xml:space="preserve">FUNCTIONAL — skill level 4 of 5 · Advanced
 ★ Strategic Thinking &amp; Business Acumen: Shapes strategy, pricing or investment choices
 ★ People Leadership &amp; Mentoring: Leads leaders; builds succession
 •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
CORE — skill level 5 of 5 · Expert
 •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5 of 5 · Expert
 •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
</t>
          </r>
          <r>
            <rPr>
              <rFont val="Calibri"/>
              <b val="1"/>
              <sz val="10"/>
            </rPr>
            <t>SKILLS · from role-holders and HRIS:</t>
          </r>
          <r>
            <rPr>
              <rFont val="Calibri"/>
              <sz val="10"/>
            </rPr>
            <t xml:space="preserve"> Product Management
★ = must-have for the family. Scale: 1 Awareness · 2 Working · 3 Practitioner · 4 Advanced · 5 Expert.</t>
          </r>
        </is>
      </c>
      <c r="X15" s="122" t="inlineStr">
        <is>
          <r>
            <rPr>
              <rFont val="Calibri"/>
              <sz val="10"/>
            </rPr>
            <t xml:space="preserve">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t>
          </r>
          <r>
            <rPr>
              <rFont val="Calibri"/>
              <b val="1"/>
              <sz val="10"/>
            </rPr>
            <t>Fit check:</t>
          </r>
          <r>
            <rPr>
              <rFont val="Calibri"/>
              <sz val="10"/>
            </rPr>
            <t xml:space="preserve"> Why this role, why IRIS · regulatory reporting / XBRL / regtech, and what would you change in your first 90 days?</t>
          </r>
        </is>
      </c>
      <c r="Y15" s="123" t="inlineStr">
        <is>
          <t>Datatech · Datatech Business Head · Bands D–E · Leadership</t>
        </is>
      </c>
      <c r="Z15" s="124" t="n">
        <v>9</v>
      </c>
      <c r="AA15" s="125">
        <f>IFERROR(INDEX(WM_C,MATCH($Y15,WM_KEY,0)),"")</f>
        <v>0.37</v>
      </c>
      <c r="AB15" s="126">
        <f>IF(Z15="","",Z15*AA15)</f>
        <v>3.33</v>
      </c>
      <c r="AC15" s="124" t="n">
        <v>9</v>
      </c>
      <c r="AD15" s="125">
        <f>IFERROR(INDEX(WM_AU,MATCH($Y15,WM_KEY,0)),"")</f>
        <v>0.19</v>
      </c>
      <c r="AE15" s="126">
        <f>IF(AC15="","",AC15*AD15)</f>
        <v>1.71</v>
      </c>
      <c r="AF15" s="124" t="n">
        <v>9</v>
      </c>
      <c r="AG15" s="125">
        <f>IFERROR(INDEX(WM_AC,MATCH($Y15,WM_KEY,0)),"")</f>
        <v>0.11</v>
      </c>
      <c r="AH15" s="126">
        <f>IF(AF15="","",AF15*AG15)</f>
        <v>0.99</v>
      </c>
      <c r="AI15" s="124" t="n">
        <v>9</v>
      </c>
      <c r="AJ15" s="125">
        <f>IFERROR(INDEX(WM_L,MATCH($Y15,WM_KEY,0)),"")</f>
        <v>0.2</v>
      </c>
      <c r="AK15" s="126">
        <f>IF(AI15="","",AI15*AJ15)</f>
        <v>1.8</v>
      </c>
      <c r="AL15" s="124" t="n">
        <v>4.5</v>
      </c>
      <c r="AM15" s="125">
        <f>IFERROR(INDEX(WM_E,MATCH($Y15,WM_KEY,0)),"")</f>
        <v>0.05</v>
      </c>
      <c r="AN15" s="126">
        <f>IF(AL15="","",AL15*AM15)</f>
        <v>0.225</v>
      </c>
      <c r="AO15" s="127" t="n">
        <v>9.5</v>
      </c>
      <c r="AP15" s="125">
        <f>IFERROR(INDEX(WM_BI,MATCH($Y15,WM_KEY,0)),"")</f>
        <v>0.08</v>
      </c>
      <c r="AQ15" s="126">
        <f>IF(AO15="","",AO15*AP15)</f>
        <v>0.76</v>
      </c>
      <c r="AR15" s="126">
        <f>IF(COUNT(AB15,AE15,AH15,AK15,AN15,AQ15)&lt;6,"",SUM(AB15,AE15,AH15,AK15,AN15,AQ15))</f>
        <v>8.815</v>
      </c>
      <c r="AS15" s="128" t="str">
        <f>IF(AR15="","",INDEX({"A1","A2","A3","B1","B2","B3","C1","C2","D1","D2","E1","E2"},MAX(1,MIN(12,ROUND(AR15,0)))))</f>
        <v>D1</v>
      </c>
      <c r="AT15" s="129" t="inlineStr">
        <is>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t>
          </r>
        </is>
      </c>
      <c r="AU15" s="130" t="inlineStr">
        <is>
          <r>
            <rPr>
              <rFont val="Calibri"/>
              <b val="1"/>
              <sz val="10"/>
            </rPr>
            <t>At build:</t>
          </r>
          <r>
            <rPr>
              <rFont val="Calibri"/>
              <sz val="10"/>
            </rPr>
            <t xml:space="preserve"> Complexity 3.33 + Autonomy 1.71 + Accountability 0.99 + Leadership 1.80 + Experience 0.23 + Business impact 0.76
= 8.81 points → nearest level 9 = D1
</t>
          </r>
          <r>
            <rPr>
              <rFont val="Calibri"/>
              <b val="1"/>
              <sz val="10"/>
            </rPr>
            <t>Final level:</t>
          </r>
          <r>
            <rPr>
              <rFont val="Calibri"/>
              <sz val="10"/>
            </rPr>
            <t xml:space="preserve"> D2 · a rule applied: see the next column</t>
          </r>
        </is>
      </c>
      <c r="AV15" s="130" t="inlineStr">
        <is>
          <r>
            <rPr>
              <rFont val="Calibri"/>
              <sz val="10"/>
            </rPr>
            <t xml:space="preserve">• </t>
          </r>
          <r>
            <rPr>
              <rFont val="Calibri"/>
              <b val="1"/>
              <sz val="10"/>
            </rPr>
            <t>Set at D2 by leadership decision · the model indicated D1:</t>
          </r>
          <r>
            <rPr>
              <rFont val="Calibri"/>
              <sz val="10"/>
            </rPr>
            <t xml:space="preserve"> Leadership structure: Datatech Business Head at D2.
</t>
          </r>
          <r>
            <rPr>
              <rFont val="Calibri"/>
              <b val="1"/>
              <sz val="10"/>
            </rPr>
            <t>Final level:</t>
          </r>
          <r>
            <rPr>
              <rFont val="Calibri"/>
              <sz val="10"/>
            </rPr>
            <t xml:space="preserve"> D2.</t>
          </r>
        </is>
      </c>
      <c r="AW15" s="147"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Competing strategic, financial and regulatory priorities</t>
          </r>
        </is>
      </c>
      <c r="AX15" s="145"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Sets business-line direction, pricing and investment</t>
          </r>
        </is>
      </c>
      <c r="AY15" s="145"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9 direct reports, 27 people in the organisation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Business-line P&amp;L and market position</t>
          </r>
        </is>
      </c>
      <c r="AZ15" s="145" t="inlineStr">
        <is>
          <r>
            <rPr>
              <rFont val="Calibri"/>
              <color rgb="009C0006"/>
              <sz val="10"/>
            </rPr>
            <t xml:space="preserve">Rated 9 of 12
</t>
          </r>
          <r>
            <rPr>
              <rFont val="Calibri"/>
              <b val="1"/>
              <color rgb="009C0006"/>
              <sz val="10"/>
            </rPr>
            <t>Start:</t>
          </r>
          <r>
            <rPr>
              <rFont val="Calibri"/>
              <color rgb="009C0006"/>
              <sz val="10"/>
            </rPr>
            <t xml:space="preserve"> 9.0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9 direct reports · People Manager
</t>
          </r>
          <r>
            <rPr>
              <rFont val="Calibri"/>
              <b val="1"/>
              <color rgb="009C0006"/>
              <sz val="10"/>
            </rPr>
            <t>Market:</t>
          </r>
          <r>
            <rPr>
              <rFont val="Calibri"/>
              <color rgb="009C0006"/>
              <sz val="10"/>
            </rPr>
            <t xml:space="preserve"> D1 = Defines business strategy; builds the leadership bench</t>
          </r>
        </is>
      </c>
      <c r="BA15" s="132" t="inlineStr">
        <is>
          <r>
            <rPr>
              <rFont val="Calibri"/>
              <sz val="10"/>
            </rPr>
            <t xml:space="preserve">Rated 4.5 of 12 · between B1 and B2
</t>
          </r>
          <r>
            <rPr>
              <rFont val="Calibri"/>
              <b val="1"/>
              <sz val="10"/>
            </rPr>
            <t>Experience:</t>
          </r>
          <r>
            <rPr>
              <rFont val="Calibri"/>
              <sz val="10"/>
            </rPr>
            <t xml:space="preserve"> 3.8 yrs total · 2.0 before IRIS + 1.8 at IRIS = 3.3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CWA · professional, relevant to the work → +1.0</t>
          </r>
        </is>
      </c>
      <c r="BB15" s="132" t="inlineStr">
        <is>
          <r>
            <rPr>
              <rFont val="Calibri"/>
              <sz val="10"/>
            </rPr>
            <t xml:space="preserve">Rated 9.5 of 12 — a starting estimate.
</t>
          </r>
          <r>
            <rPr>
              <rFont val="Calibri"/>
              <b val="1"/>
              <sz val="10"/>
            </rPr>
            <t>Start:</t>
          </r>
          <r>
            <rPr>
              <rFont val="Calibri"/>
              <sz val="10"/>
            </rPr>
            <t xml:space="preserve"> 9,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D1 = Owns a business line's P&amp;L and growth, or a company-wide function · D2 = Owns the results of several business lines</t>
          </r>
        </is>
      </c>
      <c r="BC15" s="148" t="inlineStr">
        <is>
          <t>• Survey response or KRAs describing the work · nothing on file — Employee + manager
• Correct the experience record — HR</t>
        </is>
      </c>
      <c r="BD15" s="134" t="inlineStr">
        <is>
          <t>✓ HRIS: 3.8 yrs, CWA, 9 direct reports
✗ Survey: no response
✗ KRAs: none on file
✓ Manager mapping: rating, 9-box
✗ Job description: not on file
✓ Validated inputs: Approved level: D1 → D2 · Leadership structure: Datatech Business Head at D2 · Leadership decision · HR review of 9 Oct 2026 · 2026-10-09</t>
        </is>
      </c>
      <c r="BE15" s="134" t="inlineStr">
        <is>
          <r>
            <rPr>
              <rFont val="Calibri"/>
              <b val="1"/>
              <sz val="10"/>
            </rPr>
            <t>Market level:</t>
          </r>
          <r>
            <rPr>
              <rFont val="Calibri"/>
              <sz val="10"/>
            </rPr>
            <t xml:space="preserve"> E3–E4 · SFIA 7 Set strategy
</t>
          </r>
          <r>
            <rPr>
              <rFont val="Calibri"/>
              <b val="1"/>
              <sz val="10"/>
            </rPr>
            <t>Typical title:</t>
          </r>
          <r>
            <rPr>
              <rFont val="Calibri"/>
              <sz val="10"/>
            </rPr>
            <t xml:space="preserve"> Associate Vice President / Business Head
</t>
          </r>
          <r>
            <rPr>
              <rFont val="Calibri"/>
              <b val="1"/>
              <sz val="10"/>
            </rPr>
            <t>At peers:</t>
          </r>
          <r>
            <rPr>
              <rFont val="Calibri"/>
              <sz val="10"/>
            </rPr>
            <t xml:space="preserve"> IRIS Vs Market Benchmark — Aon Radford / Mercer executive codes: E3–E4 SVP · IRIS Vs Competitor Benchmark — regtech / SaaS executive titles: SVP
</t>
          </r>
          <r>
            <rPr>
              <rFont val="Calibri"/>
              <b val="1"/>
              <sz val="10"/>
            </rPr>
            <t>Standard:</t>
          </r>
          <r>
            <rPr>
              <rFont val="Calibri"/>
              <sz val="10"/>
            </rPr>
            <t xml:space="preserve"> Aon Radford executive levels E1–E6; Mercer ET1–ET3</t>
          </r>
        </is>
      </c>
      <c r="BF15" s="134" t="inlineStr">
        <is>
          <t>Low</t>
        </is>
      </c>
      <c r="BG15" s="134" t="inlineStr">
        <is>
          <t>• Experience on record · 3.8 yrs looks incomplete — experience before IRIS appears to be missing; HR to confirm
• Only 3.8 yrs are on record, which would not normally support this level — but the record looks incomplete · experience before IRIS appears to be missing → level kept; HR to confirm
• No survey answers or KRA — the role factors rest on designation and reporting lines only</t>
        </is>
      </c>
      <c r="BH15" s="134" t="inlineStr"/>
      <c r="BI15" s="135" t="n"/>
      <c r="BJ15" s="136" t="n"/>
      <c r="BK15" s="136" t="n"/>
      <c r="BL15" s="136" t="n"/>
      <c r="BM15" s="136" t="n"/>
      <c r="BN15" s="137" t="n"/>
      <c r="BO15" s="120" t="n"/>
      <c r="BP15" s="120" t="n"/>
      <c r="BQ15" s="120" t="n"/>
      <c r="BR15" s="120" t="n"/>
      <c r="BS15" s="120" t="n"/>
      <c r="BT15" s="120" t="n"/>
      <c r="BU15" s="120" t="n"/>
      <c r="BV15" s="120" t="n">
        <v>9.5</v>
      </c>
    </row>
    <row r="16" ht="340" customHeight="1">
      <c r="A16" s="109" t="inlineStr">
        <is>
          <t>IRISDT0009</t>
        </is>
      </c>
      <c r="B16" s="110" t="inlineStr">
        <is>
          <t>Ankita Pathak</t>
        </is>
      </c>
      <c r="C16" s="111" t="inlineStr">
        <is>
          <t>Marketing</t>
        </is>
      </c>
      <c r="D16" s="111" t="inlineStr">
        <is>
          <t>Shilpa Dhobale</t>
        </is>
      </c>
      <c r="E16" s="112" t="n">
        <v>5.7</v>
      </c>
      <c r="F16" s="112" t="n">
        <v>1.1</v>
      </c>
      <c r="G16" s="111" t="inlineStr">
        <is>
          <t>PGDBM</t>
        </is>
      </c>
      <c r="H16" s="113" t="inlineStr">
        <is>
          <t>Manager Marketing</t>
        </is>
      </c>
      <c r="I16" s="114" t="inlineStr">
        <is>
          <t>Marketing Specialist – POD Lead</t>
        </is>
      </c>
      <c r="J16" s="115" t="inlineStr">
        <is>
          <t>Marketing &amp; Communications</t>
        </is>
      </c>
      <c r="K16" s="115" t="inlineStr">
        <is>
          <t>Marketing Leadership</t>
        </is>
      </c>
      <c r="L16" s="114" t="inlineStr">
        <is>
          <t>L5 – Manager</t>
        </is>
      </c>
      <c r="M16" s="138" t="inlineStr">
        <is>
          <t>B2</t>
        </is>
      </c>
      <c r="N16" s="18" t="inlineStr">
        <is>
          <t>Senior Specialist · POD Lead</t>
        </is>
      </c>
      <c r="O16" s="20" t="inlineStr">
        <is>
          <t>B</t>
        </is>
      </c>
      <c r="P16" s="115" t="inlineStr">
        <is>
          <t>POD Lead</t>
        </is>
      </c>
      <c r="Q16" s="139" t="inlineStr">
        <is>
          <t>▼ Down · protected</t>
        </is>
      </c>
      <c r="R16" s="118" t="inlineStr">
        <is>
          <r>
            <rPr>
              <rFont val="Calibri"/>
              <b val="1"/>
              <sz val="10"/>
            </rPr>
            <t>WHAT THE ROLE DOES:</t>
          </r>
          <r>
            <rPr>
              <rFont val="Calibri"/>
              <sz val="10"/>
            </rPr>
            <t xml:space="preserve"> Leads the marketing &amp; communications function. At B2: deep domain expertise, or one team.
</t>
          </r>
          <r>
            <rPr>
              <rFont val="Calibri"/>
              <b val="1"/>
              <sz val="10"/>
            </rPr>
            <t>KEY RESPONSIBILITIES:</t>
          </r>
          <r>
            <rPr>
              <rFont val="Calibri"/>
              <sz val="10"/>
            </rPr>
            <t xml:space="preserve"> Leads the marketing &amp; communications function; Hardest problems in the domain; One team or a client portfolio
</t>
          </r>
          <r>
            <rPr>
              <rFont val="Calibri"/>
              <b val="1"/>
              <sz val="10"/>
            </rPr>
            <t>DELIVERS:</t>
          </r>
          <r>
            <rPr>
              <rFont val="Calibri"/>
              <sz val="10"/>
            </rPr>
            <t xml:space="preserve"> One team or a client portfolio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Marketing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Google / HubSpot certifications
</t>
          </r>
          <r>
            <rPr>
              <rFont val="Calibri"/>
              <b val="1"/>
              <sz val="10"/>
            </rPr>
            <t>SOURCE:</t>
          </r>
          <r>
            <rPr>
              <rFont val="Calibri"/>
              <sz val="10"/>
            </rPr>
            <t xml:space="preserve"> Framework only · fewer than 3 answered — 1 holder, 1 answered the survey; sub-family 2 answered; catalogue RC-119</t>
          </r>
        </is>
      </c>
      <c r="S16"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3 direct reports.
From the survey and manager mapping — critical role: yes; successor named: no.
Manager talent mapping — Latest rating: 3 · 9-Box Grid placement: High Impact / Growth Talent.</t>
          </r>
        </is>
      </c>
      <c r="T16" s="120" t="n"/>
      <c r="U16" s="121" t="inlineStr">
        <is>
          <r>
            <rPr>
              <rFont val="Calibri"/>
              <sz val="10"/>
            </rPr>
            <t xml:space="preserve">Marketing Specialist – POD Lead in Marketing · Datatech, B2 — POD Lead.
</t>
          </r>
          <r>
            <rPr>
              <rFont val="Calibri"/>
              <b val="1"/>
              <sz val="10"/>
            </rPr>
            <t>The work:</t>
          </r>
          <r>
            <rPr>
              <rFont val="Calibri"/>
              <sz val="10"/>
            </rPr>
            <t xml:space="preserve"> Leads the marketing &amp; communications function.
At this level the role owns deep domain expertise, or one team.
</t>
          </r>
          <r>
            <rPr>
              <rFont val="Calibri"/>
              <b val="1"/>
              <sz val="10"/>
            </rPr>
            <t>Key responsibilities:</t>
          </r>
          <r>
            <rPr>
              <rFont val="Calibri"/>
              <sz val="10"/>
            </rPr>
            <t xml:space="preserve"> Leads the marketing &amp; communications function; Hardest problems in the domain; One team or a client portfolio.
Leads 3 direct reports.</t>
          </r>
        </is>
      </c>
      <c r="V16" s="122" t="inlineStr">
        <is>
          <r>
            <rPr>
              <rFont val="Calibri"/>
              <b val="1"/>
              <sz val="10"/>
            </rPr>
            <t>Hire as:</t>
          </r>
          <r>
            <rPr>
              <rFont val="Calibri"/>
              <sz val="10"/>
            </rPr>
            <t xml:space="preserve"> Senior Executive / Specialist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 MBA · marketing
</t>
          </r>
          <r>
            <rPr>
              <rFont val="Calibri"/>
              <b val="1"/>
              <sz val="10"/>
            </rPr>
            <t>Equivalent titles at peers:</t>
          </r>
          <r>
            <rPr>
              <rFont val="Calibri"/>
              <sz val="10"/>
            </rPr>
            <t xml:space="preserve"> IRIS Vs Market Benchmark — CIM proficiency scale – 3–4 · IRIS Vs Competitor Benchmark — SaaS marketing ladder – Marketing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16" s="122" t="inlineStr">
        <is>
          <r>
            <rPr>
              <rFont val="Calibri"/>
              <sz val="10"/>
            </rPr>
            <t xml:space="preserve">FUNCTIONAL — skill level 4 of 5 · Advanced
 ★ Marketing Tech &amp; Digital Marketing: Owns digital strategy, funnel and marketing analytics
 ★ Communication &amp; Presentation: Presents to senior stakeholders; shapes messaging
 • </t>
          </r>
          <r>
            <rPr>
              <rFont val="Calibri"/>
              <b val="1"/>
              <sz val="10"/>
            </rPr>
            <t>Data Analytics, BI &amp; Visualisation:</t>
          </r>
          <r>
            <rPr>
              <rFont val="Calibri"/>
              <sz val="10"/>
            </rPr>
            <t xml:space="preserve"> Defines metrics and analytics approach for a business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Marketing
★ = must-have for the family. Scale: 1 Awareness · 2 Working · 3 Practitioner · 4 Advanced · 5 Expert.</t>
          </r>
        </is>
      </c>
      <c r="X16" s="122" t="inlineStr">
        <is>
          <r>
            <rPr>
              <rFont val="Calibri"/>
              <sz val="10"/>
            </rPr>
            <t xml:space="preserve">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6" s="123" t="inlineStr">
        <is>
          <t>Datatech · Marketing · Band B · Expert / POD Lead</t>
        </is>
      </c>
      <c r="Z16" s="124" t="n">
        <v>5</v>
      </c>
      <c r="AA16" s="125">
        <f>IFERROR(INDEX(WM_C,MATCH($Y16,WM_KEY,0)),"")</f>
        <v>0.46</v>
      </c>
      <c r="AB16" s="126">
        <f>IF(Z16="","",Z16*AA16)</f>
        <v>2.3</v>
      </c>
      <c r="AC16" s="124" t="n">
        <v>4.5</v>
      </c>
      <c r="AD16" s="125">
        <f>IFERROR(INDEX(WM_AU,MATCH($Y16,WM_KEY,0)),"")</f>
        <v>0.22</v>
      </c>
      <c r="AE16" s="126">
        <f>IF(AC16="","",AC16*AD16)</f>
        <v>0.99</v>
      </c>
      <c r="AF16" s="124" t="n">
        <v>4</v>
      </c>
      <c r="AG16" s="125">
        <f>IFERROR(INDEX(WM_AC,MATCH($Y16,WM_KEY,0)),"")</f>
        <v>0.05</v>
      </c>
      <c r="AH16" s="126">
        <f>IF(AF16="","",AF16*AG16)</f>
        <v>0.2</v>
      </c>
      <c r="AI16" s="124" t="n">
        <v>4</v>
      </c>
      <c r="AJ16" s="125">
        <f>IFERROR(INDEX(WM_L,MATCH($Y16,WM_KEY,0)),"")</f>
        <v>0.05</v>
      </c>
      <c r="AK16" s="126">
        <f>IF(AI16="","",AI16*AJ16)</f>
        <v>0.2</v>
      </c>
      <c r="AL16" s="124" t="n">
        <v>4.5</v>
      </c>
      <c r="AM16" s="125">
        <f>IFERROR(INDEX(WM_E,MATCH($Y16,WM_KEY,0)),"")</f>
        <v>0.1</v>
      </c>
      <c r="AN16" s="126">
        <f>IF(AL16="","",AL16*AM16)</f>
        <v>0.45</v>
      </c>
      <c r="AO16" s="127" t="n">
        <v>4.5</v>
      </c>
      <c r="AP16" s="125">
        <f>IFERROR(INDEX(WM_BI,MATCH($Y16,WM_KEY,0)),"")</f>
        <v>0.12</v>
      </c>
      <c r="AQ16" s="126">
        <f>IF(AO16="","",AO16*AP16)</f>
        <v>0.54</v>
      </c>
      <c r="AR16" s="126">
        <f>IF(COUNT(AB16,AE16,AH16,AK16,AN16,AQ16)&lt;6,"",SUM(AB16,AE16,AH16,AK16,AN16,AQ16))</f>
        <v>4.68</v>
      </c>
      <c r="AS16" s="128" t="str">
        <f>IF(AR16="","",INDEX({"A1","A2","A3","B1","B2","B3","C1","C2","D1","D2","E1","E2"},MAX(1,MIN(12,ROUND(AR16,0)))))</f>
        <v>B2</v>
      </c>
      <c r="AT16" s="129"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6" s="130" t="inlineStr">
        <is>
          <r>
            <rPr>
              <rFont val="Calibri"/>
              <b val="1"/>
              <sz val="10"/>
            </rPr>
            <t>At build:</t>
          </r>
          <r>
            <rPr>
              <rFont val="Calibri"/>
              <sz val="10"/>
            </rPr>
            <t xml:space="preserve"> Complexity 2.30 + Autonomy 0.99 + Accountability 0.20 + Leadership 0.20 + Experience 0.45 + Business impact 0.54
= 4.68 points → nearest level 5 = B2
</t>
          </r>
          <r>
            <rPr>
              <rFont val="Calibri"/>
              <b val="1"/>
              <sz val="10"/>
            </rPr>
            <t>Final level:</t>
          </r>
          <r>
            <rPr>
              <rFont val="Calibri"/>
              <sz val="10"/>
            </rPr>
            <t xml:space="preserve"> B2 · same as the score</t>
          </r>
        </is>
      </c>
      <c r="AV16" s="130" t="inlineStr">
        <is>
          <r>
            <rPr>
              <rFont val="Calibri"/>
              <b val="1"/>
              <sz val="10"/>
            </rPr>
            <t>No rule applied:</t>
          </r>
          <r>
            <rPr>
              <rFont val="Calibri"/>
              <sz val="10"/>
            </rPr>
            <t xml:space="preserve"> the score decides.</t>
          </r>
        </is>
      </c>
      <c r="AW16" s="131"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Builds MSME marketing from scratch: strategy, performance marketing, ASO, ORM, engagement journeys, analytics → matches the start
</t>
          </r>
          <r>
            <rPr>
              <rFont val="Calibri"/>
              <b val="1"/>
              <sz val="10"/>
            </rPr>
            <t>Market:</t>
          </r>
          <r>
            <rPr>
              <rFont val="Calibri"/>
              <sz val="10"/>
            </rPr>
            <t xml:space="preserve"> B2 = Hardest problems in the domain</t>
          </r>
        </is>
      </c>
      <c r="AX16"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Decides campaigns and the content calendar; prioritises experiments for a small team → moved down 0.5
</t>
          </r>
          <r>
            <rPr>
              <rFont val="Calibri"/>
              <b val="1"/>
              <sz val="10"/>
            </rPr>
            <t>Market:</t>
          </r>
          <r>
            <rPr>
              <rFont val="Calibri"/>
              <sz val="10"/>
            </rPr>
            <t xml:space="preserve"> B1 = Technical / QC / client calls for the domain · B2 = Allocates people and sets team priorities</t>
          </r>
        </is>
      </c>
      <c r="AY16" s="132" t="inlineStr">
        <is>
          <r>
            <rPr>
              <rFont val="Calibri"/>
              <sz val="10"/>
            </rPr>
            <t xml:space="preserve">Rated 4 of 12
</t>
          </r>
          <r>
            <rPr>
              <rFont val="Calibri"/>
              <b val="1"/>
              <sz val="10"/>
            </rPr>
            <t>Start:</t>
          </r>
          <r>
            <rPr>
              <rFont val="Calibri"/>
              <sz val="10"/>
            </rPr>
            <t xml:space="preserve"> 4.5 · manager / senior specialist title; 3 direct reports
</t>
          </r>
          <r>
            <rPr>
              <rFont val="Calibri"/>
              <b val="1"/>
              <sz val="10"/>
            </rPr>
            <t>Evidence reads like B1:</t>
          </r>
          <r>
            <rPr>
              <rFont val="Calibri"/>
              <sz val="10"/>
            </rPr>
            <t xml:space="preserve"> Marketing strategy execution, user acquisition and engagement for IRIS MSME; three-person team → moved down 0.5
</t>
          </r>
          <r>
            <rPr>
              <rFont val="Calibri"/>
              <b val="1"/>
              <sz val="10"/>
            </rPr>
            <t>Market:</t>
          </r>
          <r>
            <rPr>
              <rFont val="Calibri"/>
              <sz val="10"/>
            </rPr>
            <t xml:space="preserve"> B1 = A domain or a small team</t>
          </r>
        </is>
      </c>
      <c r="AZ16"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3 direct reports · HR; builds the function's processes; people management not described → matches the start
</t>
          </r>
          <r>
            <rPr>
              <rFont val="Calibri"/>
              <b val="1"/>
              <sz val="10"/>
            </rPr>
            <t>Team:</t>
          </r>
          <r>
            <rPr>
              <rFont val="Calibri"/>
              <sz val="10"/>
            </rPr>
            <t xml:space="preserve"> 3 direct reports · POD Lead
</t>
          </r>
          <r>
            <rPr>
              <rFont val="Calibri"/>
              <b val="1"/>
              <sz val="10"/>
            </rPr>
            <t>Market:</t>
          </r>
          <r>
            <rPr>
              <rFont val="Calibri"/>
              <sz val="10"/>
            </rPr>
            <t xml:space="preserve"> B1 = IC: mentors and reviews · People: hands-on team lead of 3–5</t>
          </r>
        </is>
      </c>
      <c r="BA16" s="132" t="inlineStr">
        <is>
          <r>
            <rPr>
              <rFont val="Calibri"/>
              <sz val="10"/>
            </rPr>
            <t xml:space="preserve">Rated 4.5 of 12 · between B1 and B2
</t>
          </r>
          <r>
            <rPr>
              <rFont val="Calibri"/>
              <b val="1"/>
              <sz val="10"/>
            </rPr>
            <t>Experience:</t>
          </r>
          <r>
            <rPr>
              <rFont val="Calibri"/>
              <sz val="10"/>
            </rPr>
            <t xml:space="preserve"> 5.7 yrs total · 4.6 before IRIS + 1.1 at IRIS = 4.1 on the experience scale
</t>
          </r>
          <r>
            <rPr>
              <rFont val="Calibri"/>
              <b val="1"/>
              <sz val="10"/>
            </rPr>
            <t>Qualification:</t>
          </r>
          <r>
            <rPr>
              <rFont val="Calibri"/>
              <sz val="10"/>
            </rPr>
            <t xml:space="preserve"> PGDBM · postgraduate, relevant to the work → +0.5
</t>
          </r>
          <r>
            <rPr>
              <rFont val="Calibri"/>
              <b val="1"/>
              <sz val="10"/>
            </rPr>
            <t>Market:</t>
          </r>
          <r>
            <rPr>
              <rFont val="Calibri"/>
              <sz val="10"/>
            </rPr>
            <t xml:space="preserve"> B2 roles typically have 6–10 yrs · IRIS guide 6–9</t>
          </r>
        </is>
      </c>
      <c r="BB16" s="132"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16" s="133" t="inlineStr"/>
      <c r="BD16" s="134" t="inlineStr">
        <is>
          <t>✓ HRIS: 5.7 yrs, PGDBM, 3 direct reports
✓ Survey: 20 of 20 questions answered
✗ KRAs: none on file
✓ Manager mapping: rating, 9-box
✗ Job description: not on file</t>
        </is>
      </c>
      <c r="BE16" s="134" t="inlineStr">
        <is>
          <r>
            <rPr>
              <rFont val="Calibri"/>
              <b val="1"/>
              <sz val="10"/>
            </rPr>
            <t>Market level:</t>
          </r>
          <r>
            <rPr>
              <rFont val="Calibri"/>
              <sz val="10"/>
            </rPr>
            <t xml:space="preserve"> P4 / M3 · SFIA 4–5
</t>
          </r>
          <r>
            <rPr>
              <rFont val="Calibri"/>
              <b val="1"/>
              <sz val="10"/>
            </rPr>
            <t>Typical title:</t>
          </r>
          <r>
            <rPr>
              <rFont val="Calibri"/>
              <sz val="10"/>
            </rPr>
            <t xml:space="preserve"> Senior Executive / Specialist
</t>
          </r>
          <r>
            <rPr>
              <rFont val="Calibri"/>
              <b val="1"/>
              <sz val="10"/>
            </rPr>
            <t>At peers:</t>
          </r>
          <r>
            <rPr>
              <rFont val="Calibri"/>
              <sz val="10"/>
            </rPr>
            <t xml:space="preserve"> IRIS Vs Market Benchmark — CIM proficiency scale: 3–4 · IRIS Vs Competitor Benchmark — SaaS marketing ladder: Marketing Manager
</t>
          </r>
          <r>
            <rPr>
              <rFont val="Calibri"/>
              <b val="1"/>
              <sz val="10"/>
            </rPr>
            <t>Typical experience:</t>
          </r>
          <r>
            <rPr>
              <rFont val="Calibri"/>
              <sz val="10"/>
            </rPr>
            <t xml:space="preserve"> 6–10 yrs · IRIS guide 6–9
</t>
          </r>
          <r>
            <rPr>
              <rFont val="Calibri"/>
              <b val="1"/>
              <sz val="10"/>
            </rPr>
            <t>Standard:</t>
          </r>
          <r>
            <rPr>
              <rFont val="Calibri"/>
              <sz val="10"/>
            </rPr>
            <t xml:space="preserve"> CIM Global Professional Marketing Framework — proficiency Aware → Active learner → Able → Accomplished → Authoritative</t>
          </r>
        </is>
      </c>
      <c r="BF16" s="134" t="inlineStr">
        <is>
          <t>Medium</t>
        </is>
      </c>
      <c r="BG16" s="134" t="inlineStr">
        <is>
          <t>• Final level B2 is below the current level · L5 ≈ B2 — manager to confirm the scope of the role; pay and title are protected for one cycle</t>
        </is>
      </c>
      <c r="BH16" s="134" t="inlineStr"/>
      <c r="BI16" s="135" t="n"/>
      <c r="BJ16" s="136" t="n"/>
      <c r="BK16" s="136" t="n"/>
      <c r="BL16" s="136" t="n"/>
      <c r="BM16" s="136" t="n"/>
      <c r="BN16" s="137" t="n"/>
      <c r="BO16" s="120" t="n"/>
      <c r="BP16" s="120" t="n"/>
      <c r="BQ16" s="120" t="n"/>
      <c r="BR16" s="120" t="n"/>
      <c r="BS16" s="120" t="n"/>
      <c r="BT16" s="120" t="n"/>
      <c r="BU16" s="120" t="n"/>
      <c r="BV16" s="120" t="n">
        <v>4.5</v>
      </c>
    </row>
    <row r="17" ht="340" customHeight="1">
      <c r="A17" s="109" t="inlineStr">
        <is>
          <t>IRISDTC001</t>
        </is>
      </c>
      <c r="B17" s="110" t="inlineStr">
        <is>
          <t>Lalit Subhash Dhamale</t>
        </is>
      </c>
      <c r="C17" s="111" t="inlineStr">
        <is>
          <t>Marketing</t>
        </is>
      </c>
      <c r="D17" s="111" t="inlineStr">
        <is>
          <t>Ankita Pathak</t>
        </is>
      </c>
      <c r="E17" s="112" t="n">
        <v>2.9</v>
      </c>
      <c r="F17" s="112" t="n">
        <v>0.3</v>
      </c>
      <c r="G17" s="111" t="inlineStr">
        <is>
          <t>Diploma in Chemical Engineering</t>
        </is>
      </c>
      <c r="H17" s="113" t="inlineStr">
        <is>
          <t>Social Media &amp; ORM Specialist</t>
        </is>
      </c>
      <c r="I17" s="114" t="inlineStr">
        <is>
          <t>Senior Digital Marketing Associate</t>
        </is>
      </c>
      <c r="J17" s="115" t="inlineStr">
        <is>
          <t>Marketing &amp; Communications</t>
        </is>
      </c>
      <c r="K17" s="115" t="inlineStr">
        <is>
          <t>Digital Marketing, Web &amp; Social</t>
        </is>
      </c>
      <c r="L17" s="114" t="inlineStr">
        <is>
          <t>Not in current mapping files</t>
        </is>
      </c>
      <c r="M17" s="138" t="inlineStr">
        <is>
          <t>A3</t>
        </is>
      </c>
      <c r="N17" s="140" t="inlineStr">
        <is>
          <t>Senior Associate</t>
        </is>
      </c>
      <c r="O17" s="26" t="inlineStr">
        <is>
          <t>A</t>
        </is>
      </c>
      <c r="P17" s="115" t="inlineStr">
        <is>
          <t>IC</t>
        </is>
      </c>
      <c r="Q17" s="143" t="inlineStr">
        <is>
          <t>● Newly mapped</t>
        </is>
      </c>
      <c r="R17" s="118" t="inlineStr">
        <is>
          <r>
            <rPr>
              <rFont val="Calibri"/>
              <b val="1"/>
              <sz val="10"/>
            </rPr>
            <t>WHAT THE ROLE DOES:</t>
          </r>
          <r>
            <rPr>
              <rFont val="Calibri"/>
              <sz val="10"/>
            </rPr>
            <t xml:space="preserve"> Runs website, SEO/AEO, social media and online reputation. At A3: varied work; reviews juniors; go-to for a process.
</t>
          </r>
          <r>
            <rPr>
              <rFont val="Calibri"/>
              <b val="1"/>
              <sz val="10"/>
            </rPr>
            <t>KEY RESPONSIBILITIES:</t>
          </r>
          <r>
            <rPr>
              <rFont val="Calibri"/>
              <sz val="10"/>
            </rPr>
            <t xml:space="preserve"> Runs website, SEO/AEO, social media and online reputation;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Marketing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only · fewer than 3 answered — 2 holders, 2 answered the survey; sub-family 2 answered; catalogue RC-117</t>
          </r>
        </is>
      </c>
      <c r="S1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Manager talent mapping — Latest rating: 4 · Potential: High · 9-Box Grid placement: Reliable Specialist.</t>
          </r>
        </is>
      </c>
      <c r="T17" s="120" t="n"/>
      <c r="U17" s="121" t="inlineStr">
        <is>
          <r>
            <rPr>
              <rFont val="Calibri"/>
              <sz val="10"/>
            </rPr>
            <t xml:space="preserve">Senior Digital Marketing Associate in Marketing · Datatech, A3 — IC.
</t>
          </r>
          <r>
            <rPr>
              <rFont val="Calibri"/>
              <b val="1"/>
              <sz val="10"/>
            </rPr>
            <t>The work:</t>
          </r>
          <r>
            <rPr>
              <rFont val="Calibri"/>
              <sz val="10"/>
            </rPr>
            <t xml:space="preserve"> Runs website, SEO/AEO, social media and online reputation.
At this level the role owns varied work; reviews juniors; go-to for a process.
</t>
          </r>
          <r>
            <rPr>
              <rFont val="Calibri"/>
              <b val="1"/>
              <sz val="10"/>
            </rPr>
            <t>Key responsibilities:</t>
          </r>
          <r>
            <rPr>
              <rFont val="Calibri"/>
              <sz val="10"/>
            </rPr>
            <t xml:space="preserve"> Runs website, SEO/AEO, social media and online reputation; Varied and non-standard work; handles exceptions; A module / process, or work with client or regulatory consequences.</t>
          </r>
        </is>
      </c>
      <c r="V17" s="122" t="inlineStr">
        <is>
          <r>
            <rPr>
              <rFont val="Calibri"/>
              <b val="1"/>
              <sz val="10"/>
            </rPr>
            <t>Hire as:</t>
          </r>
          <r>
            <rPr>
              <rFont val="Calibri"/>
              <sz val="10"/>
            </rPr>
            <t xml:space="preserve"> Marketing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MBA · marketing
</t>
          </r>
          <r>
            <rPr>
              <rFont val="Calibri"/>
              <b val="1"/>
              <sz val="10"/>
            </rPr>
            <t>Equivalent titles at peers:</t>
          </r>
          <r>
            <rPr>
              <rFont val="Calibri"/>
              <sz val="10"/>
            </rPr>
            <t xml:space="preserve"> IRIS Vs Market Benchmark — CIM proficiency scale – 2–3 · IRIS Vs Competitor Benchmark — SaaS marketing ladder – Marketing Specialist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17" s="122" t="inlineStr">
        <is>
          <r>
            <rPr>
              <rFont val="Calibri"/>
              <sz val="10"/>
            </rPr>
            <t xml:space="preserve">FUNCTIONAL — skill level 3 of 5 · Practitioner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 must-have for the family. Scale: 1 Awareness · 2 Working · 3 Practitioner · 4 Advanced · 5 Expert.</t>
          </r>
        </is>
      </c>
      <c r="X17" s="122" t="inlineStr">
        <is>
          <r>
            <rPr>
              <rFont val="Calibri"/>
              <sz val="10"/>
            </rPr>
            <t xml:space="preserve">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7" s="123" t="inlineStr">
        <is>
          <t>Datatech · Marketing · Band A · Early career</t>
        </is>
      </c>
      <c r="Z17" s="124" t="n">
        <v>3</v>
      </c>
      <c r="AA17" s="125">
        <f>IFERROR(INDEX(WM_C,MATCH($Y17,WM_KEY,0)),"")</f>
        <v>0.54</v>
      </c>
      <c r="AB17" s="126">
        <f>IF(Z17="","",Z17*AA17)</f>
        <v>1.62</v>
      </c>
      <c r="AC17" s="124" t="n">
        <v>3</v>
      </c>
      <c r="AD17" s="125">
        <f>IFERROR(INDEX(WM_AU,MATCH($Y17,WM_KEY,0)),"")</f>
        <v>0.21</v>
      </c>
      <c r="AE17" s="126">
        <f>IF(AC17="","",AC17*AD17)</f>
        <v>0.63</v>
      </c>
      <c r="AF17" s="124" t="n">
        <v>3</v>
      </c>
      <c r="AG17" s="125">
        <f>IFERROR(INDEX(WM_AC,MATCH($Y17,WM_KEY,0)),"")</f>
        <v>0.04</v>
      </c>
      <c r="AH17" s="126">
        <f>IF(AF17="","",AF17*AG17)</f>
        <v>0.12</v>
      </c>
      <c r="AI17" s="124" t="n">
        <v>2</v>
      </c>
      <c r="AJ17" s="125">
        <f>IFERROR(INDEX(WM_L,MATCH($Y17,WM_KEY,0)),"")</f>
        <v>0</v>
      </c>
      <c r="AK17" s="126">
        <f>IF(AI17="","",AI17*AJ17)</f>
        <v>0</v>
      </c>
      <c r="AL17" s="124" t="n">
        <v>2.5</v>
      </c>
      <c r="AM17" s="125">
        <f>IFERROR(INDEX(WM_E,MATCH($Y17,WM_KEY,0)),"")</f>
        <v>0.1</v>
      </c>
      <c r="AN17" s="126">
        <f>IF(AL17="","",AL17*AM17)</f>
        <v>0.25</v>
      </c>
      <c r="AO17" s="127" t="n">
        <v>3</v>
      </c>
      <c r="AP17" s="125">
        <f>IFERROR(INDEX(WM_BI,MATCH($Y17,WM_KEY,0)),"")</f>
        <v>0.11</v>
      </c>
      <c r="AQ17" s="126">
        <f>IF(AO17="","",AO17*AP17)</f>
        <v>0.33</v>
      </c>
      <c r="AR17" s="126">
        <f>IF(COUNT(AB17,AE17,AH17,AK17,AN17,AQ17)&lt;6,"",SUM(AB17,AE17,AH17,AK17,AN17,AQ17))</f>
        <v>2.95</v>
      </c>
      <c r="AS17" s="128" t="str">
        <f>IF(AR17="","",INDEX({"A1","A2","A3","B1","B2","B3","C1","C2","D1","D2","E1","E2"},MAX(1,MIN(12,ROUND(AR17,0)))))</f>
        <v>A3</v>
      </c>
      <c r="AT17"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7" s="130" t="inlineStr">
        <is>
          <r>
            <rPr>
              <rFont val="Calibri"/>
              <b val="1"/>
              <sz val="10"/>
            </rPr>
            <t>At build:</t>
          </r>
          <r>
            <rPr>
              <rFont val="Calibri"/>
              <sz val="10"/>
            </rPr>
            <t xml:space="preserve"> Complexity 1.62 + Autonomy 0.63 + Accountability 0.12 + Leadership 0.00 + Experience 0.25 + Business impact 0.33
= 2.95 points → nearest level 3 = A3
</t>
          </r>
          <r>
            <rPr>
              <rFont val="Calibri"/>
              <b val="1"/>
              <sz val="10"/>
            </rPr>
            <t>Final level:</t>
          </r>
          <r>
            <rPr>
              <rFont val="Calibri"/>
              <sz val="10"/>
            </rPr>
            <t xml:space="preserve"> A3 · same as the score</t>
          </r>
        </is>
      </c>
      <c r="AV17" s="130" t="inlineStr">
        <is>
          <r>
            <rPr>
              <rFont val="Calibri"/>
              <b val="1"/>
              <sz val="10"/>
            </rPr>
            <t>No rule applied:</t>
          </r>
          <r>
            <rPr>
              <rFont val="Calibri"/>
              <sz val="10"/>
            </rPr>
            <t xml:space="preserve"> the score decides.</t>
          </r>
        </is>
      </c>
      <c r="AW17" s="131" t="inlineStr">
        <is>
          <r>
            <rPr>
              <rFont val="Calibri"/>
              <sz val="10"/>
            </rPr>
            <t xml:space="preserve">Rated 3 of 12
</t>
          </r>
          <r>
            <rPr>
              <rFont val="Calibri"/>
              <b val="1"/>
              <sz val="10"/>
            </rPr>
            <t>Start:</t>
          </r>
          <r>
            <rPr>
              <rFont val="Calibri"/>
              <sz val="10"/>
            </rPr>
            <t xml:space="preserve"> 4.0 · lead / specialist title
</t>
          </r>
          <r>
            <rPr>
              <rFont val="Calibri"/>
              <b val="1"/>
              <sz val="10"/>
            </rPr>
            <t>Evidence reads like A2:</t>
          </r>
          <r>
            <rPr>
              <rFont val="Calibri"/>
              <sz val="10"/>
            </rPr>
            <t xml:space="preserve"> Creates social posts and reels, researches trends, tracks followers, reach and engagement for two brands → moved down 1
</t>
          </r>
          <r>
            <rPr>
              <rFont val="Calibri"/>
              <b val="1"/>
              <sz val="10"/>
            </rPr>
            <t>Market:</t>
          </r>
          <r>
            <rPr>
              <rFont val="Calibri"/>
              <sz val="10"/>
            </rPr>
            <t xml:space="preserve"> A3 = Varied and non-standard work; handles exceptions</t>
          </r>
        </is>
      </c>
      <c r="AX17" s="132" t="inlineStr">
        <is>
          <r>
            <rPr>
              <rFont val="Calibri"/>
              <sz val="10"/>
            </rPr>
            <t xml:space="preserve">Rated 3 of 12
</t>
          </r>
          <r>
            <rPr>
              <rFont val="Calibri"/>
              <b val="1"/>
              <sz val="10"/>
            </rPr>
            <t>Start:</t>
          </r>
          <r>
            <rPr>
              <rFont val="Calibri"/>
              <sz val="10"/>
            </rPr>
            <t xml:space="preserve"> 4.0 · lead / specialist title
</t>
          </r>
          <r>
            <rPr>
              <rFont val="Calibri"/>
              <b val="1"/>
              <sz val="10"/>
            </rPr>
            <t>Evidence reads like A1:</t>
          </r>
          <r>
            <rPr>
              <rFont val="Calibri"/>
              <sz val="10"/>
            </rPr>
            <t xml:space="preserve"> States that decisions need approval → moved down 1
</t>
          </r>
          <r>
            <rPr>
              <rFont val="Calibri"/>
              <b val="1"/>
              <sz val="10"/>
            </rPr>
            <t>Market:</t>
          </r>
          <r>
            <rPr>
              <rFont val="Calibri"/>
              <sz val="10"/>
            </rPr>
            <t xml:space="preserve"> A3 = Technical / QC / client calls on own work</t>
          </r>
        </is>
      </c>
      <c r="AY17" s="132" t="inlineStr">
        <is>
          <r>
            <rPr>
              <rFont val="Calibri"/>
              <sz val="10"/>
            </rPr>
            <t xml:space="preserve">Rated 3 of 12
</t>
          </r>
          <r>
            <rPr>
              <rFont val="Calibri"/>
              <b val="1"/>
              <sz val="10"/>
            </rPr>
            <t>Start:</t>
          </r>
          <r>
            <rPr>
              <rFont val="Calibri"/>
              <sz val="10"/>
            </rPr>
            <t xml:space="preserve"> 4.0 · lead / specialist title
</t>
          </r>
          <r>
            <rPr>
              <rFont val="Calibri"/>
              <b val="1"/>
              <sz val="10"/>
            </rPr>
            <t>Evidence reads like A2:</t>
          </r>
          <r>
            <rPr>
              <rFont val="Calibri"/>
              <sz val="10"/>
            </rPr>
            <t xml:space="preserve"> Accountable for social media posting and scheduling; errors are wrong captions or hashtags → moved down 1
</t>
          </r>
          <r>
            <rPr>
              <rFont val="Calibri"/>
              <b val="1"/>
              <sz val="10"/>
            </rPr>
            <t>Market:</t>
          </r>
          <r>
            <rPr>
              <rFont val="Calibri"/>
              <sz val="10"/>
            </rPr>
            <t xml:space="preserve"> A3 = A module / process, or work with client or regulatory consequences</t>
          </r>
        </is>
      </c>
      <c r="AZ17" s="132" t="inlineStr">
        <is>
          <r>
            <rPr>
              <rFont val="Calibri"/>
              <sz val="10"/>
            </rPr>
            <t xml:space="preserve">Rated 2 of 12 — not counted: the weight is 0% at this level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 guidance or leadership of others described → moved down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7" s="132" t="inlineStr">
        <is>
          <r>
            <rPr>
              <rFont val="Calibri"/>
              <sz val="10"/>
            </rPr>
            <t xml:space="preserve">Rated 2.5 of 12 · between A2 and A3
</t>
          </r>
          <r>
            <rPr>
              <rFont val="Calibri"/>
              <b val="1"/>
              <sz val="10"/>
            </rPr>
            <t>Experience:</t>
          </r>
          <r>
            <rPr>
              <rFont val="Calibri"/>
              <sz val="10"/>
            </rPr>
            <t xml:space="preserve"> 2.9 yrs total · 2.6 before IRIS + 0.3 at IRIS = 3.0 on the experience scale
</t>
          </r>
          <r>
            <rPr>
              <rFont val="Calibri"/>
              <b val="1"/>
              <sz val="10"/>
            </rPr>
            <t>Qualification:</t>
          </r>
          <r>
            <rPr>
              <rFont val="Calibri"/>
              <sz val="10"/>
            </rPr>
            <t xml:space="preserve"> Diploma in Chemical Engineering · below graduate → −0.5
</t>
          </r>
          <r>
            <rPr>
              <rFont val="Calibri"/>
              <b val="1"/>
              <sz val="10"/>
            </rPr>
            <t>Market:</t>
          </r>
          <r>
            <rPr>
              <rFont val="Calibri"/>
              <sz val="10"/>
            </rPr>
            <t xml:space="preserve"> A3 roles typically have 2–5 yrs · IRIS guide 2–4</t>
          </r>
        </is>
      </c>
      <c r="BB17"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7" s="133" t="inlineStr"/>
      <c r="BD17" s="134" t="inlineStr">
        <is>
          <t>✓ HRIS: 2.9 yrs, Diploma in Chemical Engineering, 0 direct reports
✓ Survey: 20 of 20 questions answered
✗ KRAs: none on file
✓ Manager mapping: rating, potential, 9-box
✗ Job description: not on file</t>
        </is>
      </c>
      <c r="BE17" s="134"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BF17" s="134" t="inlineStr">
        <is>
          <t>High</t>
        </is>
      </c>
      <c r="BG17" s="134" t="inlineStr"/>
      <c r="BH17" s="134" t="inlineStr"/>
      <c r="BI17" s="135" t="n"/>
      <c r="BJ17" s="136" t="n"/>
      <c r="BK17" s="136" t="n"/>
      <c r="BL17" s="136" t="n"/>
      <c r="BM17" s="136" t="n"/>
      <c r="BN17" s="137" t="n"/>
      <c r="BO17" s="120" t="n"/>
      <c r="BP17" s="120" t="n"/>
      <c r="BQ17" s="120" t="n"/>
      <c r="BR17" s="120" t="n"/>
      <c r="BS17" s="120" t="n"/>
      <c r="BT17" s="120" t="n"/>
      <c r="BU17" s="120" t="n"/>
      <c r="BV17" s="120" t="n">
        <v>3</v>
      </c>
    </row>
    <row r="18" ht="340" customHeight="1">
      <c r="A18" s="109" t="inlineStr">
        <is>
          <t>IRISDT0007</t>
        </is>
      </c>
      <c r="B18" s="110" t="inlineStr">
        <is>
          <t>Vasundhara Lella</t>
        </is>
      </c>
      <c r="C18" s="111" t="inlineStr">
        <is>
          <t>Marketing</t>
        </is>
      </c>
      <c r="D18" s="111" t="inlineStr">
        <is>
          <t>Ankita Pathak</t>
        </is>
      </c>
      <c r="E18" s="112" t="n">
        <v>4.3</v>
      </c>
      <c r="F18" s="112" t="n">
        <v>1.1</v>
      </c>
      <c r="G18" s="111" t="inlineStr">
        <is>
          <t>B.Tech</t>
        </is>
      </c>
      <c r="H18" s="113" t="inlineStr">
        <is>
          <t>Content Marketer</t>
        </is>
      </c>
      <c r="I18" s="114" t="inlineStr">
        <is>
          <t>Senior Content Marketing Associate</t>
        </is>
      </c>
      <c r="J18" s="115" t="inlineStr">
        <is>
          <t>Marketing &amp; Communications</t>
        </is>
      </c>
      <c r="K18" s="115" t="inlineStr">
        <is>
          <t>Content Marketing</t>
        </is>
      </c>
      <c r="L18" s="114" t="inlineStr">
        <is>
          <t>L3 – Professional / Associate</t>
        </is>
      </c>
      <c r="M18" s="138" t="inlineStr">
        <is>
          <t>A3</t>
        </is>
      </c>
      <c r="N18" s="140" t="inlineStr">
        <is>
          <t>Senior Associate</t>
        </is>
      </c>
      <c r="O18" s="26" t="inlineStr">
        <is>
          <t>A</t>
        </is>
      </c>
      <c r="P18" s="115" t="inlineStr">
        <is>
          <t>IC</t>
        </is>
      </c>
      <c r="Q18" s="141" t="inlineStr">
        <is>
          <t>▲ Up</t>
        </is>
      </c>
      <c r="R18" s="118" t="inlineStr">
        <is>
          <r>
            <rPr>
              <rFont val="Calibri"/>
              <b val="1"/>
              <sz val="10"/>
            </rPr>
            <t>WHAT THE ROLE DOES:</t>
          </r>
          <r>
            <rPr>
              <rFont val="Calibri"/>
              <sz val="10"/>
            </rPr>
            <t xml:space="preserve"> Writes blogs, web copy, collateral and social content. At A3: varied work; reviews juniors; go-to for a process.
</t>
          </r>
          <r>
            <rPr>
              <rFont val="Calibri"/>
              <b val="1"/>
              <sz val="10"/>
            </rPr>
            <t>Common themes in sub-family holders, all levels' answers:</t>
          </r>
          <r>
            <rPr>
              <rFont val="Calibri"/>
              <sz val="10"/>
            </rPr>
            <t xml:space="preserve"> content · creation · brand · marketing · leads · through
</t>
          </r>
          <r>
            <rPr>
              <rFont val="Calibri"/>
              <b val="1"/>
              <sz val="10"/>
            </rPr>
            <t>KEY RESPONSIBILITIES:</t>
          </r>
          <r>
            <rPr>
              <rFont val="Calibri"/>
              <sz val="10"/>
            </rPr>
            <t xml:space="preserve"> Writes blogs, web copy, collateral and social content; Varied and non-standard work; handles exceptions; A module / process, or work with client or regulatory consequences
</t>
          </r>
          <r>
            <rPr>
              <rFont val="Calibri"/>
              <b val="1"/>
              <sz val="10"/>
            </rPr>
            <t>Common themes in sub-family holders, all levels' answers:</t>
          </r>
          <r>
            <rPr>
              <rFont val="Calibri"/>
              <sz val="10"/>
            </rPr>
            <t xml:space="preserve"> content · blogs · week · research · campaign · assets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content · media · social · marketing · blogs · campaigns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content · social media · website · accountable · marketing · brand
</t>
          </r>
          <r>
            <rPr>
              <rFont val="Calibri"/>
              <b val="1"/>
              <sz val="10"/>
            </rPr>
            <t>DECIDES ALONE:</t>
          </r>
          <r>
            <rPr>
              <rFont val="Calibri"/>
              <sz val="10"/>
            </rPr>
            <t xml:space="preserve"> Technical / QC / client calls on own work
</t>
          </r>
          <r>
            <rPr>
              <rFont val="Calibri"/>
              <b val="1"/>
              <sz val="10"/>
            </rPr>
            <t>Common themes in sub-family holders, all levels' answers:</t>
          </r>
          <r>
            <rPr>
              <rFont val="Calibri"/>
              <sz val="10"/>
            </rPr>
            <t xml:space="preserve"> seo · blogs · content
</t>
          </r>
          <r>
            <rPr>
              <rFont val="Calibri"/>
              <b val="1"/>
              <sz val="10"/>
            </rPr>
            <t>SKILLS &amp; KNOWLEDGE · role-holders:</t>
          </r>
          <r>
            <rPr>
              <rFont val="Calibri"/>
              <sz val="10"/>
            </rPr>
            <t xml:space="preserve"> Marketing · Research skills · Content strategy · Copywriting
</t>
          </r>
          <r>
            <rPr>
              <rFont val="Calibri"/>
              <b val="1"/>
              <sz val="10"/>
            </rPr>
            <t>TOOLS &amp; SYSTEMS:</t>
          </r>
          <r>
            <rPr>
              <rFont val="Calibri"/>
              <sz val="10"/>
            </rPr>
            <t xml:space="preserve"> Semrush · Google Analytics · Canva · Hubspot · Buffer · Claude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2 holders, 2 answered the survey; sub-family 8 answered; catalogue RC-112</t>
          </r>
        </is>
      </c>
      <c r="S1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ranking.
Manager talent mapping — Latest rating: 3 · Potential: Medium · 9-Box Grid placement: Performance Risk.</t>
          </r>
        </is>
      </c>
      <c r="T18" s="120" t="n"/>
      <c r="U18" s="121" t="inlineStr">
        <is>
          <r>
            <rPr>
              <rFont val="Calibri"/>
              <sz val="10"/>
            </rPr>
            <t xml:space="preserve">Senior Content Marketing Associate in Marketing · Datatech, A3 — IC.
</t>
          </r>
          <r>
            <rPr>
              <rFont val="Calibri"/>
              <b val="1"/>
              <sz val="10"/>
            </rPr>
            <t>The work:</t>
          </r>
          <r>
            <rPr>
              <rFont val="Calibri"/>
              <sz val="10"/>
            </rPr>
            <t xml:space="preserve"> Writes blogs, web copy, collateral and social content.
At this level the role owns varied work; reviews juniors; go-to for a process.
</t>
          </r>
          <r>
            <rPr>
              <rFont val="Calibri"/>
              <b val="1"/>
              <sz val="10"/>
            </rPr>
            <t>Key responsibilities:</t>
          </r>
          <r>
            <rPr>
              <rFont val="Calibri"/>
              <sz val="10"/>
            </rPr>
            <t xml:space="preserve"> Writes blogs, web copy, collateral and social content; Varied and non-standard work; handles exceptions; A module / process, or work with client or regulatory consequences.
</t>
          </r>
          <r>
            <rPr>
              <rFont val="Calibri"/>
              <b val="1"/>
              <sz val="10"/>
            </rPr>
            <t>Holders describe it with:</t>
          </r>
          <r>
            <rPr>
              <rFont val="Calibri"/>
              <sz val="10"/>
            </rPr>
            <t xml:space="preserve"> content · blogs · week · research · campaign · assets.</t>
          </r>
        </is>
      </c>
      <c r="V18" s="122" t="inlineStr">
        <is>
          <r>
            <rPr>
              <rFont val="Calibri"/>
              <b val="1"/>
              <sz val="10"/>
            </rPr>
            <t>Hire as:</t>
          </r>
          <r>
            <rPr>
              <rFont val="Calibri"/>
              <sz val="10"/>
            </rPr>
            <t xml:space="preserve"> Marketing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MBA · marketing
</t>
          </r>
          <r>
            <rPr>
              <rFont val="Calibri"/>
              <b val="1"/>
              <sz val="10"/>
            </rPr>
            <t>Equivalent titles at peers:</t>
          </r>
          <r>
            <rPr>
              <rFont val="Calibri"/>
              <sz val="10"/>
            </rPr>
            <t xml:space="preserve"> IRIS Vs Market Benchmark — CIM proficiency scale – 2–3 · IRIS Vs Competitor Benchmark — SaaS marketing ladder – Marketing Specialist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18" s="122" t="inlineStr">
        <is>
          <r>
            <rPr>
              <rFont val="Calibri"/>
              <sz val="10"/>
            </rPr>
            <t xml:space="preserve">FUNCTIONAL — skill level 3 of 5 · Practitioner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Research skills · Content strategy · Copywriting
</t>
          </r>
          <r>
            <rPr>
              <rFont val="Calibri"/>
              <b val="1"/>
              <sz val="10"/>
            </rPr>
            <t>TOOLS:</t>
          </r>
          <r>
            <rPr>
              <rFont val="Calibri"/>
              <sz val="10"/>
            </rPr>
            <t xml:space="preserve"> Semrush · Google Analytics · Canva · Hubspot · Buffer · Claude
★ = must-have for the family. Scale: 1 Awareness · 2 Working · 3 Practitioner · 4 Advanced · 5 Expert.</t>
          </r>
        </is>
      </c>
      <c r="X18" s="122" t="inlineStr">
        <is>
          <r>
            <rPr>
              <rFont val="Calibri"/>
              <sz val="10"/>
            </rPr>
            <t xml:space="preserve">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8" s="123" t="inlineStr">
        <is>
          <t>Datatech · Marketing · Band A · Early career</t>
        </is>
      </c>
      <c r="Z18" s="124" t="n">
        <v>2</v>
      </c>
      <c r="AA18" s="125">
        <f>IFERROR(INDEX(WM_C,MATCH($Y18,WM_KEY,0)),"")</f>
        <v>0.54</v>
      </c>
      <c r="AB18" s="126">
        <f>IF(Z18="","",Z18*AA18)</f>
        <v>1.08</v>
      </c>
      <c r="AC18" s="124" t="n">
        <v>2</v>
      </c>
      <c r="AD18" s="125">
        <f>IFERROR(INDEX(WM_AU,MATCH($Y18,WM_KEY,0)),"")</f>
        <v>0.21</v>
      </c>
      <c r="AE18" s="126">
        <f>IF(AC18="","",AC18*AD18)</f>
        <v>0.42</v>
      </c>
      <c r="AF18" s="124" t="n">
        <v>2</v>
      </c>
      <c r="AG18" s="125">
        <f>IFERROR(INDEX(WM_AC,MATCH($Y18,WM_KEY,0)),"")</f>
        <v>0.04</v>
      </c>
      <c r="AH18" s="126">
        <f>IF(AF18="","",AF18*AG18)</f>
        <v>0.08</v>
      </c>
      <c r="AI18" s="124" t="n">
        <v>1</v>
      </c>
      <c r="AJ18" s="125">
        <f>IFERROR(INDEX(WM_L,MATCH($Y18,WM_KEY,0)),"")</f>
        <v>0</v>
      </c>
      <c r="AK18" s="126">
        <f>IF(AI18="","",AI18*AJ18)</f>
        <v>0</v>
      </c>
      <c r="AL18" s="124" t="n">
        <v>3.5</v>
      </c>
      <c r="AM18" s="125">
        <f>IFERROR(INDEX(WM_E,MATCH($Y18,WM_KEY,0)),"")</f>
        <v>0.1</v>
      </c>
      <c r="AN18" s="126">
        <f>IF(AL18="","",AL18*AM18)</f>
        <v>0.35</v>
      </c>
      <c r="AO18" s="127" t="n">
        <v>2.5</v>
      </c>
      <c r="AP18" s="125">
        <f>IFERROR(INDEX(WM_BI,MATCH($Y18,WM_KEY,0)),"")</f>
        <v>0.11</v>
      </c>
      <c r="AQ18" s="126">
        <f>IF(AO18="","",AO18*AP18)</f>
        <v>0.275</v>
      </c>
      <c r="AR18" s="126">
        <f>IF(COUNT(AB18,AE18,AH18,AK18,AN18,AQ18)&lt;6,"",SUM(AB18,AE18,AH18,AK18,AN18,AQ18))</f>
        <v>2.205</v>
      </c>
      <c r="AS18" s="128" t="str">
        <f>IF(AR18="","",INDEX({"A1","A2","A3","B1","B2","B3","C1","C2","D1","D2","E1","E2"},MAX(1,MIN(12,ROUND(AR18,0)))))</f>
        <v>A2</v>
      </c>
      <c r="AT18"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8" s="130" t="inlineStr">
        <is>
          <r>
            <rPr>
              <rFont val="Calibri"/>
              <b val="1"/>
              <sz val="10"/>
            </rPr>
            <t>At build:</t>
          </r>
          <r>
            <rPr>
              <rFont val="Calibri"/>
              <sz val="10"/>
            </rPr>
            <t xml:space="preserve"> Complexity 1.08 + Autonomy 0.42 + Accountability 0.08 + Leadership 0.00 + Experience 0.35 + Business impact 0.28
= 2.21 points → nearest level 2 = A2
</t>
          </r>
          <r>
            <rPr>
              <rFont val="Calibri"/>
              <b val="1"/>
              <sz val="10"/>
            </rPr>
            <t>Final level:</t>
          </r>
          <r>
            <rPr>
              <rFont val="Calibri"/>
              <sz val="10"/>
            </rPr>
            <t xml:space="preserve"> A3 · a rule applied: see the next column</t>
          </r>
        </is>
      </c>
      <c r="AV18" s="130" t="inlineStr">
        <is>
          <r>
            <rPr>
              <rFont val="Calibri"/>
              <sz val="10"/>
            </rPr>
            <t xml:space="preserve">• </t>
          </r>
          <r>
            <rPr>
              <rFont val="Calibri"/>
              <b val="1"/>
              <sz val="10"/>
            </rPr>
            <t>Raised to A3:</t>
          </r>
          <r>
            <rPr>
              <rFont val="Calibri"/>
              <sz val="10"/>
            </rPr>
            <t xml:space="preserve"> 4.3 years' experience is 2 years or more.
</t>
          </r>
          <r>
            <rPr>
              <rFont val="Calibri"/>
              <b val="1"/>
              <sz val="10"/>
            </rPr>
            <t>Final level:</t>
          </r>
          <r>
            <rPr>
              <rFont val="Calibri"/>
              <sz val="10"/>
            </rPr>
            <t xml:space="preserve"> A3.</t>
          </r>
        </is>
      </c>
      <c r="AW18"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Writes blogs, social and webinar content; tracks traffic in Semrush; newsletter and GST calendar → matches the start
</t>
          </r>
          <r>
            <rPr>
              <rFont val="Calibri"/>
              <b val="1"/>
              <sz val="10"/>
            </rPr>
            <t>KRA:</t>
          </r>
          <r>
            <rPr>
              <rFont val="Calibri"/>
              <sz val="10"/>
            </rPr>
            <t xml:space="preserve"> “a. Organic Traffic Growth - 30% b. Organic Keyword Growth - 50% c. AI visibility improved by 10 points d. Blogs published - 2 blogs a week…”
</t>
          </r>
          <r>
            <rPr>
              <rFont val="Calibri"/>
              <b val="1"/>
              <sz val="10"/>
            </rPr>
            <t>Market:</t>
          </r>
          <r>
            <rPr>
              <rFont val="Calibri"/>
              <sz val="10"/>
            </rPr>
            <t xml:space="preserve"> A2 = Standard work of the discipline</t>
          </r>
        </is>
      </c>
      <c r="AX1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States she needs approvals; drafts the monthly content plan and reworks posts herself → matches the start
</t>
          </r>
          <r>
            <rPr>
              <rFont val="Calibri"/>
              <b val="1"/>
              <sz val="10"/>
            </rPr>
            <t>Market:</t>
          </r>
          <r>
            <rPr>
              <rFont val="Calibri"/>
              <sz val="10"/>
            </rPr>
            <t xml:space="preserve"> A2 = Chooses own approach within standards</t>
          </r>
        </is>
      </c>
      <c r="AY1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“a. Organic Traffic Growth - 30% b. Organic Keyword Growth - 50% c. AI visibility improved by 10 points d. Blogs published - 2 blogs a week…”
</t>
          </r>
          <r>
            <rPr>
              <rFont val="Calibri"/>
              <b val="1"/>
              <sz val="10"/>
            </rPr>
            <t>Market:</t>
          </r>
          <r>
            <rPr>
              <rFont val="Calibri"/>
              <sz val="10"/>
            </rPr>
            <t xml:space="preserve"> A2 = Own deliverables · accuracy, TAT</t>
          </r>
        </is>
      </c>
      <c r="AZ1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8" s="132" t="inlineStr">
        <is>
          <r>
            <rPr>
              <rFont val="Calibri"/>
              <sz val="10"/>
            </rPr>
            <t xml:space="preserve">Rated 3.5 of 12 · between A3 and B1
</t>
          </r>
          <r>
            <rPr>
              <rFont val="Calibri"/>
              <b val="1"/>
              <sz val="10"/>
            </rPr>
            <t>Experience:</t>
          </r>
          <r>
            <rPr>
              <rFont val="Calibri"/>
              <sz val="10"/>
            </rPr>
            <t xml:space="preserve"> 4.3 yrs total · 3.2 before IRIS + 1.1 at IRIS = 3.5 on the experience scale
</t>
          </r>
          <r>
            <rPr>
              <rFont val="Calibri"/>
              <b val="1"/>
              <sz val="10"/>
            </rPr>
            <t>Qualification:</t>
          </r>
          <r>
            <rPr>
              <rFont val="Calibri"/>
              <sz val="10"/>
            </rPr>
            <t xml:space="preserve"> B.Tech · graduate → no change
</t>
          </r>
          <r>
            <rPr>
              <rFont val="Calibri"/>
              <b val="1"/>
              <sz val="10"/>
            </rPr>
            <t>Market:</t>
          </r>
          <r>
            <rPr>
              <rFont val="Calibri"/>
              <sz val="10"/>
            </rPr>
            <t xml:space="preserve"> A3 roles typically have 2–5 yrs · IRIS guide 2–4</t>
          </r>
        </is>
      </c>
      <c r="BB18"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8" s="133" t="inlineStr"/>
      <c r="BD18" s="134" t="inlineStr">
        <is>
          <t>✓ HRIS: 4.3 yrs, B.Tech, 0 direct reports
✓ Survey: 20 of 20 questions answered
✓ KRAs: manager-set
✓ Manager mapping: rating, potential, 9-box
✗ Job description: not on file</t>
        </is>
      </c>
      <c r="BE18" s="134"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BF18" s="134" t="inlineStr">
        <is>
          <t>Medium</t>
        </is>
      </c>
      <c r="BG18" s="134" t="inlineStr"/>
      <c r="BH18" s="134" t="inlineStr"/>
      <c r="BI18" s="135" t="n"/>
      <c r="BJ18" s="136" t="n"/>
      <c r="BK18" s="136" t="n"/>
      <c r="BL18" s="136" t="n"/>
      <c r="BM18" s="136" t="n"/>
      <c r="BN18" s="137" t="n"/>
      <c r="BO18" s="120" t="n"/>
      <c r="BP18" s="120" t="n"/>
      <c r="BQ18" s="120" t="n"/>
      <c r="BR18" s="120" t="n"/>
      <c r="BS18" s="120" t="n"/>
      <c r="BT18" s="120" t="n"/>
      <c r="BU18" s="120" t="n"/>
      <c r="BV18" s="120" t="n">
        <v>2.5</v>
      </c>
    </row>
    <row r="19" ht="340" customHeight="1">
      <c r="A19" s="109" t="inlineStr">
        <is>
          <t>IRISDTC006</t>
        </is>
      </c>
      <c r="B19" s="110" t="inlineStr">
        <is>
          <t>Vaishnavi Dhuri</t>
        </is>
      </c>
      <c r="C19" s="111" t="inlineStr">
        <is>
          <t>Marketing</t>
        </is>
      </c>
      <c r="D19" s="111" t="inlineStr">
        <is>
          <t>Ankita Pathak</t>
        </is>
      </c>
      <c r="E19" s="149" t="inlineStr">
        <is>
          <t>Not provided · HRIS</t>
        </is>
      </c>
      <c r="F19" s="112" t="n">
        <v>0.1</v>
      </c>
      <c r="G19" s="111" t="inlineStr">
        <is>
          <t>Bachelor of Science</t>
        </is>
      </c>
      <c r="H19" s="113" t="inlineStr">
        <is>
          <t>Graphic Designer and Video Editor</t>
        </is>
      </c>
      <c r="I19" s="114" t="inlineStr">
        <is>
          <t>Designer</t>
        </is>
      </c>
      <c r="J19" s="115" t="inlineStr">
        <is>
          <t>Design &amp; Creative</t>
        </is>
      </c>
      <c r="K19" s="115" t="inlineStr">
        <is>
          <t>Brand, Graphic &amp; Video Design</t>
        </is>
      </c>
      <c r="L19" s="114" t="inlineStr">
        <is>
          <t>Not in current mapping files</t>
        </is>
      </c>
      <c r="M19" s="138" t="inlineStr">
        <is>
          <t>A2</t>
        </is>
      </c>
      <c r="N19" s="140" t="inlineStr">
        <is>
          <t>Associate</t>
        </is>
      </c>
      <c r="O19" s="26" t="inlineStr">
        <is>
          <t>A</t>
        </is>
      </c>
      <c r="P19" s="115" t="inlineStr">
        <is>
          <t>IC</t>
        </is>
      </c>
      <c r="Q19" s="143" t="inlineStr">
        <is>
          <t>● Newly mapped</t>
        </is>
      </c>
      <c r="R19" s="118" t="inlineStr">
        <is>
          <r>
            <rPr>
              <rFont val="Calibri"/>
              <b val="1"/>
              <sz val="10"/>
            </rPr>
            <t>WHAT THE ROLE DOES:</t>
          </r>
          <r>
            <rPr>
              <rFont val="Calibri"/>
              <sz val="10"/>
            </rPr>
            <t xml:space="preserve"> Creates brand assets, creatives, decks, motion graphics and video. At A2: standard work delivered independently.
</t>
          </r>
          <r>
            <rPr>
              <rFont val="Calibri"/>
              <b val="1"/>
              <sz val="10"/>
            </rPr>
            <t>Common themes in sub-family holders, all levels' answers:</t>
          </r>
          <r>
            <rPr>
              <rFont val="Calibri"/>
              <sz val="10"/>
            </rPr>
            <t xml:space="preserve"> media · social · collaterals · designing · shobhan · reports
</t>
          </r>
          <r>
            <rPr>
              <rFont val="Calibri"/>
              <b val="1"/>
              <sz val="10"/>
            </rPr>
            <t>KEY RESPONSIBILITIES:</t>
          </r>
          <r>
            <rPr>
              <rFont val="Calibri"/>
              <sz val="10"/>
            </rPr>
            <t xml:space="preserve"> Creates brand assets, creatives, decks, motion graphics and video; Standard work of the discipline; Own deliverables · accuracy, TAT
</t>
          </r>
          <r>
            <rPr>
              <rFont val="Calibri"/>
              <b val="1"/>
              <sz val="10"/>
            </rPr>
            <t>Common themes in sub-family holders, all levels' answers:</t>
          </r>
          <r>
            <rPr>
              <rFont val="Calibri"/>
              <sz val="10"/>
            </rPr>
            <t xml:space="preserve"> sales · event · collaterals
</t>
          </r>
          <r>
            <rPr>
              <rFont val="Calibri"/>
              <b val="1"/>
              <sz val="10"/>
            </rPr>
            <t>DELIVERS:</t>
          </r>
          <r>
            <rPr>
              <rFont val="Calibri"/>
              <sz val="10"/>
            </rPr>
            <t xml:space="preserve"> Own deliverables · accuracy, TAT
</t>
          </r>
          <r>
            <rPr>
              <rFont val="Calibri"/>
              <b val="1"/>
              <sz val="10"/>
            </rPr>
            <t>Common themes in sub-family holders, all levels' answers:</t>
          </r>
          <r>
            <rPr>
              <rFont val="Calibri"/>
              <sz val="10"/>
            </rPr>
            <t xml:space="preserve"> decks · assets · video · event · presentation · social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visual · design · presentation · solution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design
</t>
          </r>
          <r>
            <rPr>
              <rFont val="Calibri"/>
              <b val="1"/>
              <sz val="10"/>
            </rPr>
            <t>SKILLS &amp; KNOWLEDGE · role-holders:</t>
          </r>
          <r>
            <rPr>
              <rFont val="Calibri"/>
              <sz val="10"/>
            </rPr>
            <t xml:space="preserve"> Graphic design
</t>
          </r>
          <r>
            <rPr>
              <rFont val="Calibri"/>
              <b val="1"/>
              <sz val="10"/>
            </rPr>
            <t>TOOLS &amp; SYSTEMS:</t>
          </r>
          <r>
            <rPr>
              <rFont val="Calibri"/>
              <sz val="10"/>
            </rPr>
            <t xml:space="preserve"> Canva
COMPETENCIES REQUIRED — must-have ★: Product, Platform &amp; Domain Knowledge · Communication &amp; Presentation
</t>
          </r>
          <r>
            <rPr>
              <rFont val="Calibri"/>
              <b val="1"/>
              <sz val="10"/>
            </rPr>
            <t>OTHER FUNCTIONAL COMPETENCIES:</t>
          </r>
          <r>
            <rPr>
              <rFont val="Calibri"/>
              <sz val="10"/>
            </rPr>
            <t xml:space="preserve"> Marketing Tech &amp; Digital Marketing · Process Improvement &amp; Quality Mindset · AI, GenAI &amp; Prompt Engineering · Stakeholder &amp; Client Management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1 holder, 1 answered the survey; sub-family 4 answered; catalogue RC-051</t>
          </r>
        </is>
      </c>
      <c r="S19"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sales.
Manager talent mapping — Latest rating: Not rated · manager · 9-Box Grid placement: Not placed · manager.</t>
          </r>
        </is>
      </c>
      <c r="T19" s="120" t="n"/>
      <c r="U19" s="121" t="inlineStr">
        <is>
          <r>
            <rPr>
              <rFont val="Calibri"/>
              <sz val="10"/>
            </rPr>
            <t xml:space="preserve">Designer in Marketing · Datatech, A2 — IC.
</t>
          </r>
          <r>
            <rPr>
              <rFont val="Calibri"/>
              <b val="1"/>
              <sz val="10"/>
            </rPr>
            <t>The work:</t>
          </r>
          <r>
            <rPr>
              <rFont val="Calibri"/>
              <sz val="10"/>
            </rPr>
            <t xml:space="preserve"> Creates brand assets, creatives, decks, motion graphics and video.
At this level the role owns standard work delivered independently.
</t>
          </r>
          <r>
            <rPr>
              <rFont val="Calibri"/>
              <b val="1"/>
              <sz val="10"/>
            </rPr>
            <t>Key responsibilities:</t>
          </r>
          <r>
            <rPr>
              <rFont val="Calibri"/>
              <sz val="10"/>
            </rPr>
            <t xml:space="preserve"> Creates brand assets, creatives, decks, motion graphics and video; Standard work of the discipline; Own deliverables · accuracy, TAT.
</t>
          </r>
          <r>
            <rPr>
              <rFont val="Calibri"/>
              <b val="1"/>
              <sz val="10"/>
            </rPr>
            <t>Holders describe it with:</t>
          </r>
          <r>
            <rPr>
              <rFont val="Calibri"/>
              <sz val="10"/>
            </rPr>
            <t xml:space="preserve"> sales · event · collaterals.</t>
          </r>
        </is>
      </c>
      <c r="V19" s="122" t="inlineStr">
        <is>
          <r>
            <rPr>
              <rFont val="Calibri"/>
              <b val="1"/>
              <sz val="10"/>
            </rPr>
            <t>Hire as:</t>
          </r>
          <r>
            <rPr>
              <rFont val="Calibri"/>
              <sz val="10"/>
            </rPr>
            <t xml:space="preserve"> Junior Designer / Designer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in design / communication
</t>
          </r>
          <r>
            <rPr>
              <rFont val="Calibri"/>
              <b val="1"/>
              <sz val="10"/>
            </rPr>
            <t>Equivalent titles at peers:</t>
          </r>
          <r>
            <rPr>
              <rFont val="Calibri"/>
              <sz val="10"/>
            </rPr>
            <t xml:space="preserve"> IRIS Vs Competitor Benchmark — UX / design ladder – Junior Designer
</t>
          </r>
          <r>
            <rPr>
              <rFont val="Calibri"/>
              <b val="1"/>
              <sz val="10"/>
            </rPr>
            <t>Credentials:</t>
          </r>
          <r>
            <rPr>
              <rFont val="Calibri"/>
              <sz val="10"/>
            </rPr>
            <t xml:space="preserve"> Internal product certification
</t>
          </r>
          <r>
            <rPr>
              <rFont val="Calibri"/>
              <b val="1"/>
              <sz val="10"/>
            </rPr>
            <t>Must already know:</t>
          </r>
          <r>
            <rPr>
              <rFont val="Calibri"/>
              <sz val="10"/>
            </rPr>
            <t xml:space="preserve"> Brand and accessibility standards · WCAG</t>
          </r>
        </is>
      </c>
      <c r="W19" s="122" t="inlineStr">
        <is>
          <r>
            <rPr>
              <rFont val="Calibri"/>
              <sz val="10"/>
            </rPr>
            <t xml:space="preserve">FUNCTIONAL — skill level 2 of 5 · Working
 ★ Product, Platform &amp; Domain Knowledge: Handles most product and domain scenarios
 ★ Communication &amp; Presentation: Writes and presents clearly to clients and teams
 • </t>
          </r>
          <r>
            <rPr>
              <rFont val="Calibri"/>
              <b val="1"/>
              <sz val="10"/>
            </rPr>
            <t>Marketing Tech &amp; Digital Marketing:</t>
          </r>
          <r>
            <rPr>
              <rFont val="Calibri"/>
              <sz val="10"/>
            </rPr>
            <t xml:space="preserve"> Runs campaigns, CRM, SEO and social channels
 • </t>
          </r>
          <r>
            <rPr>
              <rFont val="Calibri"/>
              <b val="1"/>
              <sz val="10"/>
            </rPr>
            <t>Process Improvement &amp; Quality Mindset:</t>
          </r>
          <r>
            <rPr>
              <rFont val="Calibri"/>
              <sz val="10"/>
            </rPr>
            <t xml:space="preserve"> Delivers right-first-time; improves own checklists
 • </t>
          </r>
          <r>
            <rPr>
              <rFont val="Calibri"/>
              <b val="1"/>
              <sz val="10"/>
            </rPr>
            <t>AI, GenAI &amp; Prompt Engineering:</t>
          </r>
          <r>
            <rPr>
              <rFont val="Calibri"/>
              <sz val="10"/>
            </rPr>
            <t xml:space="preserve"> Uses AI / LLM tools in own work and validates output
 • </t>
          </r>
          <r>
            <rPr>
              <rFont val="Calibri"/>
              <b val="1"/>
              <sz val="10"/>
            </rPr>
            <t>Stakeholder &amp; Client Management:</t>
          </r>
          <r>
            <rPr>
              <rFont val="Calibri"/>
              <sz val="10"/>
            </rPr>
            <t xml:space="preserve"> Manages client communication and expectations for own work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Graphic design
</t>
          </r>
          <r>
            <rPr>
              <rFont val="Calibri"/>
              <b val="1"/>
              <sz val="10"/>
            </rPr>
            <t>TOOLS:</t>
          </r>
          <r>
            <rPr>
              <rFont val="Calibri"/>
              <sz val="10"/>
            </rPr>
            <t xml:space="preserve"> Canva
★ = must-have for the family. Scale: 1 Awareness · 2 Working · 3 Practitioner · 4 Advanced · 5 Expert.</t>
          </r>
        </is>
      </c>
      <c r="X19" s="122" t="inlineStr">
        <is>
          <r>
            <rPr>
              <rFont val="Calibri"/>
              <sz val="10"/>
            </rPr>
            <t xml:space="preserve">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[Communication &amp; Presentation · level 2] Tell me about recent work that shows this: "Writes and presents clearly to clients and teams". What exactly did you do, how, and what was the result? Assess with: Presentation / writing test.
3. [Marketing Tech &amp; Digital Marketing · level 2] Give an example that shows you can do this: "Runs campaigns, CRM, SEO and social channels". Assess with: Portfolio / case.
4. [Process Improvement &amp; Quality Mindset · level 2] Give an example that shows you can do this: "Delivers right-first-time; improves own checklists". Assess with: Work sample / case.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 s="123" t="inlineStr">
        <is>
          <t>Datatech · Marketing · Band A · Early career</t>
        </is>
      </c>
      <c r="Z19" s="124" t="n">
        <v>2</v>
      </c>
      <c r="AA19" s="125">
        <f>IFERROR(INDEX(WM_C,MATCH($Y19,WM_KEY,0)),"")</f>
        <v>0.54</v>
      </c>
      <c r="AB19" s="126">
        <f>IF(Z19="","",Z19*AA19)</f>
        <v>1.08</v>
      </c>
      <c r="AC19" s="124" t="n">
        <v>1.5</v>
      </c>
      <c r="AD19" s="125">
        <f>IFERROR(INDEX(WM_AU,MATCH($Y19,WM_KEY,0)),"")</f>
        <v>0.21</v>
      </c>
      <c r="AE19" s="126">
        <f>IF(AC19="","",AC19*AD19)</f>
        <v>0.315</v>
      </c>
      <c r="AF19" s="124" t="n">
        <v>2</v>
      </c>
      <c r="AG19" s="125">
        <f>IFERROR(INDEX(WM_AC,MATCH($Y19,WM_KEY,0)),"")</f>
        <v>0.04</v>
      </c>
      <c r="AH19" s="126">
        <f>IF(AF19="","",AF19*AG19)</f>
        <v>0.08</v>
      </c>
      <c r="AI19" s="124" t="n">
        <v>1</v>
      </c>
      <c r="AJ19" s="125">
        <f>IFERROR(INDEX(WM_L,MATCH($Y19,WM_KEY,0)),"")</f>
        <v>0</v>
      </c>
      <c r="AK19" s="126">
        <f>IF(AI19="","",AI19*AJ19)</f>
        <v>0</v>
      </c>
      <c r="AL19" s="124" t="n">
        <v>2</v>
      </c>
      <c r="AM19" s="125">
        <f>IFERROR(INDEX(WM_E,MATCH($Y19,WM_KEY,0)),"")</f>
        <v>0.1</v>
      </c>
      <c r="AN19" s="126">
        <f>IF(AL19="","",AL19*AM19)</f>
        <v>0.2</v>
      </c>
      <c r="AO19" s="127" t="n">
        <v>2</v>
      </c>
      <c r="AP19" s="125">
        <f>IFERROR(INDEX(WM_BI,MATCH($Y19,WM_KEY,0)),"")</f>
        <v>0.11</v>
      </c>
      <c r="AQ19" s="126">
        <f>IF(AO19="","",AO19*AP19)</f>
        <v>0.22</v>
      </c>
      <c r="AR19" s="126">
        <f>IF(COUNT(AB19,AE19,AH19,AK19,AN19,AQ19)&lt;6,"",SUM(AB19,AE19,AH19,AK19,AN19,AQ19))</f>
        <v>1.895</v>
      </c>
      <c r="AS19" s="128" t="str">
        <f>IF(AR19="","",INDEX({"A1","A2","A3","B1","B2","B3","C1","C2","D1","D2","E1","E2"},MAX(1,MIN(12,ROUND(AR19,0)))))</f>
        <v>A2</v>
      </c>
      <c r="AT19"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19" s="130" t="inlineStr">
        <is>
          <r>
            <rPr>
              <rFont val="Calibri"/>
              <b val="1"/>
              <sz val="10"/>
            </rPr>
            <t>At build:</t>
          </r>
          <r>
            <rPr>
              <rFont val="Calibri"/>
              <sz val="10"/>
            </rPr>
            <t xml:space="preserve"> Complexity 1.08 + Autonomy 0.32 + Accountability 0.08 + Leadership 0.00 + Experience 0.20 + Business impact 0.22
= 1.90 points → nearest level 2 = A2
</t>
          </r>
          <r>
            <rPr>
              <rFont val="Calibri"/>
              <b val="1"/>
              <sz val="10"/>
            </rPr>
            <t>Final level:</t>
          </r>
          <r>
            <rPr>
              <rFont val="Calibri"/>
              <sz val="10"/>
            </rPr>
            <t xml:space="preserve"> A2 · same as the score</t>
          </r>
        </is>
      </c>
      <c r="AV19" s="130" t="inlineStr">
        <is>
          <r>
            <rPr>
              <rFont val="Calibri"/>
              <sz val="10"/>
            </rPr>
            <t xml:space="preserve">•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A2.</t>
          </r>
        </is>
      </c>
      <c r="AW19"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Creates social media creatives and edits videos, including AI videos in After Effects → matches the start
</t>
          </r>
          <r>
            <rPr>
              <rFont val="Calibri"/>
              <b val="1"/>
              <sz val="10"/>
            </rPr>
            <t>Market:</t>
          </r>
          <r>
            <rPr>
              <rFont val="Calibri"/>
              <sz val="10"/>
            </rPr>
            <t xml:space="preserve"> A2 = Standard work of the discipline</t>
          </r>
        </is>
      </c>
      <c r="AX19" s="132" t="inlineStr">
        <is>
          <r>
            <rPr>
              <rFont val="Calibri"/>
              <sz val="10"/>
            </rPr>
            <t xml:space="preserve">Rated 1.5 of 12 · between A1 and A2
</t>
          </r>
          <r>
            <rPr>
              <rFont val="Calibri"/>
              <b val="1"/>
              <sz val="10"/>
            </rPr>
            <t>Start:</t>
          </r>
          <r>
            <rPr>
              <rFont val="Calibri"/>
              <sz val="10"/>
            </rPr>
            <t xml:space="preserve"> 2.0 · practitioner title
</t>
          </r>
          <r>
            <rPr>
              <rFont val="Calibri"/>
              <b val="1"/>
              <sz val="10"/>
            </rPr>
            <t>Evidence reads like A1:</t>
          </r>
          <r>
            <rPr>
              <rFont val="Calibri"/>
              <sz val="10"/>
            </rPr>
            <t xml:space="preserve"> States that approvals are needed; no independent decisions named → moved down 0.5
</t>
          </r>
          <r>
            <rPr>
              <rFont val="Calibri"/>
              <b val="1"/>
              <sz val="10"/>
            </rPr>
            <t>Market:</t>
          </r>
          <r>
            <rPr>
              <rFont val="Calibri"/>
              <sz val="10"/>
            </rPr>
            <t xml:space="preserve"> A1 = Needs approval / close guidance · A2 = Chooses own approach within standards</t>
          </r>
        </is>
      </c>
      <c r="AY1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Creatives delivered jointly with a co-worker; no personal accountability claimed → matches the start
</t>
          </r>
          <r>
            <rPr>
              <rFont val="Calibri"/>
              <b val="1"/>
              <sz val="10"/>
            </rPr>
            <t>Market:</t>
          </r>
          <r>
            <rPr>
              <rFont val="Calibri"/>
              <sz val="10"/>
            </rPr>
            <t xml:space="preserve"> A2 = Own deliverables · accuracy, TAT</t>
          </r>
        </is>
      </c>
      <c r="AZ1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9" s="132" t="inlineStr">
        <is>
          <r>
            <rPr>
              <rFont val="Calibri"/>
              <sz val="10"/>
            </rPr>
            <t xml:space="preserve">Rated 2 of 12
</t>
          </r>
          <r>
            <rPr>
              <rFont val="Calibri"/>
              <b val="1"/>
              <sz val="10"/>
            </rPr>
            <t>Experience:</t>
          </r>
          <r>
            <rPr>
              <rFont val="Calibri"/>
              <sz val="10"/>
            </rPr>
            <t xml:space="preserve"> not on record · input needed from HR, so set at the role's own level: it neither helps nor hurts
</t>
          </r>
          <r>
            <rPr>
              <rFont val="Calibri"/>
              <b val="1"/>
              <sz val="10"/>
            </rPr>
            <t>Qualification:</t>
          </r>
          <r>
            <rPr>
              <rFont val="Calibri"/>
              <sz val="10"/>
            </rPr>
            <t xml:space="preserve"> Bachelor of Science · graduate → no change
</t>
          </r>
          <r>
            <rPr>
              <rFont val="Calibri"/>
              <b val="1"/>
              <sz val="10"/>
            </rPr>
            <t>Market:</t>
          </r>
          <r>
            <rPr>
              <rFont val="Calibri"/>
              <sz val="10"/>
            </rPr>
            <t xml:space="preserve"> A2 roles typically have 0–3 yrs · IRIS guide 0–2</t>
          </r>
        </is>
      </c>
      <c r="BB19"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9" s="148" t="inlineStr">
        <is>
          <t>• Total experience · outside + at IRIS — HR — HRIS
• Confirm prior experience · provisional placement — HR</t>
        </is>
      </c>
      <c r="BD19" s="134" t="inlineStr">
        <is>
          <t>✗ HRIS: experience missing, Bachelor of Science, 0 direct reports
✓ Survey: 20 of 20 questions answered
✗ KRAs: none on file
✓ Manager mapping: rating, 9-box
✗ Job description: not on file</t>
        </is>
      </c>
      <c r="BE19" s="134" t="inlineStr">
        <is>
          <r>
            <rPr>
              <rFont val="Calibri"/>
              <b val="1"/>
              <sz val="10"/>
            </rPr>
            <t>Market level:</t>
          </r>
          <r>
            <rPr>
              <rFont val="Calibri"/>
              <sz val="10"/>
            </rPr>
            <t xml:space="preserve"> P1–P2 · SFIA 2 Assist
</t>
          </r>
          <r>
            <rPr>
              <rFont val="Calibri"/>
              <b val="1"/>
              <sz val="10"/>
            </rPr>
            <t>Typical title:</t>
          </r>
          <r>
            <rPr>
              <rFont val="Calibri"/>
              <sz val="10"/>
            </rPr>
            <t xml:space="preserve"> Junior Designer / Designer
</t>
          </r>
          <r>
            <rPr>
              <rFont val="Calibri"/>
              <b val="1"/>
              <sz val="10"/>
            </rPr>
            <t>At peers:</t>
          </r>
          <r>
            <rPr>
              <rFont val="Calibri"/>
              <sz val="10"/>
            </rPr>
            <t xml:space="preserve"> IRIS Vs Competitor Benchmark — UX / design ladder: Junior Designer
</t>
          </r>
          <r>
            <rPr>
              <rFont val="Calibri"/>
              <b val="1"/>
              <sz val="10"/>
            </rPr>
            <t>Typical experience:</t>
          </r>
          <r>
            <rPr>
              <rFont val="Calibri"/>
              <sz val="10"/>
            </rPr>
            <t xml:space="preserve"> 0–3 yrs · IRIS guide 0–2
</t>
          </r>
          <r>
            <rPr>
              <rFont val="Calibri"/>
              <b val="1"/>
              <sz val="10"/>
            </rPr>
            <t>Standard:</t>
          </r>
          <r>
            <rPr>
              <rFont val="Calibri"/>
              <sz val="10"/>
            </rPr>
            <t xml:space="preserve"> UX career ladder Junior → Designer → Senior → Lead → Principal; WCAG accessibility</t>
          </r>
        </is>
      </c>
      <c r="BF19" s="134" t="inlineStr">
        <is>
          <t>Low</t>
        </is>
      </c>
      <c r="BG19" s="134" t="inlineStr">
        <is>
          <t>• Total experience is not on record · new joiner — level is provisional until HR adds it</t>
        </is>
      </c>
      <c r="BH19" s="134" t="inlineStr"/>
      <c r="BI19" s="135" t="n"/>
      <c r="BJ19" s="136" t="n"/>
      <c r="BK19" s="136" t="n"/>
      <c r="BL19" s="136" t="n"/>
      <c r="BM19" s="136" t="n"/>
      <c r="BN19" s="137" t="n"/>
      <c r="BO19" s="120" t="n"/>
      <c r="BP19" s="120" t="n"/>
      <c r="BQ19" s="120" t="n"/>
      <c r="BR19" s="120" t="n"/>
      <c r="BS19" s="120" t="n"/>
      <c r="BT19" s="120" t="n"/>
      <c r="BU19" s="120" t="n"/>
      <c r="BV19" s="120" t="n">
        <v>2</v>
      </c>
    </row>
    <row r="20" ht="197" customHeight="1">
      <c r="A20" s="109" t="inlineStr">
        <is>
          <t>No Emp ID · in-house consultant</t>
        </is>
      </c>
      <c r="B20" s="110" t="inlineStr">
        <is>
          <t>R Indumathi</t>
        </is>
      </c>
      <c r="C20" s="111" t="inlineStr">
        <is>
          <t>Marketing</t>
        </is>
      </c>
      <c r="D20" s="111" t="inlineStr">
        <is>
          <t>Not provided · HRIS</t>
        </is>
      </c>
      <c r="E20" s="112" t="inlineStr">
        <is>
          <t>Not provided · HRIS</t>
        </is>
      </c>
      <c r="F20" s="112" t="n">
        <v>0.3</v>
      </c>
      <c r="G20" s="111" t="inlineStr">
        <is>
          <t>Not provided · HRIS</t>
        </is>
      </c>
      <c r="H20" s="113" t="inlineStr">
        <is>
          <t>Consultant</t>
        </is>
      </c>
      <c r="I20" s="114" t="inlineStr">
        <is>
          <t>Associate Consultant – Demand Generation, Brand &amp; Events</t>
        </is>
      </c>
      <c r="J20" s="115" t="inlineStr">
        <is>
          <t>Marketing &amp; Communications</t>
        </is>
      </c>
      <c r="K20" s="115" t="inlineStr">
        <is>
          <t>Marketing · role not recorded</t>
        </is>
      </c>
      <c r="L20" s="115" t="inlineStr">
        <is>
          <t>—</t>
        </is>
      </c>
      <c r="M20" s="150" t="inlineStr">
        <is>
          <t>X1</t>
        </is>
      </c>
      <c r="N20" s="136" t="inlineStr">
        <is>
          <t>Associate Consultant</t>
        </is>
      </c>
      <c r="O20" s="45" t="inlineStr">
        <is>
          <t>X</t>
        </is>
      </c>
      <c r="P20" s="115" t="inlineStr">
        <is>
          <t>Consultant</t>
        </is>
      </c>
      <c r="Q20" s="117" t="inlineStr">
        <is>
          <t>• Same level</t>
        </is>
      </c>
      <c r="R20" s="118" t="inlineStr">
        <is>
          <r>
            <rPr>
              <rFont val="Calibri"/>
              <b val="1"/>
              <sz val="10"/>
            </rPr>
            <t>WHAT THE ROLE DOES:</t>
          </r>
          <r>
            <rPr>
              <rFont val="Calibri"/>
              <sz val="10"/>
            </rPr>
            <t xml:space="preserve"> Consultant — work not captured. At X1: defined deliverables under a statement of work · ≈ A2–A3.
</t>
          </r>
          <r>
            <rPr>
              <rFont val="Calibri"/>
              <b val="1"/>
              <sz val="10"/>
            </rPr>
            <t>KEY RESPONSIBILITIES:</t>
          </r>
          <r>
            <rPr>
              <rFont val="Calibri"/>
              <sz val="10"/>
            </rPr>
            <t xml:space="preserve"> Consultant — work not captured
</t>
          </r>
          <r>
            <rPr>
              <rFont val="Calibri"/>
              <b val="1"/>
              <sz val="10"/>
            </rPr>
            <t>DELIVERS:</t>
          </r>
          <r>
            <rPr>
              <rFont val="Calibri"/>
              <sz val="10"/>
            </rPr>
            <t xml:space="preserve"> Consultant — work not captured.
</t>
          </r>
          <r>
            <rPr>
              <rFont val="Calibri"/>
              <b val="1"/>
              <sz val="10"/>
            </rPr>
            <t>ACCOUNTABLE FOR:</t>
          </r>
          <r>
            <rPr>
              <rFont val="Calibri"/>
              <sz val="10"/>
            </rPr>
            <t xml:space="preserve"> Deliverables under the statement of work
</t>
          </r>
          <r>
            <rPr>
              <rFont val="Calibri"/>
              <b val="1"/>
              <sz val="10"/>
            </rPr>
            <t>DECIDES ALONE:</t>
          </r>
          <r>
            <rPr>
              <rFont val="Calibri"/>
              <sz val="10"/>
            </rPr>
            <t xml:space="preserve"> Within the statement of work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Google / HubSpot certifications
</t>
          </r>
          <r>
            <rPr>
              <rFont val="Calibri"/>
              <b val="1"/>
              <sz val="10"/>
            </rPr>
            <t>SOURCE:</t>
          </r>
          <r>
            <rPr>
              <rFont val="Calibri"/>
              <sz val="10"/>
            </rPr>
            <t xml:space="preserve"> Framework only · fewer than 3 answered — 1 holder, 0 answered the survey; sub-family 0 answered; catalogue RC-118</t>
          </r>
        </is>
      </c>
      <c r="S20" s="119" t="inlineStr">
        <is>
          <r>
            <rPr>
              <rFont val="Calibri"/>
              <b val="1"/>
              <sz val="10"/>
            </rPr>
            <t>What the role answers for:</t>
          </r>
          <r>
            <rPr>
              <rFont val="Calibri"/>
              <sz val="10"/>
            </rPr>
            <t xml:space="preserve"> —.
Manager talent mapping — Latest rating: Not rated · manager.</t>
          </r>
        </is>
      </c>
      <c r="T20" s="120" t="n"/>
      <c r="U20" s="121" t="inlineStr">
        <is>
          <r>
            <rPr>
              <rFont val="Calibri"/>
              <sz val="10"/>
            </rPr>
            <t xml:space="preserve">Associate Consultant – Demand Generation, Brand &amp; Events in Marketing · Datatech, X1 — Consultant.
</t>
          </r>
          <r>
            <rPr>
              <rFont val="Calibri"/>
              <b val="1"/>
              <sz val="10"/>
            </rPr>
            <t>The work:</t>
          </r>
          <r>
            <rPr>
              <rFont val="Calibri"/>
              <sz val="10"/>
            </rPr>
            <t xml:space="preserve"> Consultant — work not captured.
At this level the role owns defined deliverables under a statement of work · ≈ A2–A3.
</t>
          </r>
          <r>
            <rPr>
              <rFont val="Calibri"/>
              <b val="1"/>
              <sz val="10"/>
            </rPr>
            <t>Key responsibilities:</t>
          </r>
          <r>
            <rPr>
              <rFont val="Calibri"/>
              <sz val="10"/>
            </rPr>
            <t xml:space="preserve"> Consultant — work not captured.</t>
          </r>
        </is>
      </c>
      <c r="V20" s="122" t="inlineStr">
        <is>
          <r>
            <rPr>
              <rFont val="Calibri"/>
              <sz val="10"/>
            </rPr>
            <t xml:space="preserve">External consultant — hire under a statement of work, priced by rate card. Scope: Associate Consultant – Demand Generation, Brand &amp; Events.
</t>
          </r>
          <r>
            <rPr>
              <rFont val="Calibri"/>
              <b val="1"/>
              <sz val="10"/>
            </rPr>
            <t>Skills:</t>
          </r>
          <r>
            <rPr>
              <rFont val="Calibri"/>
              <sz val="10"/>
            </rPr>
            <t xml:space="preserve"> —</t>
          </r>
        </is>
      </c>
      <c r="W20" s="122" t="inlineStr">
        <is>
          <r>
            <rPr>
              <rFont val="Calibri"/>
              <b val="1"/>
              <sz val="10"/>
            </rPr>
            <t>Consultant:</t>
          </r>
          <r>
            <rPr>
              <rFont val="Calibri"/>
              <sz val="10"/>
            </rPr>
            <t xml:space="preserve"> competencies are set by the statement of work.</t>
          </r>
        </is>
      </c>
      <c r="X20" s="122" t="inlineStr">
        <is>
          <r>
            <rPr>
              <rFont val="Calibri"/>
              <b val="1"/>
              <sz val="10"/>
            </rPr>
            <t>Consultant:</t>
          </r>
          <r>
            <rPr>
              <rFont val="Calibri"/>
              <sz val="10"/>
            </rPr>
            <t xml:space="preserve"> assess against the statement of work — deliverables, rate card and references.</t>
          </r>
        </is>
      </c>
      <c r="Y20" s="123" t="inlineStr">
        <is>
          <t>—</t>
        </is>
      </c>
      <c r="Z20" s="124" t="n"/>
      <c r="AA20" s="125" t="n"/>
      <c r="AB20" s="126" t="n"/>
      <c r="AC20" s="124" t="n"/>
      <c r="AD20" s="125" t="n"/>
      <c r="AE20" s="126" t="n"/>
      <c r="AF20" s="124" t="n"/>
      <c r="AG20" s="125" t="n"/>
      <c r="AH20" s="126" t="n"/>
      <c r="AI20" s="124" t="n"/>
      <c r="AJ20" s="125" t="n"/>
      <c r="AK20" s="126" t="n"/>
      <c r="AL20" s="124" t="n"/>
      <c r="AM20" s="125" t="n"/>
      <c r="AN20" s="126" t="n"/>
      <c r="AO20" s="127" t="n"/>
      <c r="AP20" s="125" t="n"/>
      <c r="AQ20" s="126" t="n"/>
      <c r="AR20" s="126" t="inlineStr"/>
      <c r="AS20" s="128" t="inlineStr"/>
      <c r="AT20" s="129" t="inlineStr">
        <is>
          <r>
            <rPr>
              <rFont val="Calibri"/>
              <b val="1"/>
              <sz val="10"/>
            </rPr>
            <t>Not scored:</t>
          </r>
          <r>
            <rPr>
              <rFont val="Calibri"/>
              <sz val="10"/>
            </rPr>
            <t xml:space="preserve"> consultants sit outside the career ladder · X1–X3, by the scope of their statement of work.</t>
          </r>
        </is>
      </c>
      <c r="AU20" s="130" t="inlineStr">
        <is>
          <r>
            <rPr>
              <rFont val="Calibri"/>
              <b val="1"/>
              <sz val="10"/>
            </rPr>
            <t>Not scored:</t>
          </r>
          <r>
            <rPr>
              <rFont val="Calibri"/>
              <sz val="10"/>
            </rPr>
            <t xml:space="preserve"> consultants sit outside the career ladder · X1–X3, by the scope of their statement of work.</t>
          </r>
        </is>
      </c>
      <c r="AV20" s="130" t="inlineStr">
        <is>
          <t>Consultants sit outside the career ladder, at X1–X3 by the scope of their statement of work.</t>
        </is>
      </c>
      <c r="AW20" s="131" t="inlineStr">
        <is>
          <r>
            <rPr>
              <rFont val="Calibri"/>
              <b val="1"/>
              <sz val="10"/>
            </rPr>
            <t>Not scored:</t>
          </r>
          <r>
            <rPr>
              <rFont val="Calibri"/>
              <sz val="10"/>
            </rPr>
            <t xml:space="preserve"> consultants sit outside the career ladder · X1–X3, by the scope of their statement of work.</t>
          </r>
        </is>
      </c>
      <c r="AX20" s="132" t="inlineStr">
        <is>
          <r>
            <rPr>
              <rFont val="Calibri"/>
              <b val="1"/>
              <sz val="10"/>
            </rPr>
            <t>Not scored:</t>
          </r>
          <r>
            <rPr>
              <rFont val="Calibri"/>
              <sz val="10"/>
            </rPr>
            <t xml:space="preserve"> consultants sit outside the career ladder · X1–X3, by the scope of their statement of work.</t>
          </r>
        </is>
      </c>
      <c r="AY20" s="132" t="inlineStr">
        <is>
          <r>
            <rPr>
              <rFont val="Calibri"/>
              <b val="1"/>
              <sz val="10"/>
            </rPr>
            <t>Not scored:</t>
          </r>
          <r>
            <rPr>
              <rFont val="Calibri"/>
              <sz val="10"/>
            </rPr>
            <t xml:space="preserve"> consultants sit outside the career ladder · X1–X3, by the scope of their statement of work.</t>
          </r>
        </is>
      </c>
      <c r="AZ20" s="132" t="inlineStr">
        <is>
          <r>
            <rPr>
              <rFont val="Calibri"/>
              <b val="1"/>
              <sz val="10"/>
            </rPr>
            <t>Not scored:</t>
          </r>
          <r>
            <rPr>
              <rFont val="Calibri"/>
              <sz val="10"/>
            </rPr>
            <t xml:space="preserve"> consultants sit outside the career ladder · X1–X3, by the scope of their statement of work.</t>
          </r>
        </is>
      </c>
      <c r="BA20" s="132" t="inlineStr">
        <is>
          <r>
            <rPr>
              <rFont val="Calibri"/>
              <b val="1"/>
              <sz val="10"/>
            </rPr>
            <t>Not scored:</t>
          </r>
          <r>
            <rPr>
              <rFont val="Calibri"/>
              <sz val="10"/>
            </rPr>
            <t xml:space="preserve"> consultants sit outside the career ladder · X1–X3, by the scope of their statement of work.</t>
          </r>
        </is>
      </c>
      <c r="BB20" s="132" t="inlineStr">
        <is>
          <r>
            <rPr>
              <rFont val="Calibri"/>
              <b val="1"/>
              <sz val="10"/>
            </rPr>
            <t>Not scored:</t>
          </r>
          <r>
            <rPr>
              <rFont val="Calibri"/>
              <sz val="10"/>
            </rPr>
            <t xml:space="preserve"> consultants sit outside the career ladder · X1–X3, by the scope of their statement of work.</t>
          </r>
        </is>
      </c>
      <c r="BC20" s="133" t="inlineStr"/>
      <c r="BD20" s="134" t="inlineStr">
        <is>
          <t>✗ HRIS: experience missing, qualification missing, 0 direct reports
✗ Survey: no response
✗ KRAs: none on file
✓ Manager mapping: rating
✗ Job description: not on file</t>
        </is>
      </c>
      <c r="BE20" s="134" t="inlineStr">
        <is>
          <r>
            <rPr>
              <rFont val="Calibri"/>
              <b val="1"/>
              <sz val="10"/>
            </rPr>
            <t>Consultant:</t>
          </r>
          <r>
            <rPr>
              <rFont val="Calibri"/>
              <sz val="10"/>
            </rPr>
            <t xml:space="preserve"> priced by rate card under the statement of work.</t>
          </r>
        </is>
      </c>
      <c r="BF20" s="134" t="inlineStr">
        <is>
          <t>—</t>
        </is>
      </c>
      <c r="BG20" s="134" t="inlineStr"/>
      <c r="BH20" s="134" t="inlineStr"/>
      <c r="BI20" s="135" t="n"/>
      <c r="BJ20" s="136" t="n"/>
      <c r="BK20" s="136" t="n"/>
      <c r="BL20" s="136" t="n"/>
      <c r="BM20" s="136" t="n"/>
      <c r="BN20" s="137" t="n"/>
      <c r="BO20" s="120" t="n"/>
      <c r="BP20" s="120" t="n"/>
      <c r="BQ20" s="120" t="n"/>
      <c r="BR20" s="120" t="n"/>
      <c r="BS20" s="120" t="n"/>
      <c r="BT20" s="120" t="n"/>
      <c r="BU20" s="120" t="n"/>
      <c r="BV20" s="120" t="n"/>
    </row>
    <row r="21" ht="119" customHeight="1">
      <c r="A21" s="109" t="inlineStr">
        <is>
          <t>No Emp ID · external consultant</t>
        </is>
      </c>
      <c r="B21" s="110" t="inlineStr">
        <is>
          <t>Arindam Bose</t>
        </is>
      </c>
      <c r="C21" s="111" t="inlineStr">
        <is>
          <t>Not provided · HRIS</t>
        </is>
      </c>
      <c r="D21" s="111" t="inlineStr">
        <is>
          <t>Not provided · HRIS</t>
        </is>
      </c>
      <c r="E21" s="112" t="inlineStr">
        <is>
          <t>Not provided · HRIS</t>
        </is>
      </c>
      <c r="F21" s="112" t="n">
        <v>0.1</v>
      </c>
      <c r="G21" s="111" t="inlineStr">
        <is>
          <t>Not provided · HRIS</t>
        </is>
      </c>
      <c r="H21" s="113" t="inlineStr">
        <is>
          <t>Consultant</t>
        </is>
      </c>
      <c r="I21" s="114" t="inlineStr">
        <is>
          <t>Associate Consultant – Software Development</t>
        </is>
      </c>
      <c r="J21" s="115" t="inlineStr">
        <is>
          <t>Unassigned</t>
        </is>
      </c>
      <c r="K21" s="115" t="inlineStr">
        <is>
          <t>Role not recorded · external consultant</t>
        </is>
      </c>
      <c r="L21" s="115" t="inlineStr">
        <is>
          <t>—</t>
        </is>
      </c>
      <c r="M21" s="150" t="inlineStr">
        <is>
          <t>X1</t>
        </is>
      </c>
      <c r="N21" s="136" t="inlineStr">
        <is>
          <t>Associate Consultant</t>
        </is>
      </c>
      <c r="O21" s="45" t="inlineStr">
        <is>
          <t>X</t>
        </is>
      </c>
      <c r="P21" s="115" t="inlineStr">
        <is>
          <t>Consultant</t>
        </is>
      </c>
      <c r="Q21" s="117" t="inlineStr">
        <is>
          <t>• Same level</t>
        </is>
      </c>
      <c r="R21" s="118" t="inlineStr">
        <is>
          <r>
            <rPr>
              <rFont val="Calibri"/>
              <b val="1"/>
              <sz val="10"/>
            </rPr>
            <t>WHAT THE ROLE DOES:</t>
          </r>
          <r>
            <rPr>
              <rFont val="Calibri"/>
              <sz val="10"/>
            </rPr>
            <t xml:space="preserve"> No department or role data. At X1: defined deliverables under a statement of work · ≈ A2–A3.
</t>
          </r>
          <r>
            <rPr>
              <rFont val="Calibri"/>
              <b val="1"/>
              <sz val="10"/>
            </rPr>
            <t>KEY RESPONSIBILITIES:</t>
          </r>
          <r>
            <rPr>
              <rFont val="Calibri"/>
              <sz val="10"/>
            </rPr>
            <t xml:space="preserve"> No department or role data
</t>
          </r>
          <r>
            <rPr>
              <rFont val="Calibri"/>
              <b val="1"/>
              <sz val="10"/>
            </rPr>
            <t>DELIVERS:</t>
          </r>
          <r>
            <rPr>
              <rFont val="Calibri"/>
              <sz val="10"/>
            </rPr>
            <t xml:space="preserve"> No department or role data.
</t>
          </r>
          <r>
            <rPr>
              <rFont val="Calibri"/>
              <b val="1"/>
              <sz val="10"/>
            </rPr>
            <t>ACCOUNTABLE FOR:</t>
          </r>
          <r>
            <rPr>
              <rFont val="Calibri"/>
              <sz val="10"/>
            </rPr>
            <t xml:space="preserve"> Deliverables under the statement of work
</t>
          </r>
          <r>
            <rPr>
              <rFont val="Calibri"/>
              <b val="1"/>
              <sz val="10"/>
            </rPr>
            <t>DECIDES ALONE:</t>
          </r>
          <r>
            <rPr>
              <rFont val="Calibri"/>
              <sz val="10"/>
            </rPr>
            <t xml:space="preserve"> Within the statement of work
</t>
          </r>
          <r>
            <rPr>
              <rFont val="Calibri"/>
              <b val="1"/>
              <sz val="10"/>
            </rPr>
            <t>PROFICIENCY NEEDED AT THIS LEVEL:</t>
          </r>
          <r>
            <rPr>
              <rFont val="Calibri"/>
              <sz val="10"/>
            </rPr>
            <t xml:space="preserve"> Per statement of work
</t>
          </r>
          <r>
            <rPr>
              <rFont val="Calibri"/>
              <b val="1"/>
              <sz val="10"/>
            </rPr>
            <t>SOURCE:</t>
          </r>
          <r>
            <rPr>
              <rFont val="Calibri"/>
              <sz val="10"/>
            </rPr>
            <t xml:space="preserve"> Framework only · fewer than 3 answered — 2 holders, 0 answered the survey; sub-family 0 answered; catalogue RC-175</t>
          </r>
        </is>
      </c>
      <c r="S21" s="119" t="inlineStr">
        <is>
          <r>
            <rPr>
              <rFont val="Calibri"/>
              <b val="1"/>
              <sz val="10"/>
            </rPr>
            <t>What the role answers for:</t>
          </r>
          <r>
            <rPr>
              <rFont val="Calibri"/>
              <sz val="10"/>
            </rPr>
            <t xml:space="preserve"> —.
Manager talent mapping — Latest rating: Not rated · manager.</t>
          </r>
        </is>
      </c>
      <c r="T21" s="120" t="n"/>
      <c r="U21" s="121" t="inlineStr">
        <is>
          <r>
            <rPr>
              <rFont val="Calibri"/>
              <sz val="10"/>
            </rPr>
            <t xml:space="preserve">Associate Consultant – Software Development in Not provided · HRIS · Datatech, X1 — Consultant.
</t>
          </r>
          <r>
            <rPr>
              <rFont val="Calibri"/>
              <b val="1"/>
              <sz val="10"/>
            </rPr>
            <t>The work:</t>
          </r>
          <r>
            <rPr>
              <rFont val="Calibri"/>
              <sz val="10"/>
            </rPr>
            <t xml:space="preserve"> No department or role data.
At this level the role owns defined deliverables under a statement of work · ≈ A2–A3.
</t>
          </r>
          <r>
            <rPr>
              <rFont val="Calibri"/>
              <b val="1"/>
              <sz val="10"/>
            </rPr>
            <t>Key responsibilities:</t>
          </r>
          <r>
            <rPr>
              <rFont val="Calibri"/>
              <sz val="10"/>
            </rPr>
            <t xml:space="preserve"> No department or role data.</t>
          </r>
        </is>
      </c>
      <c r="V21"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t>
          </r>
        </is>
      </c>
      <c r="W21" s="122" t="inlineStr">
        <is>
          <r>
            <rPr>
              <rFont val="Calibri"/>
              <b val="1"/>
              <sz val="10"/>
            </rPr>
            <t>Consultant:</t>
          </r>
          <r>
            <rPr>
              <rFont val="Calibri"/>
              <sz val="10"/>
            </rPr>
            <t xml:space="preserve"> competencies are set by the statement of work.</t>
          </r>
        </is>
      </c>
      <c r="X21" s="122" t="inlineStr">
        <is>
          <r>
            <rPr>
              <rFont val="Calibri"/>
              <b val="1"/>
              <sz val="10"/>
            </rPr>
            <t>Consultant:</t>
          </r>
          <r>
            <rPr>
              <rFont val="Calibri"/>
              <sz val="10"/>
            </rPr>
            <t xml:space="preserve"> assess against the statement of work — deliverables, rate card and references.</t>
          </r>
        </is>
      </c>
      <c r="Y21" s="123" t="inlineStr">
        <is>
          <t>—</t>
        </is>
      </c>
      <c r="Z21" s="124" t="n"/>
      <c r="AA21" s="125" t="n"/>
      <c r="AB21" s="126" t="n"/>
      <c r="AC21" s="124" t="n"/>
      <c r="AD21" s="125" t="n"/>
      <c r="AE21" s="126" t="n"/>
      <c r="AF21" s="124" t="n"/>
      <c r="AG21" s="125" t="n"/>
      <c r="AH21" s="126" t="n"/>
      <c r="AI21" s="124" t="n"/>
      <c r="AJ21" s="125" t="n"/>
      <c r="AK21" s="126" t="n"/>
      <c r="AL21" s="124" t="n"/>
      <c r="AM21" s="125" t="n"/>
      <c r="AN21" s="126" t="n"/>
      <c r="AO21" s="127" t="n"/>
      <c r="AP21" s="125" t="n"/>
      <c r="AQ21" s="126" t="n"/>
      <c r="AR21" s="126" t="inlineStr"/>
      <c r="AS21" s="128" t="inlineStr"/>
      <c r="AT21" s="129" t="inlineStr">
        <is>
          <r>
            <rPr>
              <rFont val="Calibri"/>
              <b val="1"/>
              <sz val="10"/>
            </rPr>
            <t>Not scored:</t>
          </r>
          <r>
            <rPr>
              <rFont val="Calibri"/>
              <sz val="10"/>
            </rPr>
            <t xml:space="preserve"> consultants sit outside the career ladder · X1–X3, by the scope of their statement of work.</t>
          </r>
        </is>
      </c>
      <c r="AU21" s="130" t="inlineStr">
        <is>
          <r>
            <rPr>
              <rFont val="Calibri"/>
              <b val="1"/>
              <sz val="10"/>
            </rPr>
            <t>Not scored:</t>
          </r>
          <r>
            <rPr>
              <rFont val="Calibri"/>
              <sz val="10"/>
            </rPr>
            <t xml:space="preserve"> consultants sit outside the career ladder · X1–X3, by the scope of their statement of work.</t>
          </r>
        </is>
      </c>
      <c r="AV21" s="130" t="inlineStr">
        <is>
          <t>Consultants sit outside the career ladder, at X1–X3 by the scope of their statement of work.</t>
        </is>
      </c>
      <c r="AW21" s="131" t="inlineStr">
        <is>
          <r>
            <rPr>
              <rFont val="Calibri"/>
              <b val="1"/>
              <sz val="10"/>
            </rPr>
            <t>Not scored:</t>
          </r>
          <r>
            <rPr>
              <rFont val="Calibri"/>
              <sz val="10"/>
            </rPr>
            <t xml:space="preserve"> consultants sit outside the career ladder · X1–X3, by the scope of their statement of work.</t>
          </r>
        </is>
      </c>
      <c r="AX21" s="132" t="inlineStr">
        <is>
          <r>
            <rPr>
              <rFont val="Calibri"/>
              <b val="1"/>
              <sz val="10"/>
            </rPr>
            <t>Not scored:</t>
          </r>
          <r>
            <rPr>
              <rFont val="Calibri"/>
              <sz val="10"/>
            </rPr>
            <t xml:space="preserve"> consultants sit outside the career ladder · X1–X3, by the scope of their statement of work.</t>
          </r>
        </is>
      </c>
      <c r="AY21" s="132" t="inlineStr">
        <is>
          <r>
            <rPr>
              <rFont val="Calibri"/>
              <b val="1"/>
              <sz val="10"/>
            </rPr>
            <t>Not scored:</t>
          </r>
          <r>
            <rPr>
              <rFont val="Calibri"/>
              <sz val="10"/>
            </rPr>
            <t xml:space="preserve"> consultants sit outside the career ladder · X1–X3, by the scope of their statement of work.</t>
          </r>
        </is>
      </c>
      <c r="AZ21" s="132" t="inlineStr">
        <is>
          <r>
            <rPr>
              <rFont val="Calibri"/>
              <b val="1"/>
              <sz val="10"/>
            </rPr>
            <t>Not scored:</t>
          </r>
          <r>
            <rPr>
              <rFont val="Calibri"/>
              <sz val="10"/>
            </rPr>
            <t xml:space="preserve"> consultants sit outside the career ladder · X1–X3, by the scope of their statement of work.</t>
          </r>
        </is>
      </c>
      <c r="BA21" s="132" t="inlineStr">
        <is>
          <r>
            <rPr>
              <rFont val="Calibri"/>
              <b val="1"/>
              <sz val="10"/>
            </rPr>
            <t>Not scored:</t>
          </r>
          <r>
            <rPr>
              <rFont val="Calibri"/>
              <sz val="10"/>
            </rPr>
            <t xml:space="preserve"> consultants sit outside the career ladder · X1–X3, by the scope of their statement of work.</t>
          </r>
        </is>
      </c>
      <c r="BB21" s="132" t="inlineStr">
        <is>
          <r>
            <rPr>
              <rFont val="Calibri"/>
              <b val="1"/>
              <sz val="10"/>
            </rPr>
            <t>Not scored:</t>
          </r>
          <r>
            <rPr>
              <rFont val="Calibri"/>
              <sz val="10"/>
            </rPr>
            <t xml:space="preserve"> consultants sit outside the career ladder · X1–X3, by the scope of their statement of work.</t>
          </r>
        </is>
      </c>
      <c r="BC21" s="148" t="inlineStr">
        <is>
          <t>• Role and department on record — Business head</t>
        </is>
      </c>
      <c r="BD21" s="134" t="inlineStr">
        <is>
          <t>✗ HRIS: experience missing, qualification missing, 0 direct reports
✗ Survey: no response
✗ KRAs: none on file
✓ Manager mapping: rating
✗ Job description: not on file</t>
        </is>
      </c>
      <c r="BE21" s="134" t="inlineStr">
        <is>
          <r>
            <rPr>
              <rFont val="Calibri"/>
              <b val="1"/>
              <sz val="10"/>
            </rPr>
            <t>Consultant:</t>
          </r>
          <r>
            <rPr>
              <rFont val="Calibri"/>
              <sz val="10"/>
            </rPr>
            <t xml:space="preserve"> priced by rate card under the statement of work.</t>
          </r>
        </is>
      </c>
      <c r="BF21" s="134" t="inlineStr">
        <is>
          <t>—</t>
        </is>
      </c>
      <c r="BG21" s="134" t="inlineStr"/>
      <c r="BH21" s="134" t="inlineStr"/>
      <c r="BI21" s="135" t="n"/>
      <c r="BJ21" s="136" t="n"/>
      <c r="BK21" s="136" t="n"/>
      <c r="BL21" s="136" t="n"/>
      <c r="BM21" s="136" t="n"/>
      <c r="BN21" s="137" t="n"/>
      <c r="BO21" s="120" t="n"/>
      <c r="BP21" s="120" t="n"/>
      <c r="BQ21" s="120" t="n"/>
      <c r="BR21" s="120" t="n"/>
      <c r="BS21" s="120" t="n"/>
      <c r="BT21" s="120" t="n"/>
      <c r="BU21" s="120" t="n"/>
      <c r="BV21" s="120" t="n"/>
    </row>
    <row r="22" ht="119" customHeight="1">
      <c r="A22" s="109" t="inlineStr">
        <is>
          <t>No Emp ID · external consultant</t>
        </is>
      </c>
      <c r="B22" s="110" t="inlineStr">
        <is>
          <t>Shweta Vijay</t>
        </is>
      </c>
      <c r="C22" s="111" t="inlineStr">
        <is>
          <t>Not provided · HRIS</t>
        </is>
      </c>
      <c r="D22" s="111" t="inlineStr">
        <is>
          <t>Not provided · HRIS</t>
        </is>
      </c>
      <c r="E22" s="112" t="inlineStr">
        <is>
          <t>Not provided · HRIS</t>
        </is>
      </c>
      <c r="F22" s="112" t="n">
        <v>0.1</v>
      </c>
      <c r="G22" s="111" t="inlineStr">
        <is>
          <t>Not provided · HRIS</t>
        </is>
      </c>
      <c r="H22" s="113" t="inlineStr">
        <is>
          <t>Consultant</t>
        </is>
      </c>
      <c r="I22" s="114" t="inlineStr">
        <is>
          <t>Associate Consultant – Software Development</t>
        </is>
      </c>
      <c r="J22" s="115" t="inlineStr">
        <is>
          <t>Unassigned</t>
        </is>
      </c>
      <c r="K22" s="115" t="inlineStr">
        <is>
          <t>Role not recorded · external consultant</t>
        </is>
      </c>
      <c r="L22" s="115" t="inlineStr">
        <is>
          <t>—</t>
        </is>
      </c>
      <c r="M22" s="150" t="inlineStr">
        <is>
          <t>X1</t>
        </is>
      </c>
      <c r="N22" s="136" t="inlineStr">
        <is>
          <t>Associate Consultant</t>
        </is>
      </c>
      <c r="O22" s="45" t="inlineStr">
        <is>
          <t>X</t>
        </is>
      </c>
      <c r="P22" s="115" t="inlineStr">
        <is>
          <t>Consultant</t>
        </is>
      </c>
      <c r="Q22" s="117" t="inlineStr">
        <is>
          <t>• Same level</t>
        </is>
      </c>
      <c r="R22" s="118" t="inlineStr">
        <is>
          <r>
            <rPr>
              <rFont val="Calibri"/>
              <b val="1"/>
              <sz val="10"/>
            </rPr>
            <t>WHAT THE ROLE DOES:</t>
          </r>
          <r>
            <rPr>
              <rFont val="Calibri"/>
              <sz val="10"/>
            </rPr>
            <t xml:space="preserve"> No department or role data. At X1: defined deliverables under a statement of work · ≈ A2–A3.
</t>
          </r>
          <r>
            <rPr>
              <rFont val="Calibri"/>
              <b val="1"/>
              <sz val="10"/>
            </rPr>
            <t>KEY RESPONSIBILITIES:</t>
          </r>
          <r>
            <rPr>
              <rFont val="Calibri"/>
              <sz val="10"/>
            </rPr>
            <t xml:space="preserve"> No department or role data
</t>
          </r>
          <r>
            <rPr>
              <rFont val="Calibri"/>
              <b val="1"/>
              <sz val="10"/>
            </rPr>
            <t>DELIVERS:</t>
          </r>
          <r>
            <rPr>
              <rFont val="Calibri"/>
              <sz val="10"/>
            </rPr>
            <t xml:space="preserve"> No department or role data.
</t>
          </r>
          <r>
            <rPr>
              <rFont val="Calibri"/>
              <b val="1"/>
              <sz val="10"/>
            </rPr>
            <t>ACCOUNTABLE FOR:</t>
          </r>
          <r>
            <rPr>
              <rFont val="Calibri"/>
              <sz val="10"/>
            </rPr>
            <t xml:space="preserve"> Deliverables under the statement of work
</t>
          </r>
          <r>
            <rPr>
              <rFont val="Calibri"/>
              <b val="1"/>
              <sz val="10"/>
            </rPr>
            <t>DECIDES ALONE:</t>
          </r>
          <r>
            <rPr>
              <rFont val="Calibri"/>
              <sz val="10"/>
            </rPr>
            <t xml:space="preserve"> Within the statement of work
</t>
          </r>
          <r>
            <rPr>
              <rFont val="Calibri"/>
              <b val="1"/>
              <sz val="10"/>
            </rPr>
            <t>PROFICIENCY NEEDED AT THIS LEVEL:</t>
          </r>
          <r>
            <rPr>
              <rFont val="Calibri"/>
              <sz val="10"/>
            </rPr>
            <t xml:space="preserve"> Per statement of work
</t>
          </r>
          <r>
            <rPr>
              <rFont val="Calibri"/>
              <b val="1"/>
              <sz val="10"/>
            </rPr>
            <t>SOURCE:</t>
          </r>
          <r>
            <rPr>
              <rFont val="Calibri"/>
              <sz val="10"/>
            </rPr>
            <t xml:space="preserve"> Framework only · fewer than 3 answered — 2 holders, 0 answered the survey; sub-family 0 answered; catalogue RC-175</t>
          </r>
        </is>
      </c>
      <c r="S22" s="119" t="inlineStr">
        <is>
          <r>
            <rPr>
              <rFont val="Calibri"/>
              <b val="1"/>
              <sz val="10"/>
            </rPr>
            <t>What the role answers for:</t>
          </r>
          <r>
            <rPr>
              <rFont val="Calibri"/>
              <sz val="10"/>
            </rPr>
            <t xml:space="preserve"> —.
Manager talent mapping — Latest rating: Not rated · manager.</t>
          </r>
        </is>
      </c>
      <c r="T22" s="120" t="n"/>
      <c r="U22" s="121" t="inlineStr">
        <is>
          <r>
            <rPr>
              <rFont val="Calibri"/>
              <sz val="10"/>
            </rPr>
            <t xml:space="preserve">Associate Consultant – Software Development in Not provided · HRIS · Datatech, X1 — Consultant.
</t>
          </r>
          <r>
            <rPr>
              <rFont val="Calibri"/>
              <b val="1"/>
              <sz val="10"/>
            </rPr>
            <t>The work:</t>
          </r>
          <r>
            <rPr>
              <rFont val="Calibri"/>
              <sz val="10"/>
            </rPr>
            <t xml:space="preserve"> No department or role data.
At this level the role owns defined deliverables under a statement of work · ≈ A2–A3.
</t>
          </r>
          <r>
            <rPr>
              <rFont val="Calibri"/>
              <b val="1"/>
              <sz val="10"/>
            </rPr>
            <t>Key responsibilities:</t>
          </r>
          <r>
            <rPr>
              <rFont val="Calibri"/>
              <sz val="10"/>
            </rPr>
            <t xml:space="preserve"> No department or role data.</t>
          </r>
        </is>
      </c>
      <c r="V22"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t>
          </r>
        </is>
      </c>
      <c r="W22" s="122" t="inlineStr">
        <is>
          <r>
            <rPr>
              <rFont val="Calibri"/>
              <b val="1"/>
              <sz val="10"/>
            </rPr>
            <t>Consultant:</t>
          </r>
          <r>
            <rPr>
              <rFont val="Calibri"/>
              <sz val="10"/>
            </rPr>
            <t xml:space="preserve"> competencies are set by the statement of work.</t>
          </r>
        </is>
      </c>
      <c r="X22" s="122" t="inlineStr">
        <is>
          <r>
            <rPr>
              <rFont val="Calibri"/>
              <b val="1"/>
              <sz val="10"/>
            </rPr>
            <t>Consultant:</t>
          </r>
          <r>
            <rPr>
              <rFont val="Calibri"/>
              <sz val="10"/>
            </rPr>
            <t xml:space="preserve"> assess against the statement of work — deliverables, rate card and references.</t>
          </r>
        </is>
      </c>
      <c r="Y22" s="123" t="inlineStr">
        <is>
          <t>—</t>
        </is>
      </c>
      <c r="Z22" s="124" t="n"/>
      <c r="AA22" s="125" t="n"/>
      <c r="AB22" s="126" t="n"/>
      <c r="AC22" s="124" t="n"/>
      <c r="AD22" s="125" t="n"/>
      <c r="AE22" s="126" t="n"/>
      <c r="AF22" s="124" t="n"/>
      <c r="AG22" s="125" t="n"/>
      <c r="AH22" s="126" t="n"/>
      <c r="AI22" s="124" t="n"/>
      <c r="AJ22" s="125" t="n"/>
      <c r="AK22" s="126" t="n"/>
      <c r="AL22" s="124" t="n"/>
      <c r="AM22" s="125" t="n"/>
      <c r="AN22" s="126" t="n"/>
      <c r="AO22" s="127" t="n"/>
      <c r="AP22" s="125" t="n"/>
      <c r="AQ22" s="126" t="n"/>
      <c r="AR22" s="126" t="inlineStr"/>
      <c r="AS22" s="128" t="inlineStr"/>
      <c r="AT22" s="129" t="inlineStr">
        <is>
          <r>
            <rPr>
              <rFont val="Calibri"/>
              <b val="1"/>
              <sz val="10"/>
            </rPr>
            <t>Not scored:</t>
          </r>
          <r>
            <rPr>
              <rFont val="Calibri"/>
              <sz val="10"/>
            </rPr>
            <t xml:space="preserve"> consultants sit outside the career ladder · X1–X3, by the scope of their statement of work.</t>
          </r>
        </is>
      </c>
      <c r="AU22" s="130" t="inlineStr">
        <is>
          <r>
            <rPr>
              <rFont val="Calibri"/>
              <b val="1"/>
              <sz val="10"/>
            </rPr>
            <t>Not scored:</t>
          </r>
          <r>
            <rPr>
              <rFont val="Calibri"/>
              <sz val="10"/>
            </rPr>
            <t xml:space="preserve"> consultants sit outside the career ladder · X1–X3, by the scope of their statement of work.</t>
          </r>
        </is>
      </c>
      <c r="AV22" s="130" t="inlineStr">
        <is>
          <t>Consultants sit outside the career ladder, at X1–X3 by the scope of their statement of work.</t>
        </is>
      </c>
      <c r="AW22" s="131" t="inlineStr">
        <is>
          <r>
            <rPr>
              <rFont val="Calibri"/>
              <b val="1"/>
              <sz val="10"/>
            </rPr>
            <t>Not scored:</t>
          </r>
          <r>
            <rPr>
              <rFont val="Calibri"/>
              <sz val="10"/>
            </rPr>
            <t xml:space="preserve"> consultants sit outside the career ladder · X1–X3, by the scope of their statement of work.</t>
          </r>
        </is>
      </c>
      <c r="AX22" s="132" t="inlineStr">
        <is>
          <r>
            <rPr>
              <rFont val="Calibri"/>
              <b val="1"/>
              <sz val="10"/>
            </rPr>
            <t>Not scored:</t>
          </r>
          <r>
            <rPr>
              <rFont val="Calibri"/>
              <sz val="10"/>
            </rPr>
            <t xml:space="preserve"> consultants sit outside the career ladder · X1–X3, by the scope of their statement of work.</t>
          </r>
        </is>
      </c>
      <c r="AY22" s="132" t="inlineStr">
        <is>
          <r>
            <rPr>
              <rFont val="Calibri"/>
              <b val="1"/>
              <sz val="10"/>
            </rPr>
            <t>Not scored:</t>
          </r>
          <r>
            <rPr>
              <rFont val="Calibri"/>
              <sz val="10"/>
            </rPr>
            <t xml:space="preserve"> consultants sit outside the career ladder · X1–X3, by the scope of their statement of work.</t>
          </r>
        </is>
      </c>
      <c r="AZ22" s="132" t="inlineStr">
        <is>
          <r>
            <rPr>
              <rFont val="Calibri"/>
              <b val="1"/>
              <sz val="10"/>
            </rPr>
            <t>Not scored:</t>
          </r>
          <r>
            <rPr>
              <rFont val="Calibri"/>
              <sz val="10"/>
            </rPr>
            <t xml:space="preserve"> consultants sit outside the career ladder · X1–X3, by the scope of their statement of work.</t>
          </r>
        </is>
      </c>
      <c r="BA22" s="132" t="inlineStr">
        <is>
          <r>
            <rPr>
              <rFont val="Calibri"/>
              <b val="1"/>
              <sz val="10"/>
            </rPr>
            <t>Not scored:</t>
          </r>
          <r>
            <rPr>
              <rFont val="Calibri"/>
              <sz val="10"/>
            </rPr>
            <t xml:space="preserve"> consultants sit outside the career ladder · X1–X3, by the scope of their statement of work.</t>
          </r>
        </is>
      </c>
      <c r="BB22" s="132" t="inlineStr">
        <is>
          <r>
            <rPr>
              <rFont val="Calibri"/>
              <b val="1"/>
              <sz val="10"/>
            </rPr>
            <t>Not scored:</t>
          </r>
          <r>
            <rPr>
              <rFont val="Calibri"/>
              <sz val="10"/>
            </rPr>
            <t xml:space="preserve"> consultants sit outside the career ladder · X1–X3, by the scope of their statement of work.</t>
          </r>
        </is>
      </c>
      <c r="BC22" s="148" t="inlineStr">
        <is>
          <t>• Role and department on record — Business head</t>
        </is>
      </c>
      <c r="BD22" s="134" t="inlineStr">
        <is>
          <t>✗ HRIS: experience missing, qualification missing, 0 direct reports
✗ Survey: no response
✗ KRAs: none on file
✓ Manager mapping: rating
✗ Job description: not on file</t>
        </is>
      </c>
      <c r="BE22" s="134" t="inlineStr">
        <is>
          <r>
            <rPr>
              <rFont val="Calibri"/>
              <b val="1"/>
              <sz val="10"/>
            </rPr>
            <t>Consultant:</t>
          </r>
          <r>
            <rPr>
              <rFont val="Calibri"/>
              <sz val="10"/>
            </rPr>
            <t xml:space="preserve"> priced by rate card under the statement of work.</t>
          </r>
        </is>
      </c>
      <c r="BF22" s="134" t="inlineStr">
        <is>
          <t>—</t>
        </is>
      </c>
      <c r="BG22" s="134" t="inlineStr"/>
      <c r="BH22" s="134" t="inlineStr"/>
      <c r="BI22" s="135" t="n"/>
      <c r="BJ22" s="136" t="n"/>
      <c r="BK22" s="136" t="n"/>
      <c r="BL22" s="136" t="n"/>
      <c r="BM22" s="136" t="n"/>
      <c r="BN22" s="137" t="n"/>
      <c r="BO22" s="120" t="n"/>
      <c r="BP22" s="120" t="n"/>
      <c r="BQ22" s="120" t="n"/>
      <c r="BR22" s="120" t="n"/>
      <c r="BS22" s="120" t="n"/>
      <c r="BT22" s="120" t="n"/>
      <c r="BU22" s="120" t="n"/>
      <c r="BV22" s="120" t="n"/>
    </row>
    <row r="23" ht="340" customHeight="1">
      <c r="A23" s="109" t="inlineStr">
        <is>
          <t>IRISDT0008</t>
        </is>
      </c>
      <c r="B23" s="110" t="inlineStr">
        <is>
          <t>Nilesh Majumdar</t>
        </is>
      </c>
      <c r="C23" s="111" t="inlineStr">
        <is>
          <t>Product Management</t>
        </is>
      </c>
      <c r="D23" s="111" t="inlineStr">
        <is>
          <t>Shilpa Dhobale</t>
        </is>
      </c>
      <c r="E23" s="112" t="n">
        <v>7.1</v>
      </c>
      <c r="F23" s="112" t="n">
        <v>1.1</v>
      </c>
      <c r="G23" s="111" t="inlineStr">
        <is>
          <t>MBA</t>
        </is>
      </c>
      <c r="H23" s="113" t="inlineStr">
        <is>
          <t>Senior Product Manager</t>
        </is>
      </c>
      <c r="I23" s="114" t="inlineStr">
        <is>
          <t>Product Manager</t>
        </is>
      </c>
      <c r="J23" s="115" t="inlineStr">
        <is>
          <t>Product Management</t>
        </is>
      </c>
      <c r="K23" s="115" t="inlineStr">
        <is>
          <t>Product Management</t>
        </is>
      </c>
      <c r="L23" s="115" t="inlineStr">
        <is>
          <t>L5 – Manager</t>
        </is>
      </c>
      <c r="M23" s="116" t="inlineStr">
        <is>
          <t>B2</t>
        </is>
      </c>
      <c r="N23" s="18" t="inlineStr">
        <is>
          <t>Manager</t>
        </is>
      </c>
      <c r="O23" s="20" t="inlineStr">
        <is>
          <t>B</t>
        </is>
      </c>
      <c r="P23" s="115" t="inlineStr">
        <is>
          <t>People Manager</t>
        </is>
      </c>
      <c r="Q23" s="117" t="inlineStr">
        <is>
          <t>• Same level</t>
        </is>
      </c>
      <c r="R23" s="118" t="inlineStr">
        <is>
          <r>
            <rPr>
              <rFont val="Calibri"/>
              <b val="1"/>
              <sz val="10"/>
            </rPr>
            <t>WHAT THE ROLE DOES:</t>
          </r>
          <r>
            <rPr>
              <rFont val="Calibri"/>
              <sz val="10"/>
            </rPr>
            <t xml:space="preserve"> Owns product vision, roadmap, requirements · PRDs, prioritisation and adoption. At B2: deep domain expertise, or one team.
</t>
          </r>
          <r>
            <rPr>
              <rFont val="Calibri"/>
              <b val="1"/>
              <sz val="10"/>
            </rPr>
            <t>Common themes in role-holders' answers:</t>
          </r>
          <r>
            <rPr>
              <rFont val="Calibri"/>
              <sz val="10"/>
            </rPr>
            <t xml:space="preserve"> product · market · delivery · business · revenue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Common themes in role-holders' answers:</t>
          </r>
          <r>
            <rPr>
              <rFont val="Calibri"/>
              <sz val="10"/>
            </rPr>
            <t xml:space="preserve"> product · implementation · client · management · delivery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product · revenue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product · quality · delivery · revenue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research
</t>
          </r>
          <r>
            <rPr>
              <rFont val="Calibri"/>
              <b val="1"/>
              <sz val="10"/>
            </rPr>
            <t>SKILLS &amp; KNOWLEDGE · role-holders:</t>
          </r>
          <r>
            <rPr>
              <rFont val="Calibri"/>
              <sz val="10"/>
            </rPr>
            <t xml:space="preserve"> Product management
</t>
          </r>
          <r>
            <rPr>
              <rFont val="Calibri"/>
              <b val="1"/>
              <sz val="10"/>
            </rPr>
            <t>MANAGER-SET KRAs:</t>
          </r>
          <r>
            <rPr>
              <rFont val="Calibri"/>
              <sz val="10"/>
            </rPr>
            <t xml:space="preserve"> Common themes in manager-set KRAs: development participation · cash · market requirements · tech learning · support organizational · profitability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role-holders' themes · 3+ answered — 4 holders, 4 answered the survey; sub-family 13 answered; catalogue RC-127</t>
          </r>
        </is>
      </c>
      <c r="S23"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6 of 12 · B3-level impact.
Leads 6 direct reports.
From the survey and manager mapping — critical role: yes; successor named: no.
</t>
          </r>
          <r>
            <rPr>
              <rFont val="Calibri"/>
              <b val="1"/>
              <sz val="10"/>
            </rPr>
            <t>If the work is missed · role-holders' themes:</t>
          </r>
          <r>
            <rPr>
              <rFont val="Calibri"/>
              <sz val="10"/>
            </rPr>
            <t xml:space="preserve"> delays · client · revenue.
</t>
          </r>
          <r>
            <rPr>
              <rFont val="Calibri"/>
              <b val="1"/>
              <sz val="10"/>
            </rPr>
            <t>Measured on · manager-set KRA themes:</t>
          </r>
          <r>
            <rPr>
              <rFont val="Calibri"/>
              <sz val="10"/>
            </rPr>
            <t xml:space="preserve"> development participation · cash · market requirements · tech learning · support organizational · profitability.
Manager talent mapping — Latest rating: 3 · 9-Box Grid placement: Future Leader.</t>
          </r>
        </is>
      </c>
      <c r="T23" s="120" t="n"/>
      <c r="U23" s="121" t="inlineStr">
        <is>
          <r>
            <rPr>
              <rFont val="Calibri"/>
              <sz val="10"/>
            </rPr>
            <t xml:space="preserve">Product Manager in Product Management · Datatech, B2 — People Manager.
</t>
          </r>
          <r>
            <rPr>
              <rFont val="Calibri"/>
              <b val="1"/>
              <sz val="10"/>
            </rPr>
            <t>The work:</t>
          </r>
          <r>
            <rPr>
              <rFont val="Calibri"/>
              <sz val="10"/>
            </rPr>
            <t xml:space="preserve"> Owns product vision, roadmap, requirements · PRDs, prioritisation and adoption.
At this level the role owns deep domain expertise, or one team.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Holders describe it with:</t>
          </r>
          <r>
            <rPr>
              <rFont val="Calibri"/>
              <sz val="10"/>
            </rPr>
            <t xml:space="preserve"> product · implementation · client · management · delivery.
Leads 6 direct reports.</t>
          </r>
        </is>
      </c>
      <c r="V23" s="122"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 PGDM preferred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SaaS product ladder – Senior PM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23" s="122" t="inlineStr">
        <is>
          <r>
            <rPr>
              <rFont val="Calibri"/>
              <sz val="10"/>
            </rPr>
            <t xml:space="preserve">FUNCTIONAL — skill level 4 of 5 · Advanced
 ★ Product, Platform &amp; Domain Knowledge: Recognised product / domain expert; trains others
 ★ Business Analysis &amp; Requirements Engineering: Leads complex requirement programmes; sets BA standards
 •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Product management
★ = must-have for the family. Scale: 1 Awareness · 2 Working · 3 Practitioner · 4 Advanced · 5 Expert.</t>
          </r>
        </is>
      </c>
      <c r="X23" s="122"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23" s="123" t="inlineStr">
        <is>
          <t>Datatech · Product Management · Band B · People Manager</t>
        </is>
      </c>
      <c r="Z23" s="124" t="n">
        <v>6</v>
      </c>
      <c r="AA23" s="125">
        <f>IFERROR(INDEX(WM_C,MATCH($Y23,WM_KEY,0)),"")</f>
        <v>0.32</v>
      </c>
      <c r="AB23" s="126">
        <f>IF(Z23="","",Z23*AA23)</f>
        <v>1.92</v>
      </c>
      <c r="AC23" s="124" t="n">
        <v>6</v>
      </c>
      <c r="AD23" s="125">
        <f>IFERROR(INDEX(WM_AU,MATCH($Y23,WM_KEY,0)),"")</f>
        <v>0.23</v>
      </c>
      <c r="AE23" s="126">
        <f>IF(AC23="","",AC23*AD23)</f>
        <v>1.38</v>
      </c>
      <c r="AF23" s="124" t="n">
        <v>6</v>
      </c>
      <c r="AG23" s="125">
        <f>IFERROR(INDEX(WM_AC,MATCH($Y23,WM_KEY,0)),"")</f>
        <v>0.11</v>
      </c>
      <c r="AH23" s="126">
        <f>IF(AF23="","",AF23*AG23)</f>
        <v>0.66</v>
      </c>
      <c r="AI23" s="124" t="n">
        <v>5</v>
      </c>
      <c r="AJ23" s="125">
        <f>IFERROR(INDEX(WM_L,MATCH($Y23,WM_KEY,0)),"")</f>
        <v>0.15</v>
      </c>
      <c r="AK23" s="126">
        <f>IF(AI23="","",AI23*AJ23)</f>
        <v>0.75</v>
      </c>
      <c r="AL23" s="124" t="n">
        <v>5.5</v>
      </c>
      <c r="AM23" s="125">
        <f>IFERROR(INDEX(WM_E,MATCH($Y23,WM_KEY,0)),"")</f>
        <v>0.1</v>
      </c>
      <c r="AN23" s="126">
        <f>IF(AL23="","",AL23*AM23)</f>
        <v>0.55</v>
      </c>
      <c r="AO23" s="127" t="n">
        <v>6.5</v>
      </c>
      <c r="AP23" s="125">
        <f>IFERROR(INDEX(WM_BI,MATCH($Y23,WM_KEY,0)),"")</f>
        <v>0.09</v>
      </c>
      <c r="AQ23" s="126">
        <f>IF(AO23="","",AO23*AP23)</f>
        <v>0.585</v>
      </c>
      <c r="AR23" s="126">
        <f>IF(COUNT(AB23,AE23,AH23,AK23,AN23,AQ23)&lt;6,"",SUM(AB23,AE23,AH23,AK23,AN23,AQ23))</f>
        <v>5.845</v>
      </c>
      <c r="AS23" s="128" t="str">
        <f>IF(AR23="","",INDEX({"A1","A2","A3","B1","B2","B3","C1","C2","D1","D2","E1","E2"},MAX(1,MIN(12,ROUND(AR23,0)))))</f>
        <v>B3</v>
      </c>
      <c r="AT23" s="129" t="inlineStr">
        <is>
          <r>
            <rPr>
              <rFont val="Calibri"/>
              <b val="1"/>
              <sz val="10"/>
            </rPr>
            <t>Weights:</t>
          </r>
          <r>
            <rPr>
              <rFont val="Calibri"/>
              <sz val="10"/>
            </rPr>
            <t xml:space="preserve"> Complexity 32% · Autonomy 23%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t>
          </r>
        </is>
      </c>
      <c r="AU23" s="130" t="inlineStr">
        <is>
          <r>
            <rPr>
              <rFont val="Calibri"/>
              <b val="1"/>
              <sz val="10"/>
            </rPr>
            <t>At build:</t>
          </r>
          <r>
            <rPr>
              <rFont val="Calibri"/>
              <sz val="10"/>
            </rPr>
            <t xml:space="preserve"> Complexity 1.92 + Autonomy 1.38 + Accountability 0.66 + Leadership 0.75 + Experience 0.55 + Business impact 0.58
= 5.84 points → nearest level 6 = B3
</t>
          </r>
          <r>
            <rPr>
              <rFont val="Calibri"/>
              <b val="1"/>
              <sz val="10"/>
            </rPr>
            <t>Final level:</t>
          </r>
          <r>
            <rPr>
              <rFont val="Calibri"/>
              <sz val="10"/>
            </rPr>
            <t xml:space="preserve"> B2 · a rule applied: see the next column</t>
          </r>
        </is>
      </c>
      <c r="AV23" s="130" t="inlineStr">
        <is>
          <r>
            <rPr>
              <rFont val="Calibri"/>
              <sz val="10"/>
            </rPr>
            <t xml:space="preserve">• </t>
          </r>
          <r>
            <rPr>
              <rFont val="Calibri"/>
              <b val="1"/>
              <sz val="10"/>
            </rPr>
            <t>Held at B2 instead of B3:</t>
          </r>
          <r>
            <rPr>
              <rFont val="Calibri"/>
              <sz val="10"/>
            </rPr>
            <t xml:space="preserve"> a B3 manager needs team leads reporting in, or 10+ people in the team, and the org chart does not show this yet.
</t>
          </r>
          <r>
            <rPr>
              <rFont val="Calibri"/>
              <b val="1"/>
              <sz val="10"/>
            </rPr>
            <t>Final level:</t>
          </r>
          <r>
            <rPr>
              <rFont val="Calibri"/>
              <sz val="10"/>
            </rPr>
            <t xml:space="preserve"> B2.</t>
          </r>
        </is>
      </c>
      <c r="AW23" s="131" t="inlineStr">
        <is>
          <r>
            <rPr>
              <rFont val="Calibri"/>
              <sz val="10"/>
            </rPr>
            <t xml:space="preserve">Rated 6 of 12
</t>
          </r>
          <r>
            <rPr>
              <rFont val="Calibri"/>
              <b val="1"/>
              <sz val="10"/>
            </rPr>
            <t>Start:</t>
          </r>
          <r>
            <rPr>
              <rFont val="Calibri"/>
              <sz val="10"/>
            </rPr>
            <t xml:space="preserve"> 6.0 · senior manager / lead specialist title
</t>
          </r>
          <r>
            <rPr>
              <rFont val="Calibri"/>
              <b val="1"/>
              <sz val="10"/>
            </rPr>
            <t>Evidence reads like B3:</t>
          </r>
          <r>
            <rPr>
              <rFont val="Calibri"/>
              <sz val="10"/>
            </rPr>
            <t xml:space="preserve"> Runs several products for small businesses, lenders and corporates on regulated data; pricing, unit economics → matches the start
</t>
          </r>
          <r>
            <rPr>
              <rFont val="Calibri"/>
              <b val="1"/>
              <sz val="10"/>
            </rPr>
            <t>Market:</t>
          </r>
          <r>
            <rPr>
              <rFont val="Calibri"/>
              <sz val="10"/>
            </rPr>
            <t xml:space="preserve"> B3 = Sets standards for a practice; cross-team problems</t>
          </r>
        </is>
      </c>
      <c r="AX23" s="132" t="inlineStr">
        <is>
          <r>
            <rPr>
              <rFont val="Calibri"/>
              <sz val="10"/>
            </rPr>
            <t xml:space="preserve">Rated 6 of 12
</t>
          </r>
          <r>
            <rPr>
              <rFont val="Calibri"/>
              <b val="1"/>
              <sz val="10"/>
            </rPr>
            <t>Start:</t>
          </r>
          <r>
            <rPr>
              <rFont val="Calibri"/>
              <sz val="10"/>
            </rPr>
            <t xml:space="preserve"> 6.0 · senior manager / lead specialist title
</t>
          </r>
          <r>
            <rPr>
              <rFont val="Calibri"/>
              <b val="1"/>
              <sz val="10"/>
            </rPr>
            <t>Evidence reads like B3:</t>
          </r>
          <r>
            <rPr>
              <rFont val="Calibri"/>
              <sz val="10"/>
            </rPr>
            <t xml:space="preserve"> Sets the product roadmap and prioritises across products; decides what gets built → matches the start
</t>
          </r>
          <r>
            <rPr>
              <rFont val="Calibri"/>
              <b val="1"/>
              <sz val="10"/>
            </rPr>
            <t>Market:</t>
          </r>
          <r>
            <rPr>
              <rFont val="Calibri"/>
              <sz val="10"/>
            </rPr>
            <t xml:space="preserve"> B3 = Commercial / strategic calls for the unit</t>
          </r>
        </is>
      </c>
      <c r="AY23" s="132" t="inlineStr">
        <is>
          <r>
            <rPr>
              <rFont val="Calibri"/>
              <sz val="10"/>
            </rPr>
            <t xml:space="preserve">Rated 6 of 12
</t>
          </r>
          <r>
            <rPr>
              <rFont val="Calibri"/>
              <b val="1"/>
              <sz val="10"/>
            </rPr>
            <t>Start:</t>
          </r>
          <r>
            <rPr>
              <rFont val="Calibri"/>
              <sz val="10"/>
            </rPr>
            <t xml:space="preserve"> 5.5 · senior manager / lead specialist title; 6 direct reports
</t>
          </r>
          <r>
            <rPr>
              <rFont val="Calibri"/>
              <b val="1"/>
              <sz val="10"/>
            </rPr>
            <t>Evidence reads like B3:</t>
          </r>
          <r>
            <rPr>
              <rFont val="Calibri"/>
              <sz val="10"/>
            </rPr>
            <t xml:space="preserve"> Owns product adoption, retention and product revenue; answerable for PMs' decisions → moved up 0.5
</t>
          </r>
          <r>
            <rPr>
              <rFont val="Calibri"/>
              <b val="1"/>
              <sz val="10"/>
            </rPr>
            <t>Market:</t>
          </r>
          <r>
            <rPr>
              <rFont val="Calibri"/>
              <sz val="10"/>
            </rPr>
            <t xml:space="preserve"> B3 = Several teams or a practice</t>
          </r>
        </is>
      </c>
      <c r="AZ23" s="132" t="inlineStr">
        <is>
          <r>
            <rPr>
              <rFont val="Calibri"/>
              <sz val="10"/>
            </rPr>
            <t xml:space="preserve">Rated 5 of 12
</t>
          </r>
          <r>
            <rPr>
              <rFont val="Calibri"/>
              <b val="1"/>
              <sz val="10"/>
            </rPr>
            <t>Start:</t>
          </r>
          <r>
            <rPr>
              <rFont val="Calibri"/>
              <sz val="10"/>
            </rPr>
            <t xml:space="preserve"> 5.0
</t>
          </r>
          <r>
            <rPr>
              <rFont val="Calibri"/>
              <b val="1"/>
              <sz val="10"/>
            </rPr>
            <t>Evidence reads like B2:</t>
          </r>
          <r>
            <rPr>
              <rFont val="Calibri"/>
              <sz val="10"/>
            </rPr>
            <t xml:space="preserve"> Leads the PM team; six direct reports → matches the start
</t>
          </r>
          <r>
            <rPr>
              <rFont val="Calibri"/>
              <b val="1"/>
              <sz val="10"/>
            </rPr>
            <t>Team:</t>
          </r>
          <r>
            <rPr>
              <rFont val="Calibri"/>
              <sz val="10"/>
            </rPr>
            <t xml:space="preserve"> 6 direct reports · People Manager
</t>
          </r>
          <r>
            <rPr>
              <rFont val="Calibri"/>
              <b val="1"/>
              <sz val="10"/>
            </rPr>
            <t>Market:</t>
          </r>
          <r>
            <rPr>
              <rFont val="Calibri"/>
              <sz val="10"/>
            </rPr>
            <t xml:space="preserve"> B2 = IC: guides others in the domain · People: manages a team of 6+</t>
          </r>
        </is>
      </c>
      <c r="BA23" s="132" t="inlineStr">
        <is>
          <r>
            <rPr>
              <rFont val="Calibri"/>
              <sz val="10"/>
            </rPr>
            <t xml:space="preserve">Rated 5.5 of 12 · between B2 and B3
</t>
          </r>
          <r>
            <rPr>
              <rFont val="Calibri"/>
              <b val="1"/>
              <sz val="10"/>
            </rPr>
            <t>Experience:</t>
          </r>
          <r>
            <rPr>
              <rFont val="Calibri"/>
              <sz val="10"/>
            </rPr>
            <t xml:space="preserve"> 7.1 yrs total · 6.0 before IRIS + 1.1 at IRIS = 4.8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B2 roles typically have 6–10 yrs · IRIS guide 6–9</t>
          </r>
        </is>
      </c>
      <c r="BB23" s="132" t="inlineStr">
        <is>
          <r>
            <rPr>
              <rFont val="Calibri"/>
              <sz val="10"/>
            </rPr>
            <t xml:space="preserve">Rated 6.5 of 12 — a starting estimate.
</t>
          </r>
          <r>
            <rPr>
              <rFont val="Calibri"/>
              <b val="1"/>
              <sz val="10"/>
            </rPr>
            <t>Start:</t>
          </r>
          <r>
            <rPr>
              <rFont val="Calibri"/>
              <sz val="10"/>
            </rPr>
            <t xml:space="preserve"> 6,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 · C1 = Changes results across a sub-function or across products</t>
          </r>
        </is>
      </c>
      <c r="BC23" s="148" t="inlineStr">
        <is>
          <t>• Confirm structure behind the senior title · org chart — Business head</t>
        </is>
      </c>
      <c r="BD23" s="134" t="inlineStr">
        <is>
          <t>✓ HRIS: 7.1 yrs, MBA, 6 direct reports
✓ Survey: 20 of 20 questions answered
✗ KRAs: none on file
✓ Manager mapping: rating, 9-box
✗ Job description: not on file</t>
        </is>
      </c>
      <c r="BE23" s="134"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BF23" s="134" t="inlineStr">
        <is>
          <t>Medium</t>
        </is>
      </c>
      <c r="BG23" s="134" t="inlineStr"/>
      <c r="BH23" s="134" t="inlineStr"/>
      <c r="BI23" s="135" t="n"/>
      <c r="BJ23" s="136" t="n"/>
      <c r="BK23" s="136" t="n"/>
      <c r="BL23" s="136" t="n"/>
      <c r="BM23" s="136" t="n"/>
      <c r="BN23" s="137" t="n"/>
      <c r="BO23" s="120" t="n"/>
      <c r="BP23" s="120" t="n"/>
      <c r="BQ23" s="120" t="n"/>
      <c r="BR23" s="120" t="n"/>
      <c r="BS23" s="120" t="n"/>
      <c r="BT23" s="120" t="n"/>
      <c r="BU23" s="120" t="n"/>
      <c r="BV23" s="120" t="n">
        <v>6.5</v>
      </c>
    </row>
    <row r="24" ht="340" customHeight="1">
      <c r="A24" s="109" t="inlineStr">
        <is>
          <t>IRISDT0010</t>
        </is>
      </c>
      <c r="B24" s="110" t="inlineStr">
        <is>
          <t>Piyush Raj</t>
        </is>
      </c>
      <c r="C24" s="111" t="inlineStr">
        <is>
          <t>Product Management</t>
        </is>
      </c>
      <c r="D24" s="111" t="inlineStr">
        <is>
          <t>Nilesh Majumdar</t>
        </is>
      </c>
      <c r="E24" s="112" t="n">
        <v>8.1</v>
      </c>
      <c r="F24" s="112" t="n">
        <v>1.1</v>
      </c>
      <c r="G24" s="111" t="inlineStr">
        <is>
          <t>PGDM</t>
        </is>
      </c>
      <c r="H24" s="142" t="inlineStr">
        <is>
          <t>Product Manager</t>
        </is>
      </c>
      <c r="I24" s="115" t="inlineStr">
        <is>
          <t>Product Manager</t>
        </is>
      </c>
      <c r="J24" s="115" t="inlineStr">
        <is>
          <t>Product Management</t>
        </is>
      </c>
      <c r="K24" s="115" t="inlineStr">
        <is>
          <t>Product Management</t>
        </is>
      </c>
      <c r="L24" s="115" t="inlineStr">
        <is>
          <t>L5 – Manager</t>
        </is>
      </c>
      <c r="M24" s="116" t="inlineStr">
        <is>
          <t>B2</t>
        </is>
      </c>
      <c r="N24" s="18" t="inlineStr">
        <is>
          <t>Senior Specialist</t>
        </is>
      </c>
      <c r="O24" s="20" t="inlineStr">
        <is>
          <t>B</t>
        </is>
      </c>
      <c r="P24" s="115" t="inlineStr">
        <is>
          <t>IC</t>
        </is>
      </c>
      <c r="Q24" s="117" t="inlineStr">
        <is>
          <t>• Same level</t>
        </is>
      </c>
      <c r="R24" s="118" t="inlineStr">
        <is>
          <r>
            <rPr>
              <rFont val="Calibri"/>
              <b val="1"/>
              <sz val="10"/>
            </rPr>
            <t>WHAT THE ROLE DOES:</t>
          </r>
          <r>
            <rPr>
              <rFont val="Calibri"/>
              <sz val="10"/>
            </rPr>
            <t xml:space="preserve"> Owns product vision, roadmap, requirements · PRDs, prioritisation and adoption. At B2: deep domain expertise, or one team.
</t>
          </r>
          <r>
            <rPr>
              <rFont val="Calibri"/>
              <b val="1"/>
              <sz val="10"/>
            </rPr>
            <t>Common themes in sub-family holders, all levels' answers:</t>
          </r>
          <r>
            <rPr>
              <rFont val="Calibri"/>
              <sz val="10"/>
            </rPr>
            <t xml:space="preserve"> product · market · business · customers · management · revenue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Common themes in sub-family holders, all levels' answers:</t>
          </r>
          <r>
            <rPr>
              <rFont val="Calibri"/>
              <sz val="10"/>
            </rPr>
            <t xml:space="preserve"> product · roadmap · management · customer · research · implementation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product · customer · client · feature · business · revenue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product · if · delivery · customer · requirements · client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research · priorities · approach · roadmap · product · stakeholders
</t>
          </r>
          <r>
            <rPr>
              <rFont val="Calibri"/>
              <b val="1"/>
              <sz val="10"/>
            </rPr>
            <t>SKILLS &amp; KNOWLEDGE · role-holders:</t>
          </r>
          <r>
            <rPr>
              <rFont val="Calibri"/>
              <sz val="10"/>
            </rPr>
            <t xml:space="preserve"> Product Management · stakeholder management · Market research · Project management · Product sense · Data analysis · ESG · CA + CE
</t>
          </r>
          <r>
            <rPr>
              <rFont val="Calibri"/>
              <b val="1"/>
              <sz val="10"/>
            </rPr>
            <t>TOOLS &amp; SYSTEMS:</t>
          </r>
          <r>
            <rPr>
              <rFont val="Calibri"/>
              <sz val="10"/>
            </rPr>
            <t xml:space="preserve"> Claude · Excel · Mixpanel · MoEngage · Figma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sub-family themes · 3+ answered — 2 holders, 2 answered the survey; sub-family 13 answered; catalogue RC-126</t>
          </r>
        </is>
      </c>
      <c r="S24"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no.
</t>
          </r>
          <r>
            <rPr>
              <rFont val="Calibri"/>
              <b val="1"/>
              <sz val="10"/>
            </rPr>
            <t>If the work is missed · role-holders' themes:</t>
          </r>
          <r>
            <rPr>
              <rFont val="Calibri"/>
              <sz val="10"/>
            </rPr>
            <t xml:space="preserve"> delays · customer · delayed · revenue.
Manager talent mapping — Latest rating: 4 · Potential: High · 9-Box Grid placement: High Impact / Growth Talent.</t>
          </r>
        </is>
      </c>
      <c r="T24" s="120" t="n"/>
      <c r="U24" s="121" t="inlineStr">
        <is>
          <r>
            <rPr>
              <rFont val="Calibri"/>
              <sz val="10"/>
            </rPr>
            <t xml:space="preserve">Product Manager in Product Management · Datatech, B2 — IC.
</t>
          </r>
          <r>
            <rPr>
              <rFont val="Calibri"/>
              <b val="1"/>
              <sz val="10"/>
            </rPr>
            <t>The work:</t>
          </r>
          <r>
            <rPr>
              <rFont val="Calibri"/>
              <sz val="10"/>
            </rPr>
            <t xml:space="preserve"> Owns product vision, roadmap, requirements · PRDs, prioritisation and adoption.
At this level the role owns deep domain expertise, or one team.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Holders describe it with:</t>
          </r>
          <r>
            <rPr>
              <rFont val="Calibri"/>
              <sz val="10"/>
            </rPr>
            <t xml:space="preserve"> product · roadmap · management · customer · research · implementation.</t>
          </r>
        </is>
      </c>
      <c r="V24" s="122" t="inlineStr">
        <is>
          <r>
            <rPr>
              <rFont val="Calibri"/>
              <b val="1"/>
              <sz val="10"/>
            </rPr>
            <t>Hire as:</t>
          </r>
          <r>
            <rPr>
              <rFont val="Calibri"/>
              <sz val="10"/>
            </rPr>
            <t xml:space="preserve"> Senior Product Manager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 PGDM preferred
</t>
          </r>
          <r>
            <rPr>
              <rFont val="Calibri"/>
              <b val="1"/>
              <sz val="10"/>
            </rPr>
            <t>Equivalent titles at peers:</t>
          </r>
          <r>
            <rPr>
              <rFont val="Calibri"/>
              <sz val="10"/>
            </rPr>
            <t xml:space="preserve"> IRIS Vs Competitor Benchmark — SaaS product ladder – Senior PM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24" s="122" t="inlineStr">
        <is>
          <r>
            <rPr>
              <rFont val="Calibri"/>
              <sz val="10"/>
            </rPr>
            <t xml:space="preserve">FUNCTIONAL — skill level 4 of 5 · Advanced
 ★ Product, Platform &amp; Domain Knowledge: Recognised product / domain expert; trains others
 ★ Business Analysis &amp; Requirements Engineering: Leads complex requirement programmes; sets BA standards
 •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Product Management · stakeholder management · Market research · Project management · Product sense · Data analysis · ESG · CA + CE
</t>
          </r>
          <r>
            <rPr>
              <rFont val="Calibri"/>
              <b val="1"/>
              <sz val="10"/>
            </rPr>
            <t>TOOLS:</t>
          </r>
          <r>
            <rPr>
              <rFont val="Calibri"/>
              <sz val="10"/>
            </rPr>
            <t xml:space="preserve"> Claude · Excel · Mixpanel · MoEngage · Figma
★ = must-have for the family. Scale: 1 Awareness · 2 Working · 3 Practitioner · 4 Advanced · 5 Expert.</t>
          </r>
        </is>
      </c>
      <c r="X24" s="122"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4" s="123" t="inlineStr">
        <is>
          <t>Datatech · Product Management · Band B · Expert / POD Lead</t>
        </is>
      </c>
      <c r="Z24" s="124" t="n">
        <v>4.5</v>
      </c>
      <c r="AA24" s="125">
        <f>IFERROR(INDEX(WM_C,MATCH($Y24,WM_KEY,0)),"")</f>
        <v>0.46</v>
      </c>
      <c r="AB24" s="126">
        <f>IF(Z24="","",Z24*AA24)</f>
        <v>2.07</v>
      </c>
      <c r="AC24" s="124" t="n">
        <v>4.5</v>
      </c>
      <c r="AD24" s="125">
        <f>IFERROR(INDEX(WM_AU,MATCH($Y24,WM_KEY,0)),"")</f>
        <v>0.22</v>
      </c>
      <c r="AE24" s="126">
        <f>IF(AC24="","",AC24*AD24)</f>
        <v>0.99</v>
      </c>
      <c r="AF24" s="124" t="n">
        <v>5</v>
      </c>
      <c r="AG24" s="125">
        <f>IFERROR(INDEX(WM_AC,MATCH($Y24,WM_KEY,0)),"")</f>
        <v>0.1</v>
      </c>
      <c r="AH24" s="126">
        <f>IF(AF24="","",AF24*AG24)</f>
        <v>0.5</v>
      </c>
      <c r="AI24" s="124" t="n">
        <v>3.5</v>
      </c>
      <c r="AJ24" s="125">
        <f>IFERROR(INDEX(WM_L,MATCH($Y24,WM_KEY,0)),"")</f>
        <v>0.05</v>
      </c>
      <c r="AK24" s="126">
        <f>IF(AI24="","",AI24*AJ24)</f>
        <v>0.175</v>
      </c>
      <c r="AL24" s="124" t="n">
        <v>5.5</v>
      </c>
      <c r="AM24" s="125">
        <f>IFERROR(INDEX(WM_E,MATCH($Y24,WM_KEY,0)),"")</f>
        <v>0.1</v>
      </c>
      <c r="AN24" s="126">
        <f>IF(AL24="","",AL24*AM24)</f>
        <v>0.55</v>
      </c>
      <c r="AO24" s="127" t="n">
        <v>5.5</v>
      </c>
      <c r="AP24" s="125">
        <f>IFERROR(INDEX(WM_BI,MATCH($Y24,WM_KEY,0)),"")</f>
        <v>0.07</v>
      </c>
      <c r="AQ24" s="126">
        <f>IF(AO24="","",AO24*AP24)</f>
        <v>0.385</v>
      </c>
      <c r="AR24" s="126">
        <f>IF(COUNT(AB24,AE24,AH24,AK24,AN24,AQ24)&lt;6,"",SUM(AB24,AE24,AH24,AK24,AN24,AQ24))</f>
        <v>4.67</v>
      </c>
      <c r="AS24" s="128" t="str">
        <f>IF(AR24="","",INDEX({"A1","A2","A3","B1","B2","B3","C1","C2","D1","D2","E1","E2"},MAX(1,MIN(12,ROUND(AR24,0)))))</f>
        <v>B2</v>
      </c>
      <c r="AT24" s="129" t="inlineStr">
        <is>
          <r>
            <rPr>
              <rFont val="Calibri"/>
              <b val="1"/>
              <sz val="10"/>
            </rPr>
            <t>Weights:</t>
          </r>
          <r>
            <rPr>
              <rFont val="Calibri"/>
              <sz val="10"/>
            </rPr>
            <t xml:space="preserve"> Complexity 46% · Autonomy 22%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t>
          </r>
        </is>
      </c>
      <c r="AU24" s="130" t="inlineStr">
        <is>
          <r>
            <rPr>
              <rFont val="Calibri"/>
              <b val="1"/>
              <sz val="10"/>
            </rPr>
            <t>At build:</t>
          </r>
          <r>
            <rPr>
              <rFont val="Calibri"/>
              <sz val="10"/>
            </rPr>
            <t xml:space="preserve"> Complexity 2.07 + Autonomy 0.99 + Accountability 0.50 + Leadership 0.18 + Experience 0.55 + Business impact 0.39
= 4.67 points → nearest level 5 = B2
</t>
          </r>
          <r>
            <rPr>
              <rFont val="Calibri"/>
              <b val="1"/>
              <sz val="10"/>
            </rPr>
            <t>Final level:</t>
          </r>
          <r>
            <rPr>
              <rFont val="Calibri"/>
              <sz val="10"/>
            </rPr>
            <t xml:space="preserve"> B2 · same as the score</t>
          </r>
        </is>
      </c>
      <c r="AV24" s="130" t="inlineStr">
        <is>
          <r>
            <rPr>
              <rFont val="Calibri"/>
              <b val="1"/>
              <sz val="10"/>
            </rPr>
            <t>No rule applied:</t>
          </r>
          <r>
            <rPr>
              <rFont val="Calibri"/>
              <sz val="10"/>
            </rPr>
            <t xml:space="preserve"> the score decides.</t>
          </r>
        </is>
      </c>
      <c r="AW24"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t>
          </r>
          <r>
            <rPr>
              <rFont val="Calibri"/>
              <sz val="10"/>
            </rPr>
            <t xml:space="preserve"> rated like 3 colleagues in the same role and department · own answers too general to rate → moved −0.5
</t>
          </r>
          <r>
            <rPr>
              <rFont val="Calibri"/>
              <b val="1"/>
              <sz val="10"/>
            </rPr>
            <t>KRA:</t>
          </r>
          <r>
            <rPr>
              <rFont val="Calibri"/>
              <sz val="10"/>
            </rPr>
            <t xml:space="preserve"> “% of users · Existing + new who have completed the Onboarding/Acquisition since launch of the new onboarding journey​ on 28th May 2026​…”
</t>
          </r>
          <r>
            <rPr>
              <rFont val="Calibri"/>
              <b val="1"/>
              <sz val="10"/>
            </rPr>
            <t>Market:</t>
          </r>
          <r>
            <rPr>
              <rFont val="Calibri"/>
              <sz val="10"/>
            </rPr>
            <t xml:space="preserve"> B1 = Domain specialist work · B2 = Hardest problems in the domain</t>
          </r>
        </is>
      </c>
      <c r="AX24"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t>
          </r>
          <r>
            <rPr>
              <rFont val="Calibri"/>
              <sz val="10"/>
            </rPr>
            <t xml:space="preserve"> rated like 3 colleagues in the same role and department · own answers too general to rate → moved −0.5
</t>
          </r>
          <r>
            <rPr>
              <rFont val="Calibri"/>
              <b val="1"/>
              <sz val="10"/>
            </rPr>
            <t>Market:</t>
          </r>
          <r>
            <rPr>
              <rFont val="Calibri"/>
              <sz val="10"/>
            </rPr>
            <t xml:space="preserve"> B1 = Technical / QC / client calls for the domain · B2 = Allocates people and sets team priorities</t>
          </r>
        </is>
      </c>
      <c r="AY24" s="132"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t>
          </r>
          <r>
            <rPr>
              <rFont val="Calibri"/>
              <sz val="10"/>
            </rPr>
            <t xml:space="preserve"> rated like 3 colleagues in the same role and department · own answers too general to rate → no change
</t>
          </r>
          <r>
            <rPr>
              <rFont val="Calibri"/>
              <b val="1"/>
              <sz val="10"/>
            </rPr>
            <t>KRA:</t>
          </r>
          <r>
            <rPr>
              <rFont val="Calibri"/>
              <sz val="10"/>
            </rPr>
            <t xml:space="preserve"> “% of users · Existing + new who have completed the Onboarding/Acquisition since launch of the new onboarding journey​ on 28th May 2026​…”
</t>
          </r>
          <r>
            <rPr>
              <rFont val="Calibri"/>
              <b val="1"/>
              <sz val="10"/>
            </rPr>
            <t>Market:</t>
          </r>
          <r>
            <rPr>
              <rFont val="Calibri"/>
              <sz val="10"/>
            </rPr>
            <t xml:space="preserve"> B2 = One team or a client portfolio</t>
          </r>
        </is>
      </c>
      <c r="AZ24" s="132" t="inlineStr">
        <is>
          <r>
            <rPr>
              <rFont val="Calibri"/>
              <sz val="10"/>
            </rPr>
            <t xml:space="preserve">Rated 3.5 of 12 · between A3 and B1
</t>
          </r>
          <r>
            <rPr>
              <rFont val="Calibri"/>
              <b val="1"/>
              <sz val="10"/>
            </rPr>
            <t>Start:</t>
          </r>
          <r>
            <rPr>
              <rFont val="Calibri"/>
              <sz val="10"/>
            </rPr>
            <t xml:space="preserve"> 4.0 · individual contributor, so influence only
</t>
          </r>
          <r>
            <rPr>
              <rFont val="Calibri"/>
              <b val="1"/>
              <sz val="10"/>
            </rPr>
            <t>Evidence:</t>
          </r>
          <r>
            <rPr>
              <rFont val="Calibri"/>
              <sz val="10"/>
            </rPr>
            <t xml:space="preserve"> rated like 3 colleagues in the same role and department · own answers too general to rate → moved −0.5
</t>
          </r>
          <r>
            <rPr>
              <rFont val="Calibri"/>
              <b val="1"/>
              <sz val="10"/>
            </rPr>
            <t>Team:</t>
          </r>
          <r>
            <rPr>
              <rFont val="Calibri"/>
              <sz val="10"/>
            </rPr>
            <t xml:space="preserve"> 0 direct reports · IC
</t>
          </r>
          <r>
            <rPr>
              <rFont val="Calibri"/>
              <b val="1"/>
              <sz val="10"/>
            </rPr>
            <t>Market:</t>
          </r>
          <r>
            <rPr>
              <rFont val="Calibri"/>
              <sz val="10"/>
            </rPr>
            <t xml:space="preserve"> A3 = Not scored in Band A · B1 = IC: mentors and reviews · People: hands-on team lead of 3–5</t>
          </r>
        </is>
      </c>
      <c r="BA24" s="132" t="inlineStr">
        <is>
          <r>
            <rPr>
              <rFont val="Calibri"/>
              <sz val="10"/>
            </rPr>
            <t xml:space="preserve">Rated 5.5 of 12 · between B2 and B3
</t>
          </r>
          <r>
            <rPr>
              <rFont val="Calibri"/>
              <b val="1"/>
              <sz val="10"/>
            </rPr>
            <t>Experience:</t>
          </r>
          <r>
            <rPr>
              <rFont val="Calibri"/>
              <sz val="10"/>
            </rPr>
            <t xml:space="preserve"> 8.1 yrs total · 7.0 before IRIS + 1.1 at IRIS = 5.2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B2 roles typically have 6–10 yrs · IRIS guide 6–9</t>
          </r>
        </is>
      </c>
      <c r="BB24" s="132"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24" s="133" t="inlineStr"/>
      <c r="BD24" s="134" t="inlineStr">
        <is>
          <t>✓ HRIS: 8.1 yrs, PGDM, 0 direct reports
✓ Survey: 20 of 20 questions answered
✓ KRAs: self, manager-set, quarterly
✓ Manager mapping: rating, potential, 9-box
✗ Job description: not on file</t>
        </is>
      </c>
      <c r="BE24" s="134" t="inlineStr">
        <is>
          <r>
            <rPr>
              <rFont val="Calibri"/>
              <b val="1"/>
              <sz val="10"/>
            </rPr>
            <t>Market level:</t>
          </r>
          <r>
            <rPr>
              <rFont val="Calibri"/>
              <sz val="10"/>
            </rPr>
            <t xml:space="preserve"> P4 / M3 · SFIA 4–5
</t>
          </r>
          <r>
            <rPr>
              <rFont val="Calibri"/>
              <b val="1"/>
              <sz val="10"/>
            </rPr>
            <t>Typical title:</t>
          </r>
          <r>
            <rPr>
              <rFont val="Calibri"/>
              <sz val="10"/>
            </rPr>
            <t xml:space="preserve"> Senior Product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BF24" s="134" t="inlineStr">
        <is>
          <t>Low</t>
        </is>
      </c>
      <c r="BG24" s="134" t="inlineStr">
        <is>
          <t>• Survey answers are generic or do not match the role — not used as evidence; manager input needed</t>
        </is>
      </c>
      <c r="BH24" s="134" t="inlineStr"/>
      <c r="BI24" s="135" t="n"/>
      <c r="BJ24" s="136" t="n"/>
      <c r="BK24" s="136" t="n"/>
      <c r="BL24" s="136" t="n"/>
      <c r="BM24" s="136" t="n"/>
      <c r="BN24" s="137" t="n"/>
      <c r="BO24" s="120" t="n"/>
      <c r="BP24" s="120" t="n"/>
      <c r="BQ24" s="120" t="n"/>
      <c r="BR24" s="120" t="n"/>
      <c r="BS24" s="120" t="n"/>
      <c r="BT24" s="120" t="n"/>
      <c r="BU24" s="120" t="n"/>
      <c r="BV24" s="120" t="n">
        <v>5.5</v>
      </c>
    </row>
    <row r="25" ht="340" customHeight="1">
      <c r="A25" s="109" t="inlineStr">
        <is>
          <t>IRISDT0023</t>
        </is>
      </c>
      <c r="B25" s="110" t="inlineStr">
        <is>
          <t>Sachinam Sawant</t>
        </is>
      </c>
      <c r="C25" s="111" t="inlineStr">
        <is>
          <t>Product Management</t>
        </is>
      </c>
      <c r="D25" s="111" t="inlineStr">
        <is>
          <t>Shilpa Dhobale</t>
        </is>
      </c>
      <c r="E25" s="149" t="inlineStr">
        <is>
          <t>Not provided · HRIS</t>
        </is>
      </c>
      <c r="F25" s="112" t="n">
        <v>0.1</v>
      </c>
      <c r="G25" s="111" t="inlineStr">
        <is>
          <t>CA</t>
        </is>
      </c>
      <c r="H25" s="113" t="inlineStr">
        <is>
          <t>Regulatory &amp; Policy Lead</t>
        </is>
      </c>
      <c r="I25" s="114" t="inlineStr">
        <is>
          <t>Product Manager</t>
        </is>
      </c>
      <c r="J25" s="115" t="inlineStr">
        <is>
          <t>Product Management</t>
        </is>
      </c>
      <c r="K25" s="115" t="inlineStr">
        <is>
          <t>Product Management</t>
        </is>
      </c>
      <c r="L25" s="114" t="inlineStr">
        <is>
          <t>Not in current mapping files</t>
        </is>
      </c>
      <c r="M25" s="138" t="inlineStr">
        <is>
          <t>B2</t>
        </is>
      </c>
      <c r="N25" s="18" t="inlineStr">
        <is>
          <t>Senior Specialist</t>
        </is>
      </c>
      <c r="O25" s="20" t="inlineStr">
        <is>
          <t>B</t>
        </is>
      </c>
      <c r="P25" s="115" t="inlineStr">
        <is>
          <t>IC</t>
        </is>
      </c>
      <c r="Q25" s="143" t="inlineStr">
        <is>
          <t>● Newly mapped</t>
        </is>
      </c>
      <c r="R25" s="118" t="inlineStr">
        <is>
          <r>
            <rPr>
              <rFont val="Calibri"/>
              <b val="1"/>
              <sz val="10"/>
            </rPr>
            <t>WHAT THE ROLE DOES:</t>
          </r>
          <r>
            <rPr>
              <rFont val="Calibri"/>
              <sz val="10"/>
            </rPr>
            <t xml:space="preserve"> Owns product vision, roadmap, requirements · PRDs, prioritisation and adoption. At B2: deep domain expertise, or one team.
</t>
          </r>
          <r>
            <rPr>
              <rFont val="Calibri"/>
              <b val="1"/>
              <sz val="10"/>
            </rPr>
            <t>Common themes in sub-family holders, all levels' answers:</t>
          </r>
          <r>
            <rPr>
              <rFont val="Calibri"/>
              <sz val="10"/>
            </rPr>
            <t xml:space="preserve"> product · market · business · customers · management · revenue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Common themes in sub-family holders, all levels' answers:</t>
          </r>
          <r>
            <rPr>
              <rFont val="Calibri"/>
              <sz val="10"/>
            </rPr>
            <t xml:space="preserve"> product · roadmap · management · customer · research · implementation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product · customer · client · feature · business · revenue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product · if · delivery · customer · requirements · client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research · priorities · approach · roadmap · product · stakeholders
</t>
          </r>
          <r>
            <rPr>
              <rFont val="Calibri"/>
              <b val="1"/>
              <sz val="10"/>
            </rPr>
            <t>SKILLS &amp; KNOWLEDGE · role-holders:</t>
          </r>
          <r>
            <rPr>
              <rFont val="Calibri"/>
              <sz val="10"/>
            </rPr>
            <t xml:space="preserve"> Product Management · stakeholder management · Market research · Project management · Product sense · Data analysis · ESG · CA + CE
</t>
          </r>
          <r>
            <rPr>
              <rFont val="Calibri"/>
              <b val="1"/>
              <sz val="10"/>
            </rPr>
            <t>TOOLS &amp; SYSTEMS:</t>
          </r>
          <r>
            <rPr>
              <rFont val="Calibri"/>
              <sz val="10"/>
            </rPr>
            <t xml:space="preserve"> Claude · Excel · Mixpanel · MoEngage · Figma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sub-family themes · 3+ answered — 2 holders, 2 answered the survey; sub-family 13 answered; catalogue RC-126</t>
          </r>
        </is>
      </c>
      <c r="S25"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t>
          </r>
          <r>
            <rPr>
              <rFont val="Calibri"/>
              <b val="1"/>
              <sz val="10"/>
            </rPr>
            <t>If the work is missed · role-holders' themes:</t>
          </r>
          <r>
            <rPr>
              <rFont val="Calibri"/>
              <sz val="10"/>
            </rPr>
            <t xml:space="preserve"> delays · customer · delayed · revenue.
Manager talent mapping — Latest rating: Not rated · manager · 9-Box Grid placement: Not placed · manager.</t>
          </r>
        </is>
      </c>
      <c r="T25" s="120" t="n"/>
      <c r="U25" s="121" t="inlineStr">
        <is>
          <r>
            <rPr>
              <rFont val="Calibri"/>
              <sz val="10"/>
            </rPr>
            <t xml:space="preserve">Product Manager in Product Management · Datatech, B2 — IC.
</t>
          </r>
          <r>
            <rPr>
              <rFont val="Calibri"/>
              <b val="1"/>
              <sz val="10"/>
            </rPr>
            <t>The work:</t>
          </r>
          <r>
            <rPr>
              <rFont val="Calibri"/>
              <sz val="10"/>
            </rPr>
            <t xml:space="preserve"> Owns product vision, roadmap, requirements · PRDs, prioritisation and adoption.
At this level the role owns deep domain expertise, or one team.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Holders describe it with:</t>
          </r>
          <r>
            <rPr>
              <rFont val="Calibri"/>
              <sz val="10"/>
            </rPr>
            <t xml:space="preserve"> product · roadmap · management · customer · research · implementation.</t>
          </r>
        </is>
      </c>
      <c r="V25" s="122" t="inlineStr">
        <is>
          <r>
            <rPr>
              <rFont val="Calibri"/>
              <b val="1"/>
              <sz val="10"/>
            </rPr>
            <t>Hire as:</t>
          </r>
          <r>
            <rPr>
              <rFont val="Calibri"/>
              <sz val="10"/>
            </rPr>
            <t xml:space="preserve"> Senior Product Manager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 PGDM preferred
</t>
          </r>
          <r>
            <rPr>
              <rFont val="Calibri"/>
              <b val="1"/>
              <sz val="10"/>
            </rPr>
            <t>Equivalent titles at peers:</t>
          </r>
          <r>
            <rPr>
              <rFont val="Calibri"/>
              <sz val="10"/>
            </rPr>
            <t xml:space="preserve"> IRIS Vs Competitor Benchmark — SaaS product ladder – Senior PM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25" s="122" t="inlineStr">
        <is>
          <r>
            <rPr>
              <rFont val="Calibri"/>
              <sz val="10"/>
            </rPr>
            <t xml:space="preserve">FUNCTIONAL — skill level 4 of 5 · Advanced
 ★ Product, Platform &amp; Domain Knowledge: Recognised product / domain expert; trains others
 ★ Business Analysis &amp; Requirements Engineering: Leads complex requirement programmes; sets BA standards
 •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Product Management · stakeholder management · Market research · Project management · Product sense · Data analysis · ESG · CA + CE
</t>
          </r>
          <r>
            <rPr>
              <rFont val="Calibri"/>
              <b val="1"/>
              <sz val="10"/>
            </rPr>
            <t>TOOLS:</t>
          </r>
          <r>
            <rPr>
              <rFont val="Calibri"/>
              <sz val="10"/>
            </rPr>
            <t xml:space="preserve"> Claude · Excel · Mixpanel · MoEngage · Figma
★ = must-have for the family. Scale: 1 Awareness · 2 Working · 3 Practitioner · 4 Advanced · 5 Expert.</t>
          </r>
        </is>
      </c>
      <c r="X25" s="122"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5" s="123" t="inlineStr">
        <is>
          <t>Datatech · Product Management · Band B · Expert / POD Lead</t>
        </is>
      </c>
      <c r="Z25" s="124" t="n">
        <v>4.5</v>
      </c>
      <c r="AA25" s="125">
        <f>IFERROR(INDEX(WM_C,MATCH($Y25,WM_KEY,0)),"")</f>
        <v>0.46</v>
      </c>
      <c r="AB25" s="126">
        <f>IF(Z25="","",Z25*AA25)</f>
        <v>2.07</v>
      </c>
      <c r="AC25" s="124" t="n">
        <v>4.5</v>
      </c>
      <c r="AD25" s="125">
        <f>IFERROR(INDEX(WM_AU,MATCH($Y25,WM_KEY,0)),"")</f>
        <v>0.22</v>
      </c>
      <c r="AE25" s="126">
        <f>IF(AC25="","",AC25*AD25)</f>
        <v>0.99</v>
      </c>
      <c r="AF25" s="124" t="n">
        <v>4.5</v>
      </c>
      <c r="AG25" s="125">
        <f>IFERROR(INDEX(WM_AC,MATCH($Y25,WM_KEY,0)),"")</f>
        <v>0.1</v>
      </c>
      <c r="AH25" s="126">
        <f>IF(AF25="","",AF25*AG25)</f>
        <v>0.45</v>
      </c>
      <c r="AI25" s="124" t="n">
        <v>3.5</v>
      </c>
      <c r="AJ25" s="125">
        <f>IFERROR(INDEX(WM_L,MATCH($Y25,WM_KEY,0)),"")</f>
        <v>0.05</v>
      </c>
      <c r="AK25" s="126">
        <f>IF(AI25="","",AI25*AJ25)</f>
        <v>0.175</v>
      </c>
      <c r="AL25" s="124" t="n">
        <v>5.5</v>
      </c>
      <c r="AM25" s="125">
        <f>IFERROR(INDEX(WM_E,MATCH($Y25,WM_KEY,0)),"")</f>
        <v>0.1</v>
      </c>
      <c r="AN25" s="126">
        <f>IF(AL25="","",AL25*AM25)</f>
        <v>0.55</v>
      </c>
      <c r="AO25" s="127" t="n">
        <v>4.5</v>
      </c>
      <c r="AP25" s="125">
        <f>IFERROR(INDEX(WM_BI,MATCH($Y25,WM_KEY,0)),"")</f>
        <v>0.07</v>
      </c>
      <c r="AQ25" s="126">
        <f>IF(AO25="","",AO25*AP25)</f>
        <v>0.315</v>
      </c>
      <c r="AR25" s="126">
        <f>IF(COUNT(AB25,AE25,AH25,AK25,AN25,AQ25)&lt;6,"",SUM(AB25,AE25,AH25,AK25,AN25,AQ25))</f>
        <v>4.55</v>
      </c>
      <c r="AS25" s="128" t="str">
        <f>IF(AR25="","",INDEX({"A1","A2","A3","B1","B2","B3","C1","C2","D1","D2","E1","E2"},MAX(1,MIN(12,ROUND(AR25,0)))))</f>
        <v>B2</v>
      </c>
      <c r="AT25" s="129" t="inlineStr">
        <is>
          <r>
            <rPr>
              <rFont val="Calibri"/>
              <b val="1"/>
              <sz val="10"/>
            </rPr>
            <t>Weights:</t>
          </r>
          <r>
            <rPr>
              <rFont val="Calibri"/>
              <sz val="10"/>
            </rPr>
            <t xml:space="preserve"> Complexity 46% · Autonomy 22%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t>
          </r>
        </is>
      </c>
      <c r="AU25" s="130" t="inlineStr">
        <is>
          <r>
            <rPr>
              <rFont val="Calibri"/>
              <b val="1"/>
              <sz val="10"/>
            </rPr>
            <t>At build:</t>
          </r>
          <r>
            <rPr>
              <rFont val="Calibri"/>
              <sz val="10"/>
            </rPr>
            <t xml:space="preserve"> Complexity 2.07 + Autonomy 0.99 + Accountability 0.45 + Leadership 0.18 + Experience 0.55 + Business impact 0.32
= 4.55 points → nearest level 5 = B2
</t>
          </r>
          <r>
            <rPr>
              <rFont val="Calibri"/>
              <b val="1"/>
              <sz val="10"/>
            </rPr>
            <t>Final level:</t>
          </r>
          <r>
            <rPr>
              <rFont val="Calibri"/>
              <sz val="10"/>
            </rPr>
            <t xml:space="preserve"> B2 · same as the score</t>
          </r>
        </is>
      </c>
      <c r="AV25" s="130" t="inlineStr">
        <is>
          <r>
            <rPr>
              <rFont val="Calibri"/>
              <sz val="10"/>
            </rPr>
            <t xml:space="preserve">•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B2.</t>
          </r>
        </is>
      </c>
      <c r="AW25"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Interprets regulatory law changes, specifies software changes to developers, tests output, liaises with GSTIN → moved down 0.5
</t>
          </r>
          <r>
            <rPr>
              <rFont val="Calibri"/>
              <b val="1"/>
              <sz val="10"/>
            </rPr>
            <t>Market:</t>
          </r>
          <r>
            <rPr>
              <rFont val="Calibri"/>
              <sz val="10"/>
            </rPr>
            <t xml:space="preserve"> B1 = Domain specialist work · B2 = Hardest problems in the domain</t>
          </r>
        </is>
      </c>
      <c r="AX25"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Only stated independent decision is attending knowledge webinars → moved down 0.5
</t>
          </r>
          <r>
            <rPr>
              <rFont val="Calibri"/>
              <b val="1"/>
              <sz val="10"/>
            </rPr>
            <t>Market:</t>
          </r>
          <r>
            <rPr>
              <rFont val="Calibri"/>
              <sz val="10"/>
            </rPr>
            <t xml:space="preserve"> B1 = Technical / QC / client calls for the domain · B2 = Allocates people and sets team priorities</t>
          </r>
        </is>
      </c>
      <c r="AY25"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A wrong reading of the law leads to compliance problems for users → moved down 0.5
</t>
          </r>
          <r>
            <rPr>
              <rFont val="Calibri"/>
              <b val="1"/>
              <sz val="10"/>
            </rPr>
            <t>Market:</t>
          </r>
          <r>
            <rPr>
              <rFont val="Calibri"/>
              <sz val="10"/>
            </rPr>
            <t xml:space="preserve"> B1 = A domain or a small team · B2 = One team or a client portfolio</t>
          </r>
        </is>
      </c>
      <c r="AZ25" s="132" t="inlineStr">
        <is>
          <r>
            <rPr>
              <rFont val="Calibri"/>
              <sz val="10"/>
            </rPr>
            <t xml:space="preserve">Rated 3.5 of 12 · between A3 and B1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Communicates with developers;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A3 = Not scored in Band A · B1 = IC: mentors and reviews · People: hands-on team lead of 3–5</t>
          </r>
        </is>
      </c>
      <c r="BA25" s="132" t="inlineStr">
        <is>
          <r>
            <rPr>
              <rFont val="Calibri"/>
              <sz val="10"/>
            </rPr>
            <t xml:space="preserve">Rated 5.5 of 12 · between B2 and B3
</t>
          </r>
          <r>
            <rPr>
              <rFont val="Calibri"/>
              <b val="1"/>
              <sz val="10"/>
            </rPr>
            <t>Experience:</t>
          </r>
          <r>
            <rPr>
              <rFont val="Calibri"/>
              <sz val="10"/>
            </rPr>
            <t xml:space="preserve"> not on record · input needed from HR, so set at the role's own level: it neither helps nor hurts
</t>
          </r>
          <r>
            <rPr>
              <rFont val="Calibri"/>
              <b val="1"/>
              <sz val="10"/>
            </rPr>
            <t>Qualification:</t>
          </r>
          <r>
            <rPr>
              <rFont val="Calibri"/>
              <sz val="10"/>
            </rPr>
            <t xml:space="preserve"> CA · professional, relevant to the work → +1.0
</t>
          </r>
          <r>
            <rPr>
              <rFont val="Calibri"/>
              <b val="1"/>
              <sz val="10"/>
            </rPr>
            <t>Market:</t>
          </r>
          <r>
            <rPr>
              <rFont val="Calibri"/>
              <sz val="10"/>
            </rPr>
            <t xml:space="preserve"> B2 roles typically have 6–10 yrs · IRIS guide 6–9</t>
          </r>
        </is>
      </c>
      <c r="BB25" s="132"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25" s="148" t="inlineStr">
        <is>
          <t>• Total experience · outside + at IRIS — HR — HRIS
• Confirm prior experience · provisional placement — HR</t>
        </is>
      </c>
      <c r="BD25" s="134" t="inlineStr">
        <is>
          <t>✗ HRIS: experience missing, CA, 0 direct reports
✓ Survey: 20 of 20 questions answered
✗ KRAs: none on file
✓ Manager mapping: rating, 9-box
✗ Job description: not on file</t>
        </is>
      </c>
      <c r="BE25" s="134" t="inlineStr">
        <is>
          <r>
            <rPr>
              <rFont val="Calibri"/>
              <b val="1"/>
              <sz val="10"/>
            </rPr>
            <t>Market level:</t>
          </r>
          <r>
            <rPr>
              <rFont val="Calibri"/>
              <sz val="10"/>
            </rPr>
            <t xml:space="preserve"> P4 / M3 · SFIA 4–5
</t>
          </r>
          <r>
            <rPr>
              <rFont val="Calibri"/>
              <b val="1"/>
              <sz val="10"/>
            </rPr>
            <t>Typical title:</t>
          </r>
          <r>
            <rPr>
              <rFont val="Calibri"/>
              <sz val="10"/>
            </rPr>
            <t xml:space="preserve"> Senior Product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BF25" s="134" t="inlineStr">
        <is>
          <t>Low</t>
        </is>
      </c>
      <c r="BG25" s="134" t="inlineStr">
        <is>
          <t>• Total experience is not on record · new joiner — level is provisional until HR adds it</t>
        </is>
      </c>
      <c r="BH25" s="134" t="inlineStr"/>
      <c r="BI25" s="135" t="n"/>
      <c r="BJ25" s="136" t="n"/>
      <c r="BK25" s="136" t="n"/>
      <c r="BL25" s="136" t="n"/>
      <c r="BM25" s="136" t="n"/>
      <c r="BN25" s="137" t="n"/>
      <c r="BO25" s="120" t="n"/>
      <c r="BP25" s="120" t="n"/>
      <c r="BQ25" s="120" t="n"/>
      <c r="BR25" s="120" t="n"/>
      <c r="BS25" s="120" t="n"/>
      <c r="BT25" s="120" t="n"/>
      <c r="BU25" s="120" t="n"/>
      <c r="BV25" s="120" t="n">
        <v>4.5</v>
      </c>
    </row>
    <row r="26" ht="340" customHeight="1">
      <c r="A26" s="109" t="inlineStr">
        <is>
          <t>IRISDT0024</t>
        </is>
      </c>
      <c r="B26" s="110" t="inlineStr">
        <is>
          <t>Ayushi Maurya</t>
        </is>
      </c>
      <c r="C26" s="111" t="inlineStr">
        <is>
          <t>Product Management</t>
        </is>
      </c>
      <c r="D26" s="111" t="inlineStr">
        <is>
          <t>Nilesh Majumdar</t>
        </is>
      </c>
      <c r="E26" s="149" t="inlineStr">
        <is>
          <t>Not provided · HRIS</t>
        </is>
      </c>
      <c r="F26" s="112" t="n">
        <v>0.1</v>
      </c>
      <c r="G26" s="111" t="inlineStr">
        <is>
          <t>M.Tech</t>
        </is>
      </c>
      <c r="H26" s="113" t="inlineStr">
        <is>
          <t>Product Manager</t>
        </is>
      </c>
      <c r="I26" s="114" t="inlineStr">
        <is>
          <t>Associate Product Manager</t>
        </is>
      </c>
      <c r="J26" s="115" t="inlineStr">
        <is>
          <t>Product Management</t>
        </is>
      </c>
      <c r="K26" s="115" t="inlineStr">
        <is>
          <t>Product Management</t>
        </is>
      </c>
      <c r="L26" s="114" t="inlineStr">
        <is>
          <t>Not in current mapping files</t>
        </is>
      </c>
      <c r="M26" s="138" t="inlineStr">
        <is>
          <t>B1</t>
        </is>
      </c>
      <c r="N26" s="18" t="inlineStr">
        <is>
          <t>Specialist</t>
        </is>
      </c>
      <c r="O26" s="20" t="inlineStr">
        <is>
          <t>B</t>
        </is>
      </c>
      <c r="P26" s="115" t="inlineStr">
        <is>
          <t>IC</t>
        </is>
      </c>
      <c r="Q26" s="143" t="inlineStr">
        <is>
          <t>● Newly mapped</t>
        </is>
      </c>
      <c r="R26" s="118" t="inlineStr">
        <is>
          <r>
            <rPr>
              <rFont val="Calibri"/>
              <b val="1"/>
              <sz val="10"/>
            </rPr>
            <t>WHAT THE ROLE DOES:</t>
          </r>
          <r>
            <rPr>
              <rFont val="Calibri"/>
              <sz val="10"/>
            </rPr>
            <t xml:space="preserve"> Owns product vision, roadmap, requirements · PRDs, prioritisation and adoption. At B1: a domain / module, or a small team.
</t>
          </r>
          <r>
            <rPr>
              <rFont val="Calibri"/>
              <b val="1"/>
              <sz val="10"/>
            </rPr>
            <t>Common themes in role-holders' answers:</t>
          </r>
          <r>
            <rPr>
              <rFont val="Calibri"/>
              <sz val="10"/>
            </rPr>
            <t xml:space="preserve"> product · management · customers · roadmap · shape · stakeholder
</t>
          </r>
          <r>
            <rPr>
              <rFont val="Calibri"/>
              <b val="1"/>
              <sz val="10"/>
            </rPr>
            <t>KEY RESPONSIBILITIES:</t>
          </r>
          <r>
            <rPr>
              <rFont val="Calibri"/>
              <sz val="10"/>
            </rPr>
            <t xml:space="preserve"> Owns product vision, roadmap, requirements · PRDs, prioritisation and adoption; Domain specialist work; A domain or a small team
</t>
          </r>
          <r>
            <rPr>
              <rFont val="Calibri"/>
              <b val="1"/>
              <sz val="10"/>
            </rPr>
            <t>Common themes in role-holders' answers:</t>
          </r>
          <r>
            <rPr>
              <rFont val="Calibri"/>
              <sz val="10"/>
            </rPr>
            <t xml:space="preserve"> research · demos · product · management · customer · analysis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product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Product Management · Project management · Product sense · Market research · CA + CE
</t>
          </r>
          <r>
            <rPr>
              <rFont val="Calibri"/>
              <b val="1"/>
              <sz val="10"/>
            </rPr>
            <t>TOOLS &amp; SYSTEMS:</t>
          </r>
          <r>
            <rPr>
              <rFont val="Calibri"/>
              <sz val="10"/>
            </rPr>
            <t xml:space="preserve"> Claude · Mixpanel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role-holders' themes · 3+ answered — 5 holders, 5 answered the survey; sub-family 13 answered; catalogue RC-125</t>
          </r>
        </is>
      </c>
      <c r="S26"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t>
          </r>
          <r>
            <rPr>
              <rFont val="Calibri"/>
              <b val="1"/>
              <sz val="10"/>
            </rPr>
            <t>If the work is missed · role-holders' themes:</t>
          </r>
          <r>
            <rPr>
              <rFont val="Calibri"/>
              <sz val="10"/>
            </rPr>
            <t xml:space="preserve"> delayed · roadmap · customer.
Manager talent mapping — Latest rating: Not rated · manager · 9-Box Grid placement: Not placed · manager.</t>
          </r>
        </is>
      </c>
      <c r="T26" s="120" t="n"/>
      <c r="U26" s="121" t="inlineStr">
        <is>
          <r>
            <rPr>
              <rFont val="Calibri"/>
              <sz val="10"/>
            </rPr>
            <t xml:space="preserve">Associate Product Manager in Product Management · Datatech, B1 — IC.
</t>
          </r>
          <r>
            <rPr>
              <rFont val="Calibri"/>
              <b val="1"/>
              <sz val="10"/>
            </rPr>
            <t>The work:</t>
          </r>
          <r>
            <rPr>
              <rFont val="Calibri"/>
              <sz val="10"/>
            </rPr>
            <t xml:space="preserve"> Owns product vision, roadmap, requirements · PRDs, prioritisation and adoption.
At this level the role owns a domain / module, or a small team.
</t>
          </r>
          <r>
            <rPr>
              <rFont val="Calibri"/>
              <b val="1"/>
              <sz val="10"/>
            </rPr>
            <t>Key responsibilities:</t>
          </r>
          <r>
            <rPr>
              <rFont val="Calibri"/>
              <sz val="10"/>
            </rPr>
            <t xml:space="preserve"> Owns product vision, roadmap, requirements · PRDs, prioritisation and adoption; Domain specialist work; A domain or a small team.
</t>
          </r>
          <r>
            <rPr>
              <rFont val="Calibri"/>
              <b val="1"/>
              <sz val="10"/>
            </rPr>
            <t>Holders describe it with:</t>
          </r>
          <r>
            <rPr>
              <rFont val="Calibri"/>
              <sz val="10"/>
            </rPr>
            <t xml:space="preserve"> research · demos · product · management · customer · analysis.</t>
          </r>
        </is>
      </c>
      <c r="V26" s="122" t="inlineStr">
        <is>
          <r>
            <rPr>
              <rFont val="Calibri"/>
              <b val="1"/>
              <sz val="10"/>
            </rPr>
            <t>Hire as:</t>
          </r>
          <r>
            <rPr>
              <rFont val="Calibri"/>
              <sz val="10"/>
            </rPr>
            <t xml:space="preserve"> Product Manager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 PGDM preferred
</t>
          </r>
          <r>
            <rPr>
              <rFont val="Calibri"/>
              <b val="1"/>
              <sz val="10"/>
            </rPr>
            <t>Equivalent titles at peers:</t>
          </r>
          <r>
            <rPr>
              <rFont val="Calibri"/>
              <sz val="10"/>
            </rPr>
            <t xml:space="preserve"> IRIS Vs Competitor Benchmark — SaaS product ladder – Product Manager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26" s="122" t="inlineStr">
        <is>
          <r>
            <rPr>
              <rFont val="Calibri"/>
              <sz val="10"/>
            </rPr>
            <t xml:space="preserve">FUNCTIONAL — skill level 3 of 5 · Practitioner
 ★ Product, Platform &amp; Domain Knowledge: Handles most product and domain scenarios
 ★ Business Analysis &amp; Requirements Engineering: Writes BRD / FSD / user stories and validates them
 •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Product Management · Project management · Product sense · Market research · CA + CE
</t>
          </r>
          <r>
            <rPr>
              <rFont val="Calibri"/>
              <b val="1"/>
              <sz val="10"/>
            </rPr>
            <t>TOOLS:</t>
          </r>
          <r>
            <rPr>
              <rFont val="Calibri"/>
              <sz val="10"/>
            </rPr>
            <t xml:space="preserve"> Claude · Mixpanel
★ = must-have for the family. Scale: 1 Awareness · 2 Working · 3 Practitioner · 4 Advanced · 5 Expert.</t>
          </r>
        </is>
      </c>
      <c r="X26"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6" s="123" t="inlineStr">
        <is>
          <t>Datatech · Product Management · Band B · Expert / POD Lead</t>
        </is>
      </c>
      <c r="Z26" s="124" t="n">
        <v>4</v>
      </c>
      <c r="AA26" s="125">
        <f>IFERROR(INDEX(WM_C,MATCH($Y26,WM_KEY,0)),"")</f>
        <v>0.46</v>
      </c>
      <c r="AB26" s="126">
        <f>IF(Z26="","",Z26*AA26)</f>
        <v>1.84</v>
      </c>
      <c r="AC26" s="124" t="n">
        <v>4</v>
      </c>
      <c r="AD26" s="125">
        <f>IFERROR(INDEX(WM_AU,MATCH($Y26,WM_KEY,0)),"")</f>
        <v>0.22</v>
      </c>
      <c r="AE26" s="126">
        <f>IF(AC26="","",AC26*AD26)</f>
        <v>0.88</v>
      </c>
      <c r="AF26" s="124" t="n">
        <v>4</v>
      </c>
      <c r="AG26" s="125">
        <f>IFERROR(INDEX(WM_AC,MATCH($Y26,WM_KEY,0)),"")</f>
        <v>0.1</v>
      </c>
      <c r="AH26" s="126">
        <f>IF(AF26="","",AF26*AG26)</f>
        <v>0.4</v>
      </c>
      <c r="AI26" s="124" t="n">
        <v>3</v>
      </c>
      <c r="AJ26" s="125">
        <f>IFERROR(INDEX(WM_L,MATCH($Y26,WM_KEY,0)),"")</f>
        <v>0.05</v>
      </c>
      <c r="AK26" s="126">
        <f>IF(AI26="","",AI26*AJ26)</f>
        <v>0.15</v>
      </c>
      <c r="AL26" s="124" t="n">
        <v>4.5</v>
      </c>
      <c r="AM26" s="125">
        <f>IFERROR(INDEX(WM_E,MATCH($Y26,WM_KEY,0)),"")</f>
        <v>0.1</v>
      </c>
      <c r="AN26" s="126">
        <f>IF(AL26="","",AL26*AM26)</f>
        <v>0.45</v>
      </c>
      <c r="AO26" s="127" t="n">
        <v>4</v>
      </c>
      <c r="AP26" s="125">
        <f>IFERROR(INDEX(WM_BI,MATCH($Y26,WM_KEY,0)),"")</f>
        <v>0.07</v>
      </c>
      <c r="AQ26" s="126">
        <f>IF(AO26="","",AO26*AP26)</f>
        <v>0.28</v>
      </c>
      <c r="AR26" s="126">
        <f>IF(COUNT(AB26,AE26,AH26,AK26,AN26,AQ26)&lt;6,"",SUM(AB26,AE26,AH26,AK26,AN26,AQ26))</f>
        <v>4</v>
      </c>
      <c r="AS26" s="128" t="str">
        <f>IF(AR26="","",INDEX({"A1","A2","A3","B1","B2","B3","C1","C2","D1","D2","E1","E2"},MAX(1,MIN(12,ROUND(AR26,0)))))</f>
        <v>B1</v>
      </c>
      <c r="AT26" s="129" t="inlineStr">
        <is>
          <r>
            <rPr>
              <rFont val="Calibri"/>
              <b val="1"/>
              <sz val="10"/>
            </rPr>
            <t>Weights:</t>
          </r>
          <r>
            <rPr>
              <rFont val="Calibri"/>
              <sz val="10"/>
            </rPr>
            <t xml:space="preserve"> Complexity 46% · Autonomy 22%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t>
          </r>
        </is>
      </c>
      <c r="AU26" s="130" t="inlineStr">
        <is>
          <r>
            <rPr>
              <rFont val="Calibri"/>
              <b val="1"/>
              <sz val="10"/>
            </rPr>
            <t>At build:</t>
          </r>
          <r>
            <rPr>
              <rFont val="Calibri"/>
              <sz val="10"/>
            </rPr>
            <t xml:space="preserve"> Complexity 1.84 + Autonomy 0.88 + Accountability 0.40 + Leadership 0.15 + Experience 0.45 + Business impact 0.28
= 4.00 points → nearest level 4 = B1
</t>
          </r>
          <r>
            <rPr>
              <rFont val="Calibri"/>
              <b val="1"/>
              <sz val="10"/>
            </rPr>
            <t>Final level:</t>
          </r>
          <r>
            <rPr>
              <rFont val="Calibri"/>
              <sz val="10"/>
            </rPr>
            <t xml:space="preserve"> B1 · same as the score</t>
          </r>
        </is>
      </c>
      <c r="AV26" s="130" t="inlineStr">
        <is>
          <r>
            <rPr>
              <rFont val="Calibri"/>
              <sz val="10"/>
            </rPr>
            <t xml:space="preserve">•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B1.</t>
          </r>
        </is>
      </c>
      <c r="AW26" s="131"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Primary and secondary research on new sectors, app engagement analysis, communication planning, sprint management → moved down 1
</t>
          </r>
          <r>
            <rPr>
              <rFont val="Calibri"/>
              <b val="1"/>
              <sz val="10"/>
            </rPr>
            <t>Market:</t>
          </r>
          <r>
            <rPr>
              <rFont val="Calibri"/>
              <sz val="10"/>
            </rPr>
            <t xml:space="preserve"> B1 = Domain specialist work</t>
          </r>
        </is>
      </c>
      <c r="AX26" s="132"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Only stated independent decision is communication experiments → moved down 1
</t>
          </r>
          <r>
            <rPr>
              <rFont val="Calibri"/>
              <b val="1"/>
              <sz val="10"/>
            </rPr>
            <t>Market:</t>
          </r>
          <r>
            <rPr>
              <rFont val="Calibri"/>
              <sz val="10"/>
            </rPr>
            <t xml:space="preserve"> B1 = Technical / QC / client calls for the domain</t>
          </r>
        </is>
      </c>
      <c r="AY26" s="132"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Accountable for app engagement and identifying the field for a new product launch → moved down 1
</t>
          </r>
          <r>
            <rPr>
              <rFont val="Calibri"/>
              <b val="1"/>
              <sz val="10"/>
            </rPr>
            <t>Market:</t>
          </r>
          <r>
            <rPr>
              <rFont val="Calibri"/>
              <sz val="10"/>
            </rPr>
            <t xml:space="preserve"> B1 = A domain or a small team</t>
          </r>
        </is>
      </c>
      <c r="AZ26" s="132" t="inlineStr">
        <is>
          <r>
            <rPr>
              <rFont val="Calibri"/>
              <sz val="10"/>
            </rPr>
            <t xml:space="preserve">Rated 3 of 12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No guidance or leadership of others described → moved down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26" s="132" t="inlineStr">
        <is>
          <r>
            <rPr>
              <rFont val="Calibri"/>
              <sz val="10"/>
            </rPr>
            <t xml:space="preserve">Rated 4.5 of 12 · between B1 and B2
</t>
          </r>
          <r>
            <rPr>
              <rFont val="Calibri"/>
              <b val="1"/>
              <sz val="10"/>
            </rPr>
            <t>Experience:</t>
          </r>
          <r>
            <rPr>
              <rFont val="Calibri"/>
              <sz val="10"/>
            </rPr>
            <t xml:space="preserve"> not on record · input needed from HR, so set at the role's own level: it neither helps nor hurts
</t>
          </r>
          <r>
            <rPr>
              <rFont val="Calibri"/>
              <b val="1"/>
              <sz val="10"/>
            </rPr>
            <t>Qualification:</t>
          </r>
          <r>
            <rPr>
              <rFont val="Calibri"/>
              <sz val="10"/>
            </rPr>
            <t xml:space="preserve"> M.Tech · postgraduate, relevant to the work → +0.5
</t>
          </r>
          <r>
            <rPr>
              <rFont val="Calibri"/>
              <b val="1"/>
              <sz val="10"/>
            </rPr>
            <t>Market:</t>
          </r>
          <r>
            <rPr>
              <rFont val="Calibri"/>
              <sz val="10"/>
            </rPr>
            <t xml:space="preserve"> B1 roles typically have 4–8 yrs · IRIS guide 4–7</t>
          </r>
        </is>
      </c>
      <c r="BB26"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26" s="148" t="inlineStr">
        <is>
          <t>• Total experience · outside + at IRIS — HR — HRIS
• Confirm prior experience · provisional placement — HR</t>
        </is>
      </c>
      <c r="BD26" s="134" t="inlineStr">
        <is>
          <t>✗ HRIS: experience missing, M.Tech, 0 direct reports
✓ Survey: 20 of 20 questions answered
✗ KRAs: none on file
✓ Manager mapping: rating, 9-box
✗ Job description: not on file</t>
        </is>
      </c>
      <c r="BE26" s="134" t="inlineStr">
        <is>
          <r>
            <rPr>
              <rFont val="Calibri"/>
              <b val="1"/>
              <sz val="10"/>
            </rPr>
            <t>Market level:</t>
          </r>
          <r>
            <rPr>
              <rFont val="Calibri"/>
              <sz val="10"/>
            </rPr>
            <t xml:space="preserve"> P3 / M2 · SFIA 4 Enable
</t>
          </r>
          <r>
            <rPr>
              <rFont val="Calibri"/>
              <b val="1"/>
              <sz val="10"/>
            </rPr>
            <t>Typical title:</t>
          </r>
          <r>
            <rPr>
              <rFont val="Calibri"/>
              <sz val="10"/>
            </rPr>
            <t xml:space="preserve"> Product Manager
</t>
          </r>
          <r>
            <rPr>
              <rFont val="Calibri"/>
              <b val="1"/>
              <sz val="10"/>
            </rPr>
            <t>At peers:</t>
          </r>
          <r>
            <rPr>
              <rFont val="Calibri"/>
              <sz val="10"/>
            </rPr>
            <t xml:space="preserve"> IRIS Vs Competitor Benchmark — SaaS product ladder: Product Manager
</t>
          </r>
          <r>
            <rPr>
              <rFont val="Calibri"/>
              <b val="1"/>
              <sz val="10"/>
            </rPr>
            <t>Typical experience:</t>
          </r>
          <r>
            <rPr>
              <rFont val="Calibri"/>
              <sz val="10"/>
            </rPr>
            <t xml:space="preserve"> 4–8 yrs · IRIS guide 4–7
</t>
          </r>
          <r>
            <rPr>
              <rFont val="Calibri"/>
              <b val="1"/>
              <sz val="10"/>
            </rPr>
            <t>Standard:</t>
          </r>
          <r>
            <rPr>
              <rFont val="Calibri"/>
              <sz val="10"/>
            </rPr>
            <t xml:space="preserve"> Pragmatic Institute Framework; AIPMM</t>
          </r>
        </is>
      </c>
      <c r="BF26" s="134" t="inlineStr">
        <is>
          <t>Low</t>
        </is>
      </c>
      <c r="BG26" s="134" t="inlineStr">
        <is>
          <t>• Total experience is not on record · new joiner — level is provisional until HR adds it</t>
        </is>
      </c>
      <c r="BH26" s="134" t="inlineStr"/>
      <c r="BI26" s="135" t="n"/>
      <c r="BJ26" s="136" t="n"/>
      <c r="BK26" s="136" t="n"/>
      <c r="BL26" s="136" t="n"/>
      <c r="BM26" s="136" t="n"/>
      <c r="BN26" s="137" t="n"/>
      <c r="BO26" s="120" t="n"/>
      <c r="BP26" s="120" t="n"/>
      <c r="BQ26" s="120" t="n"/>
      <c r="BR26" s="120" t="n"/>
      <c r="BS26" s="120" t="n"/>
      <c r="BT26" s="120" t="n"/>
      <c r="BU26" s="120" t="n"/>
      <c r="BV26" s="120" t="n">
        <v>4</v>
      </c>
    </row>
    <row r="27" ht="340" customHeight="1">
      <c r="A27" s="109" t="inlineStr">
        <is>
          <t>IRISDT0021</t>
        </is>
      </c>
      <c r="B27" s="110" t="inlineStr">
        <is>
          <t>Gaurav Bansal</t>
        </is>
      </c>
      <c r="C27" s="111" t="inlineStr">
        <is>
          <t>Product Management</t>
        </is>
      </c>
      <c r="D27" s="111" t="inlineStr">
        <is>
          <t>Nilesh Majumdar</t>
        </is>
      </c>
      <c r="E27" s="112" t="n">
        <v>2.4</v>
      </c>
      <c r="F27" s="112" t="n">
        <v>0.2</v>
      </c>
      <c r="G27" s="111" t="inlineStr">
        <is>
          <t>B.Tech</t>
        </is>
      </c>
      <c r="H27" s="113" t="inlineStr">
        <is>
          <t>Product Manager</t>
        </is>
      </c>
      <c r="I27" s="114" t="inlineStr">
        <is>
          <t>Associate Product Manager</t>
        </is>
      </c>
      <c r="J27" s="115" t="inlineStr">
        <is>
          <t>Product Management</t>
        </is>
      </c>
      <c r="K27" s="115" t="inlineStr">
        <is>
          <t>Product Management</t>
        </is>
      </c>
      <c r="L27" s="114" t="inlineStr">
        <is>
          <t>Not in current mapping files</t>
        </is>
      </c>
      <c r="M27" s="138" t="inlineStr">
        <is>
          <t>B1</t>
        </is>
      </c>
      <c r="N27" s="18" t="inlineStr">
        <is>
          <t>Specialist</t>
        </is>
      </c>
      <c r="O27" s="20" t="inlineStr">
        <is>
          <t>B</t>
        </is>
      </c>
      <c r="P27" s="115" t="inlineStr">
        <is>
          <t>IC</t>
        </is>
      </c>
      <c r="Q27" s="143" t="inlineStr">
        <is>
          <t>● Newly mapped</t>
        </is>
      </c>
      <c r="R27" s="118" t="inlineStr">
        <is>
          <r>
            <rPr>
              <rFont val="Calibri"/>
              <b val="1"/>
              <sz val="10"/>
            </rPr>
            <t>WHAT THE ROLE DOES:</t>
          </r>
          <r>
            <rPr>
              <rFont val="Calibri"/>
              <sz val="10"/>
            </rPr>
            <t xml:space="preserve"> Owns product vision, roadmap, requirements · PRDs, prioritisation and adoption. At B1: a domain / module, or a small team.
</t>
          </r>
          <r>
            <rPr>
              <rFont val="Calibri"/>
              <b val="1"/>
              <sz val="10"/>
            </rPr>
            <t>Common themes in role-holders' answers:</t>
          </r>
          <r>
            <rPr>
              <rFont val="Calibri"/>
              <sz val="10"/>
            </rPr>
            <t xml:space="preserve"> product · management · customers · roadmap · shape · stakeholder
</t>
          </r>
          <r>
            <rPr>
              <rFont val="Calibri"/>
              <b val="1"/>
              <sz val="10"/>
            </rPr>
            <t>KEY RESPONSIBILITIES:</t>
          </r>
          <r>
            <rPr>
              <rFont val="Calibri"/>
              <sz val="10"/>
            </rPr>
            <t xml:space="preserve"> Owns product vision, roadmap, requirements · PRDs, prioritisation and adoption; Domain specialist work; A domain or a small team
</t>
          </r>
          <r>
            <rPr>
              <rFont val="Calibri"/>
              <b val="1"/>
              <sz val="10"/>
            </rPr>
            <t>Common themes in role-holders' answers:</t>
          </r>
          <r>
            <rPr>
              <rFont val="Calibri"/>
              <sz val="10"/>
            </rPr>
            <t xml:space="preserve"> research · demos · product · management · customer · analysis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product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Product Management · Project management · Product sense · Market research · CA + CE
</t>
          </r>
          <r>
            <rPr>
              <rFont val="Calibri"/>
              <b val="1"/>
              <sz val="10"/>
            </rPr>
            <t>TOOLS &amp; SYSTEMS:</t>
          </r>
          <r>
            <rPr>
              <rFont val="Calibri"/>
              <sz val="10"/>
            </rPr>
            <t xml:space="preserve"> Claude · Mixpanel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role-holders' themes · 3+ answered — 5 holders, 5 answered the survey; sub-family 13 answered; catalogue RC-125</t>
          </r>
        </is>
      </c>
      <c r="S27"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t>
          </r>
          <r>
            <rPr>
              <rFont val="Calibri"/>
              <b val="1"/>
              <sz val="10"/>
            </rPr>
            <t>If the work is missed · role-holders' themes:</t>
          </r>
          <r>
            <rPr>
              <rFont val="Calibri"/>
              <sz val="10"/>
            </rPr>
            <t xml:space="preserve"> delayed · roadmap · customer.
Manager talent mapping — Latest rating: Not rated · manager · 9-Box Grid placement: Not placed · manager.</t>
          </r>
        </is>
      </c>
      <c r="T27" s="120" t="n"/>
      <c r="U27" s="121" t="inlineStr">
        <is>
          <r>
            <rPr>
              <rFont val="Calibri"/>
              <sz val="10"/>
            </rPr>
            <t xml:space="preserve">Associate Product Manager in Product Management · Datatech, B1 — IC.
</t>
          </r>
          <r>
            <rPr>
              <rFont val="Calibri"/>
              <b val="1"/>
              <sz val="10"/>
            </rPr>
            <t>The work:</t>
          </r>
          <r>
            <rPr>
              <rFont val="Calibri"/>
              <sz val="10"/>
            </rPr>
            <t xml:space="preserve"> Owns product vision, roadmap, requirements · PRDs, prioritisation and adoption.
At this level the role owns a domain / module, or a small team.
</t>
          </r>
          <r>
            <rPr>
              <rFont val="Calibri"/>
              <b val="1"/>
              <sz val="10"/>
            </rPr>
            <t>Key responsibilities:</t>
          </r>
          <r>
            <rPr>
              <rFont val="Calibri"/>
              <sz val="10"/>
            </rPr>
            <t xml:space="preserve"> Owns product vision, roadmap, requirements · PRDs, prioritisation and adoption; Domain specialist work; A domain or a small team.
</t>
          </r>
          <r>
            <rPr>
              <rFont val="Calibri"/>
              <b val="1"/>
              <sz val="10"/>
            </rPr>
            <t>Holders describe it with:</t>
          </r>
          <r>
            <rPr>
              <rFont val="Calibri"/>
              <sz val="10"/>
            </rPr>
            <t xml:space="preserve"> research · demos · product · management · customer · analysis.</t>
          </r>
        </is>
      </c>
      <c r="V27" s="122" t="inlineStr">
        <is>
          <r>
            <rPr>
              <rFont val="Calibri"/>
              <b val="1"/>
              <sz val="10"/>
            </rPr>
            <t>Hire as:</t>
          </r>
          <r>
            <rPr>
              <rFont val="Calibri"/>
              <sz val="10"/>
            </rPr>
            <t xml:space="preserve"> Product Manager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 PGDM preferred
</t>
          </r>
          <r>
            <rPr>
              <rFont val="Calibri"/>
              <b val="1"/>
              <sz val="10"/>
            </rPr>
            <t>Equivalent titles at peers:</t>
          </r>
          <r>
            <rPr>
              <rFont val="Calibri"/>
              <sz val="10"/>
            </rPr>
            <t xml:space="preserve"> IRIS Vs Competitor Benchmark — SaaS product ladder – Product Manager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27" s="122" t="inlineStr">
        <is>
          <r>
            <rPr>
              <rFont val="Calibri"/>
              <sz val="10"/>
            </rPr>
            <t xml:space="preserve">FUNCTIONAL — skill level 3 of 5 · Practitioner
 ★ Product, Platform &amp; Domain Knowledge: Handles most product and domain scenarios
 ★ Business Analysis &amp; Requirements Engineering: Writes BRD / FSD / user stories and validates them
 •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Product Management · Project management · Product sense · Market research · CA + CE
</t>
          </r>
          <r>
            <rPr>
              <rFont val="Calibri"/>
              <b val="1"/>
              <sz val="10"/>
            </rPr>
            <t>TOOLS:</t>
          </r>
          <r>
            <rPr>
              <rFont val="Calibri"/>
              <sz val="10"/>
            </rPr>
            <t xml:space="preserve"> Claude · Mixpanel
★ = must-have for the family. Scale: 1 Awareness · 2 Working · 3 Practitioner · 4 Advanced · 5 Expert.</t>
          </r>
        </is>
      </c>
      <c r="X27"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7" s="123" t="inlineStr">
        <is>
          <t>Datatech · Product Management · Band B · Expert / POD Lead</t>
        </is>
      </c>
      <c r="Z27" s="124" t="n">
        <v>4.5</v>
      </c>
      <c r="AA27" s="125">
        <f>IFERROR(INDEX(WM_C,MATCH($Y27,WM_KEY,0)),"")</f>
        <v>0.46</v>
      </c>
      <c r="AB27" s="126">
        <f>IF(Z27="","",Z27*AA27)</f>
        <v>2.07</v>
      </c>
      <c r="AC27" s="124" t="n">
        <v>4.5</v>
      </c>
      <c r="AD27" s="125">
        <f>IFERROR(INDEX(WM_AU,MATCH($Y27,WM_KEY,0)),"")</f>
        <v>0.22</v>
      </c>
      <c r="AE27" s="126">
        <f>IF(AC27="","",AC27*AD27)</f>
        <v>0.99</v>
      </c>
      <c r="AF27" s="124" t="n">
        <v>4.5</v>
      </c>
      <c r="AG27" s="125">
        <f>IFERROR(INDEX(WM_AC,MATCH($Y27,WM_KEY,0)),"")</f>
        <v>0.1</v>
      </c>
      <c r="AH27" s="126">
        <f>IF(AF27="","",AF27*AG27)</f>
        <v>0.45</v>
      </c>
      <c r="AI27" s="124" t="n">
        <v>3.5</v>
      </c>
      <c r="AJ27" s="125">
        <f>IFERROR(INDEX(WM_L,MATCH($Y27,WM_KEY,0)),"")</f>
        <v>0.05</v>
      </c>
      <c r="AK27" s="126">
        <f>IF(AI27="","",AI27*AJ27)</f>
        <v>0.175</v>
      </c>
      <c r="AL27" s="124" t="n">
        <v>2.5</v>
      </c>
      <c r="AM27" s="125">
        <f>IFERROR(INDEX(WM_E,MATCH($Y27,WM_KEY,0)),"")</f>
        <v>0.1</v>
      </c>
      <c r="AN27" s="126">
        <f>IF(AL27="","",AL27*AM27)</f>
        <v>0.25</v>
      </c>
      <c r="AO27" s="127" t="n">
        <v>4.5</v>
      </c>
      <c r="AP27" s="125">
        <f>IFERROR(INDEX(WM_BI,MATCH($Y27,WM_KEY,0)),"")</f>
        <v>0.07</v>
      </c>
      <c r="AQ27" s="126">
        <f>IF(AO27="","",AO27*AP27)</f>
        <v>0.315</v>
      </c>
      <c r="AR27" s="126">
        <f>IF(COUNT(AB27,AE27,AH27,AK27,AN27,AQ27)&lt;6,"",SUM(AB27,AE27,AH27,AK27,AN27,AQ27))</f>
        <v>4.25</v>
      </c>
      <c r="AS27" s="128" t="str">
        <f>IF(AR27="","",INDEX({"A1","A2","A3","B1","B2","B3","C1","C2","D1","D2","E1","E2"},MAX(1,MIN(12,ROUND(AR27,0)))))</f>
        <v>B1</v>
      </c>
      <c r="AT27" s="129" t="inlineStr">
        <is>
          <r>
            <rPr>
              <rFont val="Calibri"/>
              <b val="1"/>
              <sz val="10"/>
            </rPr>
            <t>Weights:</t>
          </r>
          <r>
            <rPr>
              <rFont val="Calibri"/>
              <sz val="10"/>
            </rPr>
            <t xml:space="preserve"> Complexity 46% · Autonomy 22%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t>
          </r>
        </is>
      </c>
      <c r="AU27" s="130" t="inlineStr">
        <is>
          <r>
            <rPr>
              <rFont val="Calibri"/>
              <b val="1"/>
              <sz val="10"/>
            </rPr>
            <t>At build:</t>
          </r>
          <r>
            <rPr>
              <rFont val="Calibri"/>
              <sz val="10"/>
            </rPr>
            <t xml:space="preserve"> Complexity 2.07 + Autonomy 0.99 + Accountability 0.45 + Leadership 0.18 + Experience 0.25 + Business impact 0.32
= 4.25 points → nearest level 4 = B1
</t>
          </r>
          <r>
            <rPr>
              <rFont val="Calibri"/>
              <b val="1"/>
              <sz val="10"/>
            </rPr>
            <t>Final level:</t>
          </r>
          <r>
            <rPr>
              <rFont val="Calibri"/>
              <sz val="10"/>
            </rPr>
            <t xml:space="preserve"> B1 · same as the score</t>
          </r>
        </is>
      </c>
      <c r="AV27" s="130" t="inlineStr">
        <is>
          <r>
            <rPr>
              <rFont val="Calibri"/>
              <b val="1"/>
              <sz val="10"/>
            </rPr>
            <t>No rule applied:</t>
          </r>
          <r>
            <rPr>
              <rFont val="Calibri"/>
              <sz val="10"/>
            </rPr>
            <t xml:space="preserve"> the score decides.</t>
          </r>
        </is>
      </c>
      <c r="AW27"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Product work for the SCF vertical: research, target audience, performance tracking, QA; few specifics → moved down 0.5
</t>
          </r>
          <r>
            <rPr>
              <rFont val="Calibri"/>
              <b val="1"/>
              <sz val="10"/>
            </rPr>
            <t>Market:</t>
          </r>
          <r>
            <rPr>
              <rFont val="Calibri"/>
              <sz val="10"/>
            </rPr>
            <t xml:space="preserve"> B1 = Domain specialist work · B2 = Hardest problems in the domain</t>
          </r>
        </is>
      </c>
      <c r="AX27"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Decides the target audience for the SCF product → moved down 0.5
</t>
          </r>
          <r>
            <rPr>
              <rFont val="Calibri"/>
              <b val="1"/>
              <sz val="10"/>
            </rPr>
            <t>Market:</t>
          </r>
          <r>
            <rPr>
              <rFont val="Calibri"/>
              <sz val="10"/>
            </rPr>
            <t xml:space="preserve"> B1 = Technical / QC / client calls for the domain · B2 = Allocates people and sets team priorities</t>
          </r>
        </is>
      </c>
      <c r="AY27"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Owns the supply chain finance product and its monetisation → moved down 0.5
</t>
          </r>
          <r>
            <rPr>
              <rFont val="Calibri"/>
              <b val="1"/>
              <sz val="10"/>
            </rPr>
            <t>Market:</t>
          </r>
          <r>
            <rPr>
              <rFont val="Calibri"/>
              <sz val="10"/>
            </rPr>
            <t xml:space="preserve"> B1 = A domain or a small team · B2 = One team or a client portfolio</t>
          </r>
        </is>
      </c>
      <c r="AZ27" s="132" t="inlineStr">
        <is>
          <r>
            <rPr>
              <rFont val="Calibri"/>
              <sz val="10"/>
            </rPr>
            <t xml:space="preserve">Rated 3.5 of 12 · between A3 and B1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Coordinates with sales, operations, dev and design; no guidance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A3 = Not scored in Band A · B1 = IC: mentors and reviews · People: hands-on team lead of 3–5</t>
          </r>
        </is>
      </c>
      <c r="BA27" s="132" t="inlineStr">
        <is>
          <r>
            <rPr>
              <rFont val="Calibri"/>
              <sz val="10"/>
            </rPr>
            <t xml:space="preserve">Rated 2.5 of 12 · between A2 and A3
</t>
          </r>
          <r>
            <rPr>
              <rFont val="Calibri"/>
              <b val="1"/>
              <sz val="10"/>
            </rPr>
            <t>Experience:</t>
          </r>
          <r>
            <rPr>
              <rFont val="Calibri"/>
              <sz val="10"/>
            </rPr>
            <t xml:space="preserve"> 2.4 yrs total · 2.2 before IRIS + 0.2 at IRIS = 2.7 on the experience scale
</t>
          </r>
          <r>
            <rPr>
              <rFont val="Calibri"/>
              <b val="1"/>
              <sz val="10"/>
            </rPr>
            <t>Qualification:</t>
          </r>
          <r>
            <rPr>
              <rFont val="Calibri"/>
              <sz val="10"/>
            </rPr>
            <t xml:space="preserve"> B.Tech · graduate → no change
</t>
          </r>
          <r>
            <rPr>
              <rFont val="Calibri"/>
              <b val="1"/>
              <sz val="10"/>
            </rPr>
            <t>Market:</t>
          </r>
          <r>
            <rPr>
              <rFont val="Calibri"/>
              <sz val="10"/>
            </rPr>
            <t xml:space="preserve"> B1 roles typically have 4–8 yrs · IRIS guide 4–7</t>
          </r>
        </is>
      </c>
      <c r="BB27" s="132"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27" s="133" t="inlineStr"/>
      <c r="BD27" s="134" t="inlineStr">
        <is>
          <t>✓ HRIS: 2.4 yrs, B.Tech, 0 direct reports
✓ Survey: 20 of 20 questions answered
✗ KRAs: none on file
✓ Manager mapping: rating, 9-box
✗ Job description: not on file</t>
        </is>
      </c>
      <c r="BE27" s="134" t="inlineStr">
        <is>
          <r>
            <rPr>
              <rFont val="Calibri"/>
              <b val="1"/>
              <sz val="10"/>
            </rPr>
            <t>Market level:</t>
          </r>
          <r>
            <rPr>
              <rFont val="Calibri"/>
              <sz val="10"/>
            </rPr>
            <t xml:space="preserve"> P3 / M2 · SFIA 4 Enable
</t>
          </r>
          <r>
            <rPr>
              <rFont val="Calibri"/>
              <b val="1"/>
              <sz val="10"/>
            </rPr>
            <t>Typical title:</t>
          </r>
          <r>
            <rPr>
              <rFont val="Calibri"/>
              <sz val="10"/>
            </rPr>
            <t xml:space="preserve"> Product Manager
</t>
          </r>
          <r>
            <rPr>
              <rFont val="Calibri"/>
              <b val="1"/>
              <sz val="10"/>
            </rPr>
            <t>At peers:</t>
          </r>
          <r>
            <rPr>
              <rFont val="Calibri"/>
              <sz val="10"/>
            </rPr>
            <t xml:space="preserve"> IRIS Vs Competitor Benchmark — SaaS product ladder: Product Manager
</t>
          </r>
          <r>
            <rPr>
              <rFont val="Calibri"/>
              <b val="1"/>
              <sz val="10"/>
            </rPr>
            <t>Typical experience:</t>
          </r>
          <r>
            <rPr>
              <rFont val="Calibri"/>
              <sz val="10"/>
            </rPr>
            <t xml:space="preserve"> 4–8 yrs · IRIS guide 4–7
</t>
          </r>
          <r>
            <rPr>
              <rFont val="Calibri"/>
              <b val="1"/>
              <sz val="10"/>
            </rPr>
            <t>Standard:</t>
          </r>
          <r>
            <rPr>
              <rFont val="Calibri"/>
              <sz val="10"/>
            </rPr>
            <t xml:space="preserve"> Pragmatic Institute Framework; AIPMM</t>
          </r>
        </is>
      </c>
      <c r="BF27" s="134" t="inlineStr">
        <is>
          <t>Medium</t>
        </is>
      </c>
      <c r="BG27" s="134" t="inlineStr"/>
      <c r="BH27" s="134" t="inlineStr"/>
      <c r="BI27" s="135" t="n"/>
      <c r="BJ27" s="136" t="n"/>
      <c r="BK27" s="136" t="n"/>
      <c r="BL27" s="136" t="n"/>
      <c r="BM27" s="136" t="n"/>
      <c r="BN27" s="137" t="n"/>
      <c r="BO27" s="120" t="n"/>
      <c r="BP27" s="120" t="n"/>
      <c r="BQ27" s="120" t="n"/>
      <c r="BR27" s="120" t="n"/>
      <c r="BS27" s="120" t="n"/>
      <c r="BT27" s="120" t="n"/>
      <c r="BU27" s="120" t="n"/>
      <c r="BV27" s="120" t="n">
        <v>4.5</v>
      </c>
    </row>
    <row r="28" ht="340" customHeight="1">
      <c r="A28" s="109" t="inlineStr">
        <is>
          <t>IRISDTC005</t>
        </is>
      </c>
      <c r="B28" s="110" t="inlineStr">
        <is>
          <t>Smita Londhe</t>
        </is>
      </c>
      <c r="C28" s="111" t="inlineStr">
        <is>
          <t>Quality Assurance</t>
        </is>
      </c>
      <c r="D28" s="111" t="inlineStr">
        <is>
          <t>Shilpa Dhobale</t>
        </is>
      </c>
      <c r="E28" s="112" t="n">
        <v>3.7</v>
      </c>
      <c r="F28" s="112" t="n">
        <v>0.1</v>
      </c>
      <c r="G28" s="111" t="inlineStr">
        <is>
          <t>M.E</t>
        </is>
      </c>
      <c r="H28" s="113" t="inlineStr">
        <is>
          <t>QA Engineer</t>
        </is>
      </c>
      <c r="I28" s="114" t="inlineStr">
        <is>
          <t>Senior QA Automation Engineer</t>
        </is>
      </c>
      <c r="J28" s="115" t="inlineStr">
        <is>
          <t>Quality Assurance</t>
        </is>
      </c>
      <c r="K28" s="115" t="inlineStr">
        <is>
          <t>Test Automation</t>
        </is>
      </c>
      <c r="L28" s="114" t="inlineStr">
        <is>
          <t>Not in current mapping files</t>
        </is>
      </c>
      <c r="M28" s="138" t="inlineStr">
        <is>
          <t>A3</t>
        </is>
      </c>
      <c r="N28" s="140" t="inlineStr">
        <is>
          <t>Senior Associate</t>
        </is>
      </c>
      <c r="O28" s="26" t="inlineStr">
        <is>
          <t>A</t>
        </is>
      </c>
      <c r="P28" s="115" t="inlineStr">
        <is>
          <t>IC</t>
        </is>
      </c>
      <c r="Q28" s="143" t="inlineStr">
        <is>
          <t>● Newly mapped</t>
        </is>
      </c>
      <c r="R28" s="118" t="inlineStr">
        <is>
          <r>
            <rPr>
              <rFont val="Calibri"/>
              <b val="1"/>
              <sz val="10"/>
            </rPr>
            <t>WHAT THE ROLE DOES:</t>
          </r>
          <r>
            <rPr>
              <rFont val="Calibri"/>
              <sz val="10"/>
            </rPr>
            <t xml:space="preserve"> 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reports · software · scripts · quality · test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test · automation · quality · accountable · defect · identification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t>
          </r>
          <r>
            <rPr>
              <rFont val="Calibri"/>
              <b val="1"/>
              <sz val="10"/>
            </rPr>
            <t>SKILLS &amp; KNOWLEDGE · role-holders:</t>
          </r>
          <r>
            <rPr>
              <rFont val="Calibri"/>
              <sz val="10"/>
            </rPr>
            <t xml:space="preserve"> Software Testing · Manual testing · Playwright
</t>
          </r>
          <r>
            <rPr>
              <rFont val="Calibri"/>
              <b val="1"/>
              <sz val="10"/>
            </rPr>
            <t>TOOLS &amp; SYSTEMS:</t>
          </r>
          <r>
            <rPr>
              <rFont val="Calibri"/>
              <sz val="10"/>
            </rPr>
            <t xml:space="preserve"> Postman
</t>
          </r>
          <r>
            <rPr>
              <rFont val="Calibri"/>
              <b val="1"/>
              <sz val="10"/>
            </rPr>
            <t>MANAGER-SET KRAs:</t>
          </r>
          <r>
            <rPr>
              <rFont val="Calibri"/>
              <sz val="10"/>
            </rPr>
            <t xml:space="preserve"> Common themes in manager-set KRAs: test coverage · business · automation · knowledge · activities · comprehensive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6 holders, 6 answered the survey; sub-family 8 answered; catalogue RC-146</t>
          </r>
        </is>
      </c>
      <c r="S2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Not rated · manager · 9-Box Grid placement: Not placed · manager.</t>
          </r>
        </is>
      </c>
      <c r="T28" s="120" t="n"/>
      <c r="U28" s="121" t="inlineStr">
        <is>
          <r>
            <rPr>
              <rFont val="Calibri"/>
              <sz val="10"/>
            </rPr>
            <t xml:space="preserve">Senior QA Automation Engineer in Quality Assurance · Datatech, A3 — IC.
</t>
          </r>
          <r>
            <rPr>
              <rFont val="Calibri"/>
              <b val="1"/>
              <sz val="10"/>
            </rPr>
            <t>The work:</t>
          </r>
          <r>
            <rPr>
              <rFont val="Calibri"/>
              <sz val="10"/>
            </rPr>
            <t xml:space="preserve"> Builds and runs automated UI/API test suites integrated with CI.
At this level the role owns varied work; reviews juniors; go-to for a process.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Holders describe it with:</t>
          </r>
          <r>
            <rPr>
              <rFont val="Calibri"/>
              <sz val="10"/>
            </rPr>
            <t xml:space="preserve"> testing · scripts · defects · testcase · automation · report.</t>
          </r>
        </is>
      </c>
      <c r="V28"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8"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Manual testing · Playwright
</t>
          </r>
          <r>
            <rPr>
              <rFont val="Calibri"/>
              <b val="1"/>
              <sz val="10"/>
            </rPr>
            <t>TOOLS:</t>
          </r>
          <r>
            <rPr>
              <rFont val="Calibri"/>
              <sz val="10"/>
            </rPr>
            <t xml:space="preserve"> Postman
★ = must-have for the family. Scale: 1 Awareness · 2 Working · 3 Practitioner · 4 Advanced · 5 Expert.</t>
          </r>
        </is>
      </c>
      <c r="X28"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8" s="123" t="inlineStr">
        <is>
          <t>Datatech · Quality Assurance · Band A · Early career</t>
        </is>
      </c>
      <c r="Z28" s="124" t="n">
        <v>2</v>
      </c>
      <c r="AA28" s="125">
        <f>IFERROR(INDEX(WM_C,MATCH($Y28,WM_KEY,0)),"")</f>
        <v>0.64</v>
      </c>
      <c r="AB28" s="126">
        <f>IF(Z28="","",Z28*AA28)</f>
        <v>1.28</v>
      </c>
      <c r="AC28" s="124" t="n">
        <v>2</v>
      </c>
      <c r="AD28" s="125">
        <f>IFERROR(INDEX(WM_AU,MATCH($Y28,WM_KEY,0)),"")</f>
        <v>0.16</v>
      </c>
      <c r="AE28" s="126">
        <f>IF(AC28="","",AC28*AD28)</f>
        <v>0.32</v>
      </c>
      <c r="AF28" s="124" t="n">
        <v>2.5</v>
      </c>
      <c r="AG28" s="125">
        <f>IFERROR(INDEX(WM_AC,MATCH($Y28,WM_KEY,0)),"")</f>
        <v>0.04</v>
      </c>
      <c r="AH28" s="126">
        <f>IF(AF28="","",AF28*AG28)</f>
        <v>0.1</v>
      </c>
      <c r="AI28" s="124" t="n">
        <v>1</v>
      </c>
      <c r="AJ28" s="125">
        <f>IFERROR(INDEX(WM_L,MATCH($Y28,WM_KEY,0)),"")</f>
        <v>0</v>
      </c>
      <c r="AK28" s="126">
        <f>IF(AI28="","",AI28*AJ28)</f>
        <v>0</v>
      </c>
      <c r="AL28" s="124" t="n">
        <v>4</v>
      </c>
      <c r="AM28" s="125">
        <f>IFERROR(INDEX(WM_E,MATCH($Y28,WM_KEY,0)),"")</f>
        <v>0.1</v>
      </c>
      <c r="AN28" s="126">
        <f>IF(AL28="","",AL28*AM28)</f>
        <v>0.4</v>
      </c>
      <c r="AO28" s="127" t="n">
        <v>2.5</v>
      </c>
      <c r="AP28" s="125">
        <f>IFERROR(INDEX(WM_BI,MATCH($Y28,WM_KEY,0)),"")</f>
        <v>0.06</v>
      </c>
      <c r="AQ28" s="126">
        <f>IF(AO28="","",AO28*AP28)</f>
        <v>0.15</v>
      </c>
      <c r="AR28" s="126">
        <f>IF(COUNT(AB28,AE28,AH28,AK28,AN28,AQ28)&lt;6,"",SUM(AB28,AE28,AH28,AK28,AN28,AQ28))</f>
        <v>2.25</v>
      </c>
      <c r="AS28" s="128" t="str">
        <f>IF(AR28="","",INDEX({"A1","A2","A3","B1","B2","B3","C1","C2","D1","D2","E1","E2"},MAX(1,MIN(12,ROUND(AR28,0)))))</f>
        <v>A2</v>
      </c>
      <c r="AT2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8" s="130" t="inlineStr">
        <is>
          <r>
            <rPr>
              <rFont val="Calibri"/>
              <b val="1"/>
              <sz val="10"/>
            </rPr>
            <t>At build:</t>
          </r>
          <r>
            <rPr>
              <rFont val="Calibri"/>
              <sz val="10"/>
            </rPr>
            <t xml:space="preserve"> Complexity 1.28 + Autonomy 0.32 + Accountability 0.10 + Leadership 0.00 + Experience 0.40 + Business impact 0.15
= 2.25 points → nearest level 2 = A2
</t>
          </r>
          <r>
            <rPr>
              <rFont val="Calibri"/>
              <b val="1"/>
              <sz val="10"/>
            </rPr>
            <t>Final level:</t>
          </r>
          <r>
            <rPr>
              <rFont val="Calibri"/>
              <sz val="10"/>
            </rPr>
            <t xml:space="preserve"> A3 · a rule applied: see the next column</t>
          </r>
        </is>
      </c>
      <c r="AV28" s="130" t="inlineStr">
        <is>
          <r>
            <rPr>
              <rFont val="Calibri"/>
              <sz val="10"/>
            </rPr>
            <t xml:space="preserve">• </t>
          </r>
          <r>
            <rPr>
              <rFont val="Calibri"/>
              <b val="1"/>
              <sz val="10"/>
            </rPr>
            <t>Raised to A3:</t>
          </r>
          <r>
            <rPr>
              <rFont val="Calibri"/>
              <sz val="10"/>
            </rPr>
            <t xml:space="preserve"> 3.7 years' experience is 2 years or more.
</t>
          </r>
          <r>
            <rPr>
              <rFont val="Calibri"/>
              <b val="1"/>
              <sz val="10"/>
            </rPr>
            <t>Final level:</t>
          </r>
          <r>
            <rPr>
              <rFont val="Calibri"/>
              <sz val="10"/>
            </rPr>
            <t xml:space="preserve"> A3.</t>
          </r>
        </is>
      </c>
      <c r="AW28"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Manual, API, mobile, functional and regression testing with some automation; described generically → matches the start
</t>
          </r>
          <r>
            <rPr>
              <rFont val="Calibri"/>
              <b val="1"/>
              <sz val="10"/>
            </rPr>
            <t>Market:</t>
          </r>
          <r>
            <rPr>
              <rFont val="Calibri"/>
              <sz val="10"/>
            </rPr>
            <t xml:space="preserve"> A2 = Standard work of the discipline</t>
          </r>
        </is>
      </c>
      <c r="AX2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States 'scope and defect decision' only; no detail → matches the start
</t>
          </r>
          <r>
            <rPr>
              <rFont val="Calibri"/>
              <b val="1"/>
              <sz val="10"/>
            </rPr>
            <t>Market:</t>
          </r>
          <r>
            <rPr>
              <rFont val="Calibri"/>
              <sz val="10"/>
            </rPr>
            <t xml:space="preserve"> A2 = Chooses own approach within standards</t>
          </r>
        </is>
      </c>
      <c r="AY28"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Accountable for release validation and QA sign-off before production → moved up 0.5
</t>
          </r>
          <r>
            <rPr>
              <rFont val="Calibri"/>
              <b val="1"/>
              <sz val="10"/>
            </rPr>
            <t>Market:</t>
          </r>
          <r>
            <rPr>
              <rFont val="Calibri"/>
              <sz val="10"/>
            </rPr>
            <t xml:space="preserve"> A2 = Own deliverables · accuracy, TAT · A3 = A module / process, or work with client or regulatory consequences</t>
          </r>
        </is>
      </c>
      <c r="AZ2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8" s="132" t="inlineStr">
        <is>
          <r>
            <rPr>
              <rFont val="Calibri"/>
              <sz val="10"/>
            </rPr>
            <t xml:space="preserve">Rated 4 of 12
</t>
          </r>
          <r>
            <rPr>
              <rFont val="Calibri"/>
              <b val="1"/>
              <sz val="10"/>
            </rPr>
            <t>Experience:</t>
          </r>
          <r>
            <rPr>
              <rFont val="Calibri"/>
              <sz val="10"/>
            </rPr>
            <t xml:space="preserve"> 3.7 yrs total · 3.6 before IRIS + 0.1 at IRIS = 3.3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M.E · postgraduate, relevant to the work → +0.5
</t>
          </r>
          <r>
            <rPr>
              <rFont val="Calibri"/>
              <b val="1"/>
              <sz val="10"/>
            </rPr>
            <t>Market:</t>
          </r>
          <r>
            <rPr>
              <rFont val="Calibri"/>
              <sz val="10"/>
            </rPr>
            <t xml:space="preserve"> A3 roles typically have 2–5 yrs · IRIS guide 2–4</t>
          </r>
        </is>
      </c>
      <c r="BB28"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8" s="148" t="inlineStr">
        <is>
          <t>• Correct the experience record — HR</t>
        </is>
      </c>
      <c r="BD28" s="134" t="inlineStr">
        <is>
          <t>✓ HRIS: 3.7 yrs, M.E, 0 direct reports
✓ Survey: 20 of 20 questions answered
✗ KRAs: none on file
✓ Manager mapping: rating, 9-box
✗ Job description: not on file</t>
        </is>
      </c>
      <c r="BE28"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28" s="134" t="inlineStr">
        <is>
          <t>Low</t>
        </is>
      </c>
      <c r="BG28" s="134" t="inlineStr">
        <is>
          <t>• Experience on record · 3.7 yrs looks incomplete — experience before IRIS appears to be missing; HR to confirm</t>
        </is>
      </c>
      <c r="BH28" s="134" t="inlineStr"/>
      <c r="BI28" s="135" t="n"/>
      <c r="BJ28" s="136" t="n"/>
      <c r="BK28" s="136" t="n"/>
      <c r="BL28" s="136" t="n"/>
      <c r="BM28" s="136" t="n"/>
      <c r="BN28" s="137" t="n"/>
      <c r="BO28" s="120" t="n"/>
      <c r="BP28" s="120" t="n"/>
      <c r="BQ28" s="120" t="n"/>
      <c r="BR28" s="120" t="n"/>
      <c r="BS28" s="120" t="n"/>
      <c r="BT28" s="120" t="n"/>
      <c r="BU28" s="120" t="n"/>
      <c r="BV28" s="120" t="n">
        <v>2.5</v>
      </c>
    </row>
    <row r="29" ht="340" customHeight="1">
      <c r="A29" s="109" t="inlineStr">
        <is>
          <t>IRISDT0014</t>
        </is>
      </c>
      <c r="B29" s="110" t="inlineStr">
        <is>
          <t>Supriya Patil</t>
        </is>
      </c>
      <c r="C29" s="111" t="inlineStr">
        <is>
          <t>Quality Assurance</t>
        </is>
      </c>
      <c r="D29" s="111" t="inlineStr">
        <is>
          <t>Nilesh Majumdar</t>
        </is>
      </c>
      <c r="E29" s="112" t="n">
        <v>7.3</v>
      </c>
      <c r="F29" s="112" t="n">
        <v>0.6</v>
      </c>
      <c r="G29" s="111" t="inlineStr">
        <is>
          <t>B.E</t>
        </is>
      </c>
      <c r="H29" s="113" t="inlineStr">
        <is>
          <t>QA Engineer</t>
        </is>
      </c>
      <c r="I29" s="114" t="inlineStr">
        <is>
          <t>Senior QA Engineer</t>
        </is>
      </c>
      <c r="J29" s="115" t="inlineStr">
        <is>
          <t>Quality Assurance</t>
        </is>
      </c>
      <c r="K29" s="115" t="inlineStr">
        <is>
          <t>Functional &amp; Domain Testing</t>
        </is>
      </c>
      <c r="L29" s="114" t="inlineStr">
        <is>
          <t>L3 – Professional / Associate</t>
        </is>
      </c>
      <c r="M29" s="138" t="inlineStr">
        <is>
          <t>A3</t>
        </is>
      </c>
      <c r="N29" s="140" t="inlineStr">
        <is>
          <t>Senior Associate</t>
        </is>
      </c>
      <c r="O29" s="26" t="inlineStr">
        <is>
          <t>A</t>
        </is>
      </c>
      <c r="P29" s="115" t="inlineStr">
        <is>
          <t>IC</t>
        </is>
      </c>
      <c r="Q29" s="141" t="inlineStr">
        <is>
          <t>▲ Up</t>
        </is>
      </c>
      <c r="R29" s="118"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2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Core Contributor.</t>
          </r>
        </is>
      </c>
      <c r="T29" s="120" t="n"/>
      <c r="U29" s="121" t="inlineStr">
        <is>
          <r>
            <rPr>
              <rFont val="Calibri"/>
              <sz val="10"/>
            </rPr>
            <t xml:space="preserve">Senior QA Engineer in Quality Assurance · Datatech,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29" s="122"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29" s="122"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29" s="122"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9" s="123" t="inlineStr">
        <is>
          <t>Datatech · Quality Assurance · Band A · Early career</t>
        </is>
      </c>
      <c r="Z29" s="124" t="n">
        <v>2</v>
      </c>
      <c r="AA29" s="125">
        <f>IFERROR(INDEX(WM_C,MATCH($Y29,WM_KEY,0)),"")</f>
        <v>0.64</v>
      </c>
      <c r="AB29" s="126">
        <f>IF(Z29="","",Z29*AA29)</f>
        <v>1.28</v>
      </c>
      <c r="AC29" s="124" t="n">
        <v>2</v>
      </c>
      <c r="AD29" s="125">
        <f>IFERROR(INDEX(WM_AU,MATCH($Y29,WM_KEY,0)),"")</f>
        <v>0.16</v>
      </c>
      <c r="AE29" s="126">
        <f>IF(AC29="","",AC29*AD29)</f>
        <v>0.32</v>
      </c>
      <c r="AF29" s="124" t="n">
        <v>2.5</v>
      </c>
      <c r="AG29" s="125">
        <f>IFERROR(INDEX(WM_AC,MATCH($Y29,WM_KEY,0)),"")</f>
        <v>0.04</v>
      </c>
      <c r="AH29" s="126">
        <f>IF(AF29="","",AF29*AG29)</f>
        <v>0.1</v>
      </c>
      <c r="AI29" s="124" t="n">
        <v>1</v>
      </c>
      <c r="AJ29" s="125">
        <f>IFERROR(INDEX(WM_L,MATCH($Y29,WM_KEY,0)),"")</f>
        <v>0</v>
      </c>
      <c r="AK29" s="126">
        <f>IF(AI29="","",AI29*AJ29)</f>
        <v>0</v>
      </c>
      <c r="AL29" s="124" t="n">
        <v>5</v>
      </c>
      <c r="AM29" s="125">
        <f>IFERROR(INDEX(WM_E,MATCH($Y29,WM_KEY,0)),"")</f>
        <v>0.1</v>
      </c>
      <c r="AN29" s="126">
        <f>IF(AL29="","",AL29*AM29)</f>
        <v>0.5</v>
      </c>
      <c r="AO29" s="127" t="n">
        <v>3</v>
      </c>
      <c r="AP29" s="125">
        <f>IFERROR(INDEX(WM_BI,MATCH($Y29,WM_KEY,0)),"")</f>
        <v>0.06</v>
      </c>
      <c r="AQ29" s="126">
        <f>IF(AO29="","",AO29*AP29)</f>
        <v>0.18</v>
      </c>
      <c r="AR29" s="126">
        <f>IF(COUNT(AB29,AE29,AH29,AK29,AN29,AQ29)&lt;6,"",SUM(AB29,AE29,AH29,AK29,AN29,AQ29))</f>
        <v>2.38</v>
      </c>
      <c r="AS29" s="128" t="str">
        <f>IF(AR29="","",INDEX({"A1","A2","A3","B1","B2","B3","C1","C2","D1","D2","E1","E2"},MAX(1,MIN(12,ROUND(AR29,0)))))</f>
        <v>A2</v>
      </c>
      <c r="AT2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9" s="130" t="inlineStr">
        <is>
          <r>
            <rPr>
              <rFont val="Calibri"/>
              <b val="1"/>
              <sz val="10"/>
            </rPr>
            <t>At build:</t>
          </r>
          <r>
            <rPr>
              <rFont val="Calibri"/>
              <sz val="10"/>
            </rPr>
            <t xml:space="preserve"> Complexity 1.28 + Autonomy 0.32 + Accountability 0.10 + Leadership 0.00 + Experience 0.50 + Business impact 0.18
= 2.38 points → nearest level 2 = A2
</t>
          </r>
          <r>
            <rPr>
              <rFont val="Calibri"/>
              <b val="1"/>
              <sz val="10"/>
            </rPr>
            <t>Final level:</t>
          </r>
          <r>
            <rPr>
              <rFont val="Calibri"/>
              <sz val="10"/>
            </rPr>
            <t xml:space="preserve"> A3 · a rule applied: see the next column</t>
          </r>
        </is>
      </c>
      <c r="AV29" s="130" t="inlineStr">
        <is>
          <r>
            <rPr>
              <rFont val="Calibri"/>
              <sz val="10"/>
            </rPr>
            <t xml:space="preserve">• </t>
          </r>
          <r>
            <rPr>
              <rFont val="Calibri"/>
              <b val="1"/>
              <sz val="10"/>
            </rPr>
            <t>Raised to A3:</t>
          </r>
          <r>
            <rPr>
              <rFont val="Calibri"/>
              <sz val="10"/>
            </rPr>
            <t xml:space="preserve"> 7.3 years' experience is 2 years or more.
</t>
          </r>
          <r>
            <rPr>
              <rFont val="Calibri"/>
              <b val="1"/>
              <sz val="10"/>
            </rPr>
            <t>Final level:</t>
          </r>
          <r>
            <rPr>
              <rFont val="Calibri"/>
              <sz val="10"/>
            </rPr>
            <t xml:space="preserve"> A3.</t>
          </r>
        </is>
      </c>
      <c r="AW29"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Analyses requirements, writes and executes test cases, logs and verifies bugs; manual, API, mobile testing → matches the start
</t>
          </r>
          <r>
            <rPr>
              <rFont val="Calibri"/>
              <b val="1"/>
              <sz val="10"/>
            </rPr>
            <t>KRA:</t>
          </r>
          <r>
            <rPr>
              <rFont val="Calibri"/>
              <sz val="10"/>
            </rPr>
            <t xml:space="preserve"> “1. Defect Leakage Rate: defects found in production ÷ total defects for that release. Target: &lt; 5%. Reviewed per release, averaged…”
</t>
          </r>
          <r>
            <rPr>
              <rFont val="Calibri"/>
              <b val="1"/>
              <sz val="10"/>
            </rPr>
            <t>Market:</t>
          </r>
          <r>
            <rPr>
              <rFont val="Calibri"/>
              <sz val="10"/>
            </rPr>
            <t xml:space="preserve"> A2 = Standard work of the discipline</t>
          </r>
        </is>
      </c>
      <c r="AX29"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prioritisation of bug retests; escalates when needed → matches the start
</t>
          </r>
          <r>
            <rPr>
              <rFont val="Calibri"/>
              <b val="1"/>
              <sz val="10"/>
            </rPr>
            <t>Market:</t>
          </r>
          <r>
            <rPr>
              <rFont val="Calibri"/>
              <sz val="10"/>
            </rPr>
            <t xml:space="preserve"> A2 = Chooses own approach within standards</t>
          </r>
        </is>
      </c>
      <c r="AY29"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Owns sign-off decisions; a signed-off feature breaking in production reflects on own testing → moved up 0.5
</t>
          </r>
          <r>
            <rPr>
              <rFont val="Calibri"/>
              <b val="1"/>
              <sz val="10"/>
            </rPr>
            <t>KRA:</t>
          </r>
          <r>
            <rPr>
              <rFont val="Calibri"/>
              <sz val="10"/>
            </rPr>
            <t xml:space="preserve"> “1. Defect Leakage Rate: defects found in production ÷ total defects for that release. Target: &lt; 5%. Reviewed per release, averaged…”
</t>
          </r>
          <r>
            <rPr>
              <rFont val="Calibri"/>
              <b val="1"/>
              <sz val="10"/>
            </rPr>
            <t>Market:</t>
          </r>
          <r>
            <rPr>
              <rFont val="Calibri"/>
              <sz val="10"/>
            </rPr>
            <t xml:space="preserve"> A2 = Own deliverables · accuracy, TAT · A3 = A module / process, or work with client or regulatory consequences</t>
          </r>
        </is>
      </c>
      <c r="AZ29"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9" s="132" t="inlineStr">
        <is>
          <r>
            <rPr>
              <rFont val="Calibri"/>
              <sz val="10"/>
            </rPr>
            <t xml:space="preserve">Rated 5 of 12
</t>
          </r>
          <r>
            <rPr>
              <rFont val="Calibri"/>
              <b val="1"/>
              <sz val="10"/>
            </rPr>
            <t>Experience:</t>
          </r>
          <r>
            <rPr>
              <rFont val="Calibri"/>
              <sz val="10"/>
            </rPr>
            <t xml:space="preserve"> 7.3 yrs total · 6.7 before IRIS + 0.6 at IRIS = 4.9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29"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9" s="133" t="inlineStr"/>
      <c r="BD29" s="134" t="inlineStr">
        <is>
          <t>✓ HRIS: 7.3 yrs, B.E, 0 direct reports
✓ Survey: 20 of 20 questions answered
✓ KRAs: manager-set, quarterly
✓ Manager mapping: rating, potential, 9-box
✗ Job description: not on file</t>
        </is>
      </c>
      <c r="BE29" s="134"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29" s="134" t="inlineStr">
        <is>
          <t>High</t>
        </is>
      </c>
      <c r="BG29" s="134" t="inlineStr">
        <is>
          <t>• 7.3 yrs of experience in a role that reads as Band A work — a career-path question for the manager: can the role be widened · Specialist, B1 or is it correctly sized?</t>
        </is>
      </c>
      <c r="BH29" s="134" t="inlineStr"/>
      <c r="BI29" s="135" t="n"/>
      <c r="BJ29" s="136" t="n"/>
      <c r="BK29" s="136" t="n"/>
      <c r="BL29" s="136" t="n"/>
      <c r="BM29" s="136" t="n"/>
      <c r="BN29" s="137" t="n"/>
      <c r="BO29" s="120" t="n"/>
      <c r="BP29" s="120" t="n"/>
      <c r="BQ29" s="120" t="n"/>
      <c r="BR29" s="120" t="n"/>
      <c r="BS29" s="120" t="n"/>
      <c r="BT29" s="120" t="n"/>
      <c r="BU29" s="120" t="n"/>
      <c r="BV29" s="120" t="n">
        <v>3</v>
      </c>
    </row>
    <row r="30" ht="340" customHeight="1">
      <c r="A30" s="109" t="inlineStr">
        <is>
          <t>IRISDT0019</t>
        </is>
      </c>
      <c r="B30" s="110" t="inlineStr">
        <is>
          <t>Abhishek Gite</t>
        </is>
      </c>
      <c r="C30" s="111" t="inlineStr">
        <is>
          <t>Sales</t>
        </is>
      </c>
      <c r="D30" s="111" t="inlineStr">
        <is>
          <t>Shilpa Dhobale</t>
        </is>
      </c>
      <c r="E30" s="112" t="n">
        <v>24.3</v>
      </c>
      <c r="F30" s="112" t="n">
        <v>0.3</v>
      </c>
      <c r="G30" s="111" t="inlineStr">
        <is>
          <t>MBA</t>
        </is>
      </c>
      <c r="H30" s="113" t="inlineStr">
        <is>
          <t>Head - Sales and Alliances</t>
        </is>
      </c>
      <c r="I30" s="114" t="inlineStr">
        <is>
          <t>Principal – Sales</t>
        </is>
      </c>
      <c r="J30" s="115" t="inlineStr">
        <is>
          <t>Sales &amp; Business Development</t>
        </is>
      </c>
      <c r="K30" s="115" t="inlineStr">
        <is>
          <t>Sales Leadership</t>
        </is>
      </c>
      <c r="L30" s="114" t="inlineStr">
        <is>
          <t>Not in current mapping files</t>
        </is>
      </c>
      <c r="M30" s="138" t="inlineStr">
        <is>
          <t>C1</t>
        </is>
      </c>
      <c r="N30" s="151" t="inlineStr">
        <is>
          <t>Principal</t>
        </is>
      </c>
      <c r="O30" s="33" t="inlineStr">
        <is>
          <t>C</t>
        </is>
      </c>
      <c r="P30" s="115" t="inlineStr">
        <is>
          <t>IC</t>
        </is>
      </c>
      <c r="Q30" s="143" t="inlineStr">
        <is>
          <t>● Newly mapped</t>
        </is>
      </c>
      <c r="R30" s="118" t="inlineStr">
        <is>
          <r>
            <rPr>
              <rFont val="Calibri"/>
              <b val="1"/>
              <sz val="10"/>
            </rPr>
            <t>WHAT THE ROLE DOES:</t>
          </r>
          <r>
            <rPr>
              <rFont val="Calibri"/>
              <sz val="10"/>
            </rPr>
            <t xml:space="preserve"> Leads the sales &amp; business development function. At C1: a sub-function, or principal authority across products.
</t>
          </r>
          <r>
            <rPr>
              <rFont val="Calibri"/>
              <b val="1"/>
              <sz val="10"/>
            </rPr>
            <t>Common themes in sub-family holders, all levels' answers:</t>
          </r>
          <r>
            <rPr>
              <rFont val="Calibri"/>
              <sz val="10"/>
            </rPr>
            <t xml:space="preserve"> client · follow till · negotiations · details sdr · understand · call
</t>
          </r>
          <r>
            <rPr>
              <rFont val="Calibri"/>
              <b val="1"/>
              <sz val="10"/>
            </rPr>
            <t>KEY RESPONSIBILITIES:</t>
          </r>
          <r>
            <rPr>
              <rFont val="Calibri"/>
              <sz val="10"/>
            </rPr>
            <t xml:space="preserve"> Leads the sales &amp; business development function; Ambiguous, cross-product problems; Sub-function results or domain quality across products
</t>
          </r>
          <r>
            <rPr>
              <rFont val="Calibri"/>
              <b val="1"/>
              <sz val="10"/>
            </rPr>
            <t>Common themes in sub-family holders, all levels' answers:</t>
          </r>
          <r>
            <rPr>
              <rFont val="Calibri"/>
              <sz val="10"/>
            </rPr>
            <t xml:space="preserve"> building · partner
</t>
          </r>
          <r>
            <rPr>
              <rFont val="Calibri"/>
              <b val="1"/>
              <sz val="10"/>
            </rPr>
            <t>DELIVERS:</t>
          </r>
          <r>
            <rPr>
              <rFont val="Calibri"/>
              <sz val="10"/>
            </rPr>
            <t xml:space="preserve"> Sub-function results or domain quality across products
</t>
          </r>
          <r>
            <rPr>
              <rFont val="Calibri"/>
              <b val="1"/>
              <sz val="10"/>
            </rPr>
            <t>Common themes in sub-family holders, all levels' answers:</t>
          </r>
          <r>
            <rPr>
              <rFont val="Calibri"/>
              <sz val="10"/>
            </rPr>
            <t xml:space="preserve"> sales
</t>
          </r>
          <r>
            <rPr>
              <rFont val="Calibri"/>
              <b val="1"/>
              <sz val="10"/>
            </rPr>
            <t>ACCOUNTABLE FOR:</t>
          </r>
          <r>
            <rPr>
              <rFont val="Calibri"/>
              <sz val="10"/>
            </rPr>
            <t xml:space="preserve"> Sub-function results or domain quality across products
</t>
          </r>
          <r>
            <rPr>
              <rFont val="Calibri"/>
              <b val="1"/>
              <sz val="10"/>
            </rPr>
            <t>Common themes in sub-family holders, all levels' answers:</t>
          </r>
          <r>
            <rPr>
              <rFont val="Calibri"/>
              <sz val="10"/>
            </rPr>
            <t xml:space="preserve"> revenue · generation · sales
</t>
          </r>
          <r>
            <rPr>
              <rFont val="Calibri"/>
              <b val="1"/>
              <sz val="10"/>
            </rPr>
            <t>DECIDES ALONE:</t>
          </r>
          <r>
            <rPr>
              <rFont val="Calibri"/>
              <sz val="10"/>
            </rPr>
            <t xml:space="preserve"> Sets direction for a sub-function or domain
</t>
          </r>
          <r>
            <rPr>
              <rFont val="Calibri"/>
              <b val="1"/>
              <sz val="10"/>
            </rPr>
            <t>SKILLS &amp; KNOWLEDGE · role-holders:</t>
          </r>
          <r>
            <rPr>
              <rFont val="Calibri"/>
              <sz val="10"/>
            </rPr>
            <t xml:space="preserve"> Sales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3 holders, 0 answered the survey; sub-family 3 answered; catalogue RC-170</t>
          </r>
        </is>
      </c>
      <c r="S30" s="119"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8 of 12 · C2-level impact.
</t>
          </r>
          <r>
            <rPr>
              <rFont val="Calibri"/>
              <b val="1"/>
              <sz val="10"/>
            </rPr>
            <t>If the work is missed · role-holders' themes:</t>
          </r>
          <r>
            <rPr>
              <rFont val="Calibri"/>
              <sz val="10"/>
            </rPr>
            <t xml:space="preserve"> revenue · opportunities · lost.
Manager talent mapping — Latest rating: 3 · 9-Box Grid placement: Core Contributor.</t>
          </r>
        </is>
      </c>
      <c r="T30" s="120" t="n"/>
      <c r="U30" s="121" t="inlineStr">
        <is>
          <r>
            <rPr>
              <rFont val="Calibri"/>
              <sz val="10"/>
            </rPr>
            <t xml:space="preserve">Principal – Sales in Sales · Datatech, C1 — IC.
</t>
          </r>
          <r>
            <rPr>
              <rFont val="Calibri"/>
              <b val="1"/>
              <sz val="10"/>
            </rPr>
            <t>The work:</t>
          </r>
          <r>
            <rPr>
              <rFont val="Calibri"/>
              <sz val="10"/>
            </rPr>
            <t xml:space="preserve"> Leads the sales &amp; business development function.
At this level the role owns a sub-function, or principal authority across products.
</t>
          </r>
          <r>
            <rPr>
              <rFont val="Calibri"/>
              <b val="1"/>
              <sz val="10"/>
            </rPr>
            <t>Key responsibilities:</t>
          </r>
          <r>
            <rPr>
              <rFont val="Calibri"/>
              <sz val="10"/>
            </rPr>
            <t xml:space="preserve"> Leads the sales &amp; business development function; Ambiguous, cross-product problems; Sub-function results or domain quality across products.
</t>
          </r>
          <r>
            <rPr>
              <rFont val="Calibri"/>
              <b val="1"/>
              <sz val="10"/>
            </rPr>
            <t>Holders describe it with:</t>
          </r>
          <r>
            <rPr>
              <rFont val="Calibri"/>
              <sz val="10"/>
            </rPr>
            <t xml:space="preserve"> building · partner.</t>
          </r>
        </is>
      </c>
      <c r="V30" s="122" t="inlineStr">
        <is>
          <r>
            <rPr>
              <rFont val="Calibri"/>
              <b val="1"/>
              <sz val="10"/>
            </rPr>
            <t>Hire as:</t>
          </r>
          <r>
            <rPr>
              <rFont val="Calibri"/>
              <sz val="10"/>
            </rPr>
            <t xml:space="preserve"> — — IRIS C1 Principal · IC
</t>
          </r>
          <r>
            <rPr>
              <rFont val="Calibri"/>
              <b val="1"/>
              <sz val="10"/>
            </rPr>
            <t>Market level:</t>
          </r>
          <r>
            <rPr>
              <rFont val="Calibri"/>
              <sz val="10"/>
            </rPr>
            <t xml:space="preserve"> P6 / M5 · SFIA 5–6
</t>
          </r>
          <r>
            <rPr>
              <rFont val="Calibri"/>
              <b val="1"/>
              <sz val="10"/>
            </rPr>
            <t>Experience:</t>
          </r>
          <r>
            <rPr>
              <rFont val="Calibri"/>
              <sz val="10"/>
            </rPr>
            <t xml:space="preserve"> 10–14 yrs · Education: Graduate; MBA preferred from B2
</t>
          </r>
          <r>
            <rPr>
              <rFont val="Calibri"/>
              <b val="1"/>
              <sz val="10"/>
            </rPr>
            <t>Equivalent titles at peers:</t>
          </r>
          <r>
            <rPr>
              <rFont val="Calibri"/>
              <sz val="10"/>
            </rPr>
            <t xml:space="preserve"> IRIS Vs Competitor Benchmark — SaaS sales ladder — IC – Strategic / Principal AE · IRIS Vs Competitor Benchmark — SaaS sales ladder — management – Regional Sales Head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30" s="122" t="inlineStr">
        <is>
          <r>
            <rPr>
              <rFont val="Calibri"/>
              <sz val="10"/>
            </rPr>
            <t xml:space="preserve">FUNCTIONAL — skill level 4 of 5 · Advanced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Sales
★ = must-have for the family. Scale: 1 Awareness · 2 Working · 3 Practitioner · 4 Advanced · 5 Expert.</t>
          </r>
        </is>
      </c>
      <c r="X30" s="122" t="inlineStr">
        <is>
          <r>
            <rPr>
              <rFont val="Calibri"/>
              <sz val="10"/>
            </rPr>
            <t xml:space="preserve">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30" s="123" t="inlineStr">
        <is>
          <t>Datatech · Sales · Band C · Principal expert</t>
        </is>
      </c>
      <c r="Z30" s="124" t="n">
        <v>8</v>
      </c>
      <c r="AA30" s="125">
        <f>IFERROR(INDEX(WM_C,MATCH($Y30,WM_KEY,0)),"")</f>
        <v>0.49</v>
      </c>
      <c r="AB30" s="126">
        <f>IF(Z30="","",Z30*AA30)</f>
        <v>3.92</v>
      </c>
      <c r="AC30" s="124" t="n">
        <v>8</v>
      </c>
      <c r="AD30" s="125">
        <f>IFERROR(INDEX(WM_AU,MATCH($Y30,WM_KEY,0)),"")</f>
        <v>0.23</v>
      </c>
      <c r="AE30" s="126">
        <f>IF(AC30="","",AC30*AD30)</f>
        <v>1.84</v>
      </c>
      <c r="AF30" s="124" t="n">
        <v>8</v>
      </c>
      <c r="AG30" s="125">
        <f>IFERROR(INDEX(WM_AC,MATCH($Y30,WM_KEY,0)),"")</f>
        <v>0.05</v>
      </c>
      <c r="AH30" s="126">
        <f>IF(AF30="","",AF30*AG30)</f>
        <v>0.4</v>
      </c>
      <c r="AI30" s="124" t="n">
        <v>7</v>
      </c>
      <c r="AJ30" s="125">
        <f>IFERROR(INDEX(WM_L,MATCH($Y30,WM_KEY,0)),"")</f>
        <v>0.05</v>
      </c>
      <c r="AK30" s="126">
        <f>IF(AI30="","",AI30*AJ30)</f>
        <v>0.35</v>
      </c>
      <c r="AL30" s="124" t="n">
        <v>11.5</v>
      </c>
      <c r="AM30" s="125">
        <f>IFERROR(INDEX(WM_E,MATCH($Y30,WM_KEY,0)),"")</f>
        <v>0.05</v>
      </c>
      <c r="AN30" s="126">
        <f>IF(AL30="","",AL30*AM30)</f>
        <v>0.575</v>
      </c>
      <c r="AO30" s="127" t="n">
        <v>8</v>
      </c>
      <c r="AP30" s="125">
        <f>IFERROR(INDEX(WM_BI,MATCH($Y30,WM_KEY,0)),"")</f>
        <v>0.13</v>
      </c>
      <c r="AQ30" s="126">
        <f>IF(AO30="","",AO30*AP30)</f>
        <v>1.04</v>
      </c>
      <c r="AR30" s="126">
        <f>IF(COUNT(AB30,AE30,AH30,AK30,AN30,AQ30)&lt;6,"",SUM(AB30,AE30,AH30,AK30,AN30,AQ30))</f>
        <v>8.125</v>
      </c>
      <c r="AS30" s="128" t="str">
        <f>IF(AR30="","",INDEX({"A1","A2","A3","B1","B2","B3","C1","C2","D1","D2","E1","E2"},MAX(1,MIN(12,ROUND(AR30,0)))))</f>
        <v>C2</v>
      </c>
      <c r="AT30" s="129" t="inlineStr">
        <is>
          <r>
            <rPr>
              <rFont val="Calibri"/>
              <b val="1"/>
              <sz val="10"/>
            </rPr>
            <t>Weights:</t>
          </r>
          <r>
            <rPr>
              <rFont val="Calibri"/>
              <sz val="10"/>
            </rPr>
            <t xml:space="preserve"> Complexity 49% · Autonomy 23% · Business impact 13% · Accountability 5% · Leadership 5% · Experience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30" s="130" t="inlineStr">
        <is>
          <r>
            <rPr>
              <rFont val="Calibri"/>
              <b val="1"/>
              <sz val="10"/>
            </rPr>
            <t>At build:</t>
          </r>
          <r>
            <rPr>
              <rFont val="Calibri"/>
              <sz val="10"/>
            </rPr>
            <t xml:space="preserve"> Complexity 3.92 + Autonomy 1.84 + Accountability 0.40 + Leadership 0.35 + Experience 0.58 + Business impact 1.04
= 8.12 points → nearest level 8 = C2
</t>
          </r>
          <r>
            <rPr>
              <rFont val="Calibri"/>
              <b val="1"/>
              <sz val="10"/>
            </rPr>
            <t>Final level:</t>
          </r>
          <r>
            <rPr>
              <rFont val="Calibri"/>
              <sz val="10"/>
            </rPr>
            <t xml:space="preserve"> C1 · a rule applied: see the next column</t>
          </r>
        </is>
      </c>
      <c r="AV30" s="130" t="inlineStr">
        <is>
          <r>
            <rPr>
              <rFont val="Calibri"/>
              <sz val="10"/>
            </rPr>
            <t xml:space="preserve">• </t>
          </r>
          <r>
            <rPr>
              <rFont val="Calibri"/>
              <b val="1"/>
              <sz val="10"/>
            </rPr>
            <t>Held at C1 instead of C2:</t>
          </r>
          <r>
            <rPr>
              <rFont val="Calibri"/>
              <sz val="10"/>
            </rPr>
            <t xml:space="preserve"> C2 needs a whole function or a company-wide discipline, and the org chart does not show this yet.
</t>
          </r>
          <r>
            <rPr>
              <rFont val="Calibri"/>
              <b val="1"/>
              <sz val="10"/>
            </rPr>
            <t>Final level:</t>
          </r>
          <r>
            <rPr>
              <rFont val="Calibri"/>
              <sz val="10"/>
            </rPr>
            <t xml:space="preserve"> C1.</t>
          </r>
        </is>
      </c>
      <c r="AW30" s="147"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Function-wide or company-wide problems; creates methods and standards</t>
          </r>
        </is>
      </c>
      <c r="AX30" s="145"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Sets direction for a function</t>
          </r>
        </is>
      </c>
      <c r="AY30" s="145"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Function results, budget and risk</t>
          </r>
        </is>
      </c>
      <c r="AZ30" s="145" t="inlineStr">
        <is>
          <r>
            <rPr>
              <rFont val="Calibri"/>
              <color rgb="009C0006"/>
              <sz val="10"/>
            </rPr>
            <t xml:space="preserve">Rated 7 of 12
</t>
          </r>
          <r>
            <rPr>
              <rFont val="Calibri"/>
              <b val="1"/>
              <color rgb="009C0006"/>
              <sz val="10"/>
            </rPr>
            <t>Start:</t>
          </r>
          <r>
            <rPr>
              <rFont val="Calibri"/>
              <color rgb="009C0006"/>
              <sz val="10"/>
            </rPr>
            <t xml:space="preserve"> 7.0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C1 = Leads managers or a community of practice</t>
          </r>
        </is>
      </c>
      <c r="BA30" s="132" t="inlineStr">
        <is>
          <r>
            <rPr>
              <rFont val="Calibri"/>
              <sz val="10"/>
            </rPr>
            <t xml:space="preserve">Rated 11.5 of 12 · between E1 and E2
</t>
          </r>
          <r>
            <rPr>
              <rFont val="Calibri"/>
              <b val="1"/>
              <sz val="10"/>
            </rPr>
            <t>Experience:</t>
          </r>
          <r>
            <rPr>
              <rFont val="Calibri"/>
              <sz val="10"/>
            </rPr>
            <t xml:space="preserve"> 24.3 yrs total · 24.0 before IRIS + 0.3 at IRIS = 11.1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C1 roles typically have 12–17 yrs · IRIS guide 10–14</t>
          </r>
        </is>
      </c>
      <c r="BB30" s="132" t="inlineStr">
        <is>
          <r>
            <rPr>
              <rFont val="Calibri"/>
              <sz val="10"/>
            </rPr>
            <t xml:space="preserve">Rated 8 of 12 — a starting estimate.
</t>
          </r>
          <r>
            <rPr>
              <rFont val="Calibri"/>
              <b val="1"/>
              <sz val="10"/>
            </rPr>
            <t>Start:</t>
          </r>
          <r>
            <rPr>
              <rFont val="Calibri"/>
              <sz val="10"/>
            </rPr>
            <t xml:space="preserve"> 8,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C2 = Drives a function's or department's results and costs</t>
          </r>
        </is>
      </c>
      <c r="BC30" s="148" t="inlineStr">
        <is>
          <t>• Survey response or KRAs describing the work · nothing on file — Employee + manager
• Confirm structure behind the senior title · org chart — Business head</t>
        </is>
      </c>
      <c r="BD30" s="134" t="inlineStr">
        <is>
          <t>✓ HRIS: 24.3 yrs, MBA, 0 direct reports
✗ Survey: no response
✗ KRAs: none on file
✓ Manager mapping: rating, 9-box — filled from talent-mapping files: rating · tentative Q1
✗ Job description: not on file</t>
        </is>
      </c>
      <c r="BE30" s="134" t="inlineStr">
        <is>
          <r>
            <rPr>
              <rFont val="Calibri"/>
              <b val="1"/>
              <sz val="10"/>
            </rPr>
            <t>Market level:</t>
          </r>
          <r>
            <rPr>
              <rFont val="Calibri"/>
              <sz val="10"/>
            </rPr>
            <t xml:space="preserve"> P6 / M5 · SFIA 5–6
</t>
          </r>
          <r>
            <rPr>
              <rFont val="Calibri"/>
              <b val="1"/>
              <sz val="10"/>
            </rPr>
            <t>Typical title:</t>
          </r>
          <r>
            <rPr>
              <rFont val="Calibri"/>
              <sz val="10"/>
            </rPr>
            <t xml:space="preserve"> —
</t>
          </r>
          <r>
            <rPr>
              <rFont val="Calibri"/>
              <b val="1"/>
              <sz val="10"/>
            </rPr>
            <t>At peers:</t>
          </r>
          <r>
            <rPr>
              <rFont val="Calibri"/>
              <sz val="10"/>
            </rPr>
            <t xml:space="preserve"> IRIS Vs Competitor Benchmark — SaaS sales ladder — IC: Strategic / Principal AE · IRIS Vs Competitor Benchmark — SaaS sales ladder — management: Regional Sales Head
</t>
          </r>
          <r>
            <rPr>
              <rFont val="Calibri"/>
              <b val="1"/>
              <sz val="10"/>
            </rPr>
            <t>Typical experience:</t>
          </r>
          <r>
            <rPr>
              <rFont val="Calibri"/>
              <sz val="10"/>
            </rPr>
            <t xml:space="preserve"> 12–17 yrs · IRIS guide 10–14
</t>
          </r>
          <r>
            <rPr>
              <rFont val="Calibri"/>
              <b val="1"/>
              <sz val="10"/>
            </rPr>
            <t>Standard:</t>
          </r>
          <r>
            <rPr>
              <rFont val="Calibri"/>
              <sz val="10"/>
            </rPr>
            <t xml:space="preserve"> SaaS sales ladder; MEDDICC-style qualification</t>
          </r>
        </is>
      </c>
      <c r="BF30" s="134" t="inlineStr">
        <is>
          <t>Low</t>
        </is>
      </c>
      <c r="BG30" s="134" t="inlineStr">
        <is>
          <t>• No survey answers or KRA — the role factors rest on designation and reporting lines only</t>
        </is>
      </c>
      <c r="BH30" s="134" t="inlineStr"/>
      <c r="BI30" s="135" t="n"/>
      <c r="BJ30" s="136" t="n"/>
      <c r="BK30" s="136" t="n"/>
      <c r="BL30" s="136" t="n"/>
      <c r="BM30" s="136" t="n"/>
      <c r="BN30" s="137" t="n"/>
      <c r="BO30" s="120" t="n"/>
      <c r="BP30" s="120" t="n"/>
      <c r="BQ30" s="120" t="n"/>
      <c r="BR30" s="120" t="n"/>
      <c r="BS30" s="120" t="n"/>
      <c r="BT30" s="120" t="n"/>
      <c r="BU30" s="120" t="n"/>
      <c r="BV30" s="120" t="n">
        <v>8</v>
      </c>
    </row>
    <row r="31" ht="340" customHeight="1">
      <c r="A31" s="109" t="inlineStr">
        <is>
          <t>IRISDT0006</t>
        </is>
      </c>
      <c r="B31" s="110" t="inlineStr">
        <is>
          <t>Sanghamitra Saxena</t>
        </is>
      </c>
      <c r="C31" s="111" t="inlineStr">
        <is>
          <t>Technology</t>
        </is>
      </c>
      <c r="D31" s="111" t="inlineStr">
        <is>
          <t>Shilpa Dhobale</t>
        </is>
      </c>
      <c r="E31" s="112" t="n">
        <v>12.5</v>
      </c>
      <c r="F31" s="112" t="n">
        <v>1.2</v>
      </c>
      <c r="G31" s="111" t="inlineStr">
        <is>
          <t>M.Tech</t>
        </is>
      </c>
      <c r="H31" s="142" t="inlineStr">
        <is>
          <t>Solution Architect</t>
        </is>
      </c>
      <c r="I31" s="115" t="inlineStr">
        <is>
          <t>Solution Architect</t>
        </is>
      </c>
      <c r="J31" s="115" t="inlineStr">
        <is>
          <t>Engineering &amp; Architecture</t>
        </is>
      </c>
      <c r="K31" s="115" t="inlineStr">
        <is>
          <t>Solution &amp; Technical Architecture</t>
        </is>
      </c>
      <c r="L31" s="114" t="inlineStr">
        <is>
          <t>L3 – Professional / Associate</t>
        </is>
      </c>
      <c r="M31" s="138" t="inlineStr">
        <is>
          <t>C1</t>
        </is>
      </c>
      <c r="N31" s="151" t="inlineStr">
        <is>
          <t>Principal</t>
        </is>
      </c>
      <c r="O31" s="33" t="inlineStr">
        <is>
          <t>C</t>
        </is>
      </c>
      <c r="P31" s="115" t="inlineStr">
        <is>
          <t>IC</t>
        </is>
      </c>
      <c r="Q31" s="141" t="inlineStr">
        <is>
          <t>▲ Up</t>
        </is>
      </c>
      <c r="R31" s="118" t="inlineStr">
        <is>
          <r>
            <rPr>
              <rFont val="Calibri"/>
              <b val="1"/>
              <sz val="10"/>
            </rPr>
            <t>WHAT THE ROLE DOES:</t>
          </r>
          <r>
            <rPr>
              <rFont val="Calibri"/>
              <sz val="10"/>
            </rPr>
            <t xml:space="preserve"> Designs system / solution architecture, integrations and technical standards; guides build teams. At C1: a sub-function, or principal authority across products.
</t>
          </r>
          <r>
            <rPr>
              <rFont val="Calibri"/>
              <b val="1"/>
              <sz val="10"/>
            </rPr>
            <t>Common themes in sub-family holders, all levels' answers:</t>
          </r>
          <r>
            <rPr>
              <rFont val="Calibri"/>
              <sz val="10"/>
            </rPr>
            <t xml:space="preserve"> technical · client · project · design · development · business
</t>
          </r>
          <r>
            <rPr>
              <rFont val="Calibri"/>
              <b val="1"/>
              <sz val="10"/>
            </rPr>
            <t>KEY RESPONSIBILITIES:</t>
          </r>
          <r>
            <rPr>
              <rFont val="Calibri"/>
              <sz val="10"/>
            </rPr>
            <t xml:space="preserve"> Designs system / solution architecture, integrations and technical standards; guides build teams; Ambiguous, cross-product problems; Sub-function results or domain quality across products
</t>
          </r>
          <r>
            <rPr>
              <rFont val="Calibri"/>
              <b val="1"/>
              <sz val="10"/>
            </rPr>
            <t>Common themes in sub-family holders, all levels' answers:</t>
          </r>
          <r>
            <rPr>
              <rFont val="Calibri"/>
              <sz val="10"/>
            </rPr>
            <t xml:space="preserve"> client · technical · documentation · solution · architecture · management
</t>
          </r>
          <r>
            <rPr>
              <rFont val="Calibri"/>
              <b val="1"/>
              <sz val="10"/>
            </rPr>
            <t>DELIVERS:</t>
          </r>
          <r>
            <rPr>
              <rFont val="Calibri"/>
              <sz val="10"/>
            </rPr>
            <t xml:space="preserve"> Sub-function results or domain quality across products
</t>
          </r>
          <r>
            <rPr>
              <rFont val="Calibri"/>
              <b val="1"/>
              <sz val="10"/>
            </rPr>
            <t>Common themes in sub-family holders, all levels' answers:</t>
          </r>
          <r>
            <rPr>
              <rFont val="Calibri"/>
              <sz val="10"/>
            </rPr>
            <t xml:space="preserve"> architecture · design · documentation · solution · technical · project
</t>
          </r>
          <r>
            <rPr>
              <rFont val="Calibri"/>
              <b val="1"/>
              <sz val="10"/>
            </rPr>
            <t>ACCOUNTABLE FOR:</t>
          </r>
          <r>
            <rPr>
              <rFont val="Calibri"/>
              <sz val="10"/>
            </rPr>
            <t xml:space="preserve"> Sub-function results or domain quality across products
</t>
          </r>
          <r>
            <rPr>
              <rFont val="Calibri"/>
              <b val="1"/>
              <sz val="10"/>
            </rPr>
            <t>Common themes in sub-family holders, all levels' answers:</t>
          </r>
          <r>
            <rPr>
              <rFont val="Calibri"/>
              <sz val="10"/>
            </rPr>
            <t xml:space="preserve"> technical · client · solution · architecture · design · am
</t>
          </r>
          <r>
            <rPr>
              <rFont val="Calibri"/>
              <b val="1"/>
              <sz val="10"/>
            </rPr>
            <t>DECIDES ALONE:</t>
          </r>
          <r>
            <rPr>
              <rFont val="Calibri"/>
              <sz val="10"/>
            </rPr>
            <t xml:space="preserve"> Sets direction for a sub-function or domain
</t>
          </r>
          <r>
            <rPr>
              <rFont val="Calibri"/>
              <b val="1"/>
              <sz val="10"/>
            </rPr>
            <t>Common themes in sub-family holders, all levels' answers:</t>
          </r>
          <r>
            <rPr>
              <rFont val="Calibri"/>
              <sz val="10"/>
            </rPr>
            <t xml:space="preserve"> technical · approach · design · standards
</t>
          </r>
          <r>
            <rPr>
              <rFont val="Calibri"/>
              <b val="1"/>
              <sz val="10"/>
            </rPr>
            <t>SKILLS &amp; KNOWLEDGE · role-holders:</t>
          </r>
          <r>
            <rPr>
              <rFont val="Calibri"/>
              <sz val="10"/>
            </rPr>
            <t xml:space="preserve"> Java · NET MVC · Spring Boot
</t>
          </r>
          <r>
            <rPr>
              <rFont val="Calibri"/>
              <b val="1"/>
              <sz val="10"/>
            </rPr>
            <t>TOOLS &amp; SYSTEMS:</t>
          </r>
          <r>
            <rPr>
              <rFont val="Calibri"/>
              <sz val="10"/>
            </rPr>
            <t xml:space="preserve"> Visual Studio
COMPETENCIES REQUIRED — must-have ★: System Design &amp; Architecture · Programming &amp; Tech-Stack Depth
</t>
          </r>
          <r>
            <rPr>
              <rFont val="Calibri"/>
              <b val="1"/>
              <sz val="10"/>
            </rPr>
            <t>OTHER FUNCTIONAL COMPETENCIES:</t>
          </r>
          <r>
            <rPr>
              <rFont val="Calibri"/>
              <sz val="10"/>
            </rPr>
            <t xml:space="preserve"> Cloud, DevOps &amp; CI/CD · Cybersecurity &amp; Infrastructure · Stakeholder &amp; Client Management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AWS / Azure architect · optional; Cloud / language certifications · optional
</t>
          </r>
          <r>
            <rPr>
              <rFont val="Calibri"/>
              <b val="1"/>
              <sz val="10"/>
            </rPr>
            <t>SOURCE:</t>
          </r>
          <r>
            <rPr>
              <rFont val="Calibri"/>
              <sz val="10"/>
            </rPr>
            <t xml:space="preserve"> Framework + sub-family themes · 3+ answered — 2 holders, 1 answered the survey; sub-family 9 answered; catalogue RC-057</t>
          </r>
        </is>
      </c>
      <c r="S31" s="119"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7 of 12 · C1-level impact.
From the survey and manager mapping — critical role: yes; successor named: no.
</t>
          </r>
          <r>
            <rPr>
              <rFont val="Calibri"/>
              <b val="1"/>
              <sz val="10"/>
            </rPr>
            <t>If the work is missed · role-holders' themes:</t>
          </r>
          <r>
            <rPr>
              <rFont val="Calibri"/>
              <sz val="10"/>
            </rPr>
            <t xml:space="preserve"> client · time · rework.
Manager talent mapping — Latest rating: 3 · 9-Box Grid placement: Future Leader.</t>
          </r>
        </is>
      </c>
      <c r="T31" s="120" t="n"/>
      <c r="U31" s="121" t="inlineStr">
        <is>
          <r>
            <rPr>
              <rFont val="Calibri"/>
              <sz val="10"/>
            </rPr>
            <t xml:space="preserve">Solution Architect in Technology · Datatech, C1 — IC.
</t>
          </r>
          <r>
            <rPr>
              <rFont val="Calibri"/>
              <b val="1"/>
              <sz val="10"/>
            </rPr>
            <t>The work:</t>
          </r>
          <r>
            <rPr>
              <rFont val="Calibri"/>
              <sz val="10"/>
            </rPr>
            <t xml:space="preserve"> Designs system / solution architecture, integrations and technical standards; guides build teams.
At this level the role owns a sub-function, or principal authority across products.
</t>
          </r>
          <r>
            <rPr>
              <rFont val="Calibri"/>
              <b val="1"/>
              <sz val="10"/>
            </rPr>
            <t>Key responsibilities:</t>
          </r>
          <r>
            <rPr>
              <rFont val="Calibri"/>
              <sz val="10"/>
            </rPr>
            <t xml:space="preserve"> Designs system / solution architecture, integrations and technical standards; guides build teams; Ambiguous, cross-product problems; Sub-function results or domain quality across products.
</t>
          </r>
          <r>
            <rPr>
              <rFont val="Calibri"/>
              <b val="1"/>
              <sz val="10"/>
            </rPr>
            <t>Holders describe it with:</t>
          </r>
          <r>
            <rPr>
              <rFont val="Calibri"/>
              <sz val="10"/>
            </rPr>
            <t xml:space="preserve"> client · technical · documentation · solution · architecture · management.</t>
          </r>
        </is>
      </c>
      <c r="V31" s="122" t="inlineStr">
        <is>
          <r>
            <rPr>
              <rFont val="Calibri"/>
              <b val="1"/>
              <sz val="10"/>
            </rPr>
            <t>Hire as:</t>
          </r>
          <r>
            <rPr>
              <rFont val="Calibri"/>
              <sz val="10"/>
            </rPr>
            <t xml:space="preserve"> Chief / Enterprise Architect — IRIS C1 Principal · IC
</t>
          </r>
          <r>
            <rPr>
              <rFont val="Calibri"/>
              <b val="1"/>
              <sz val="10"/>
            </rPr>
            <t>Market level:</t>
          </r>
          <r>
            <rPr>
              <rFont val="Calibri"/>
              <sz val="10"/>
            </rPr>
            <t xml:space="preserve"> P6 / M5 · SFIA 5–6
</t>
          </r>
          <r>
            <rPr>
              <rFont val="Calibri"/>
              <b val="1"/>
              <sz val="10"/>
            </rPr>
            <t>Experience:</t>
          </r>
          <r>
            <rPr>
              <rFont val="Calibri"/>
              <sz val="10"/>
            </rPr>
            <t xml:space="preserve"> 10–14 yrs · Education: BE / B.Tech / MCA / M.Tech
</t>
          </r>
          <r>
            <rPr>
              <rFont val="Calibri"/>
              <b val="1"/>
              <sz val="10"/>
            </rPr>
            <t>Equivalent titles at peers:</t>
          </r>
          <r>
            <rPr>
              <rFont val="Calibri"/>
              <sz val="10"/>
            </rPr>
            <t xml:space="preserve"> Nasdaq / AxiomSL – Principal SE · Salesforce – PMTS · Atlassian – P60 Principal · 10+ yrs · Freshworks – Senior Staff SE
</t>
          </r>
          <r>
            <rPr>
              <rFont val="Calibri"/>
              <b val="1"/>
              <sz val="10"/>
            </rPr>
            <t>Credentials:</t>
          </r>
          <r>
            <rPr>
              <rFont val="Calibri"/>
              <sz val="10"/>
            </rPr>
            <t xml:space="preserve"> AWS / Azure architect · optional; Cloud / language certifications · optional
</t>
          </r>
          <r>
            <rPr>
              <rFont val="Calibri"/>
              <b val="1"/>
              <sz val="10"/>
            </rPr>
            <t>Must already know:</t>
          </r>
          <r>
            <rPr>
              <rFont val="Calibri"/>
              <sz val="10"/>
            </rPr>
            <t xml:space="preserve"> Architecture governance, security by design</t>
          </r>
        </is>
      </c>
      <c r="W31" s="122" t="inlineStr">
        <is>
          <r>
            <rPr>
              <rFont val="Calibri"/>
              <sz val="10"/>
            </rPr>
            <t xml:space="preserve">FUNCTIONAL — skill level 4 of 5 · Advanced
 ★ System Design &amp; Architecture: Designs scalable, secure solutions across products; reviews designs
 ★ Programming &amp; Tech-Stack Depth: Sets coding standards; solves performance and design issues across modules
 •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Java · NET MVC · Spring Boot
</t>
          </r>
          <r>
            <rPr>
              <rFont val="Calibri"/>
              <b val="1"/>
              <sz val="10"/>
            </rPr>
            <t>TOOLS:</t>
          </r>
          <r>
            <rPr>
              <rFont val="Calibri"/>
              <sz val="10"/>
            </rPr>
            <t xml:space="preserve"> Visual Studio
★ = must-have for the family. Scale: 1 Awareness · 2 Working · 3 Practitioner · 4 Advanced · 5 Expert.</t>
          </r>
        </is>
      </c>
      <c r="X31" s="122" t="inlineStr">
        <is>
          <r>
            <rPr>
              <rFont val="Calibri"/>
              <sz val="10"/>
            </rPr>
            <t xml:space="preserve">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31" s="123" t="inlineStr">
        <is>
          <t>Datatech · Technology · Band C · Principal expert</t>
        </is>
      </c>
      <c r="Z31" s="124" t="n">
        <v>7</v>
      </c>
      <c r="AA31" s="125">
        <f>IFERROR(INDEX(WM_C,MATCH($Y31,WM_KEY,0)),"")</f>
        <v>0.59</v>
      </c>
      <c r="AB31" s="126">
        <f>IF(Z31="","",Z31*AA31)</f>
        <v>4.13</v>
      </c>
      <c r="AC31" s="124" t="n">
        <v>7</v>
      </c>
      <c r="AD31" s="125">
        <f>IFERROR(INDEX(WM_AU,MATCH($Y31,WM_KEY,0)),"")</f>
        <v>0.18</v>
      </c>
      <c r="AE31" s="126">
        <f>IF(AC31="","",AC31*AD31)</f>
        <v>1.26</v>
      </c>
      <c r="AF31" s="124" t="n">
        <v>7</v>
      </c>
      <c r="AG31" s="125">
        <f>IFERROR(INDEX(WM_AC,MATCH($Y31,WM_KEY,0)),"")</f>
        <v>0.05</v>
      </c>
      <c r="AH31" s="126">
        <f>IF(AF31="","",AF31*AG31)</f>
        <v>0.35</v>
      </c>
      <c r="AI31" s="124" t="n">
        <v>6</v>
      </c>
      <c r="AJ31" s="125">
        <f>IFERROR(INDEX(WM_L,MATCH($Y31,WM_KEY,0)),"")</f>
        <v>0.05</v>
      </c>
      <c r="AK31" s="126">
        <f>IF(AI31="","",AI31*AJ31)</f>
        <v>0.3</v>
      </c>
      <c r="AL31" s="124" t="n">
        <v>7.5</v>
      </c>
      <c r="AM31" s="125">
        <f>IFERROR(INDEX(WM_E,MATCH($Y31,WM_KEY,0)),"")</f>
        <v>0.05</v>
      </c>
      <c r="AN31" s="126">
        <f>IF(AL31="","",AL31*AM31)</f>
        <v>0.375</v>
      </c>
      <c r="AO31" s="127" t="n">
        <v>7.5</v>
      </c>
      <c r="AP31" s="125">
        <f>IFERROR(INDEX(WM_BI,MATCH($Y31,WM_KEY,0)),"")</f>
        <v>0.08</v>
      </c>
      <c r="AQ31" s="126">
        <f>IF(AO31="","",AO31*AP31)</f>
        <v>0.6</v>
      </c>
      <c r="AR31" s="126">
        <f>IF(COUNT(AB31,AE31,AH31,AK31,AN31,AQ31)&lt;6,"",SUM(AB31,AE31,AH31,AK31,AN31,AQ31))</f>
        <v>7.015</v>
      </c>
      <c r="AS31" s="128" t="str">
        <f>IF(AR31="","",INDEX({"A1","A2","A3","B1","B2","B3","C1","C2","D1","D2","E1","E2"},MAX(1,MIN(12,ROUND(AR31,0)))))</f>
        <v>C1</v>
      </c>
      <c r="AT31" s="129" t="inlineStr">
        <is>
          <r>
            <rPr>
              <rFont val="Calibri"/>
              <b val="1"/>
              <sz val="10"/>
            </rPr>
            <t>Weights:</t>
          </r>
          <r>
            <rPr>
              <rFont val="Calibri"/>
              <sz val="10"/>
            </rPr>
            <t xml:space="preserve"> Complexity 59% · Autonomy 18% · Business impact 8% · Accountability 5% · Leadership 5% · Experience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1" s="130" t="inlineStr">
        <is>
          <r>
            <rPr>
              <rFont val="Calibri"/>
              <b val="1"/>
              <sz val="10"/>
            </rPr>
            <t>At build:</t>
          </r>
          <r>
            <rPr>
              <rFont val="Calibri"/>
              <sz val="10"/>
            </rPr>
            <t xml:space="preserve"> Complexity 4.13 + Autonomy 1.26 + Accountability 0.35 + Leadership 0.30 + Experience 0.38 + Business impact 0.60
= 7.01 points → nearest level 7 = C1
</t>
          </r>
          <r>
            <rPr>
              <rFont val="Calibri"/>
              <b val="1"/>
              <sz val="10"/>
            </rPr>
            <t>Final level:</t>
          </r>
          <r>
            <rPr>
              <rFont val="Calibri"/>
              <sz val="10"/>
            </rPr>
            <t xml:space="preserve"> C1 · same as the score</t>
          </r>
        </is>
      </c>
      <c r="AV31" s="130" t="inlineStr">
        <is>
          <r>
            <rPr>
              <rFont val="Calibri"/>
              <b val="1"/>
              <sz val="10"/>
            </rPr>
            <t>No rule applied:</t>
          </r>
          <r>
            <rPr>
              <rFont val="Calibri"/>
              <sz val="10"/>
            </rPr>
            <t xml:space="preserve"> the score decides.</t>
          </r>
        </is>
      </c>
      <c r="AW31" s="147" t="inlineStr">
        <is>
          <r>
            <rPr>
              <rFont val="Calibri"/>
              <color rgb="009C0006"/>
              <sz val="10"/>
            </rPr>
            <t xml:space="preserve">Rated 7 of 12
</t>
          </r>
          <r>
            <rPr>
              <rFont val="Calibri"/>
              <b val="1"/>
              <color rgb="009C0006"/>
              <sz val="10"/>
            </rPr>
            <t>Start:</t>
          </r>
          <r>
            <rPr>
              <rFont val="Calibri"/>
              <color rgb="009C0006"/>
              <sz val="10"/>
            </rPr>
            <t xml:space="preserve"> 7.0 · principal / architect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C1 = Ambiguous, cross-product problems</t>
          </r>
        </is>
      </c>
      <c r="AX31" s="145" t="inlineStr">
        <is>
          <r>
            <rPr>
              <rFont val="Calibri"/>
              <color rgb="009C0006"/>
              <sz val="10"/>
            </rPr>
            <t xml:space="preserve">Rated 7 of 12
</t>
          </r>
          <r>
            <rPr>
              <rFont val="Calibri"/>
              <b val="1"/>
              <color rgb="009C0006"/>
              <sz val="10"/>
            </rPr>
            <t>Start:</t>
          </r>
          <r>
            <rPr>
              <rFont val="Calibri"/>
              <color rgb="009C0006"/>
              <sz val="10"/>
            </rPr>
            <t xml:space="preserve"> 7.0 · principal / architect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C1 = Sets direction for a sub-function or domain</t>
          </r>
        </is>
      </c>
      <c r="AY31" s="145" t="inlineStr">
        <is>
          <r>
            <rPr>
              <rFont val="Calibri"/>
              <color rgb="009C0006"/>
              <sz val="10"/>
            </rPr>
            <t xml:space="preserve">Rated 7 of 12
</t>
          </r>
          <r>
            <rPr>
              <rFont val="Calibri"/>
              <b val="1"/>
              <color rgb="009C0006"/>
              <sz val="10"/>
            </rPr>
            <t>Start:</t>
          </r>
          <r>
            <rPr>
              <rFont val="Calibri"/>
              <color rgb="009C0006"/>
              <sz val="10"/>
            </rPr>
            <t xml:space="preserve"> 7.0 · principal / architect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C1 = Sub-function results or domain quality across products</t>
          </r>
        </is>
      </c>
      <c r="AZ31" s="145" t="inlineStr">
        <is>
          <r>
            <rPr>
              <rFont val="Calibri"/>
              <color rgb="009C0006"/>
              <sz val="10"/>
            </rPr>
            <t xml:space="preserve">Rated 6 of 12
</t>
          </r>
          <r>
            <rPr>
              <rFont val="Calibri"/>
              <b val="1"/>
              <color rgb="009C0006"/>
              <sz val="10"/>
            </rPr>
            <t>Start:</t>
          </r>
          <r>
            <rPr>
              <rFont val="Calibri"/>
              <color rgb="009C0006"/>
              <sz val="10"/>
            </rPr>
            <t xml:space="preserve"> 6.0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B3 = IC: leads a practice · People: team leads / managers report in</t>
          </r>
        </is>
      </c>
      <c r="BA31" s="132" t="inlineStr">
        <is>
          <r>
            <rPr>
              <rFont val="Calibri"/>
              <sz val="10"/>
            </rPr>
            <t xml:space="preserve">Rated 7.5 of 12 · between C1 and C2
</t>
          </r>
          <r>
            <rPr>
              <rFont val="Calibri"/>
              <b val="1"/>
              <sz val="10"/>
            </rPr>
            <t>Experience:</t>
          </r>
          <r>
            <rPr>
              <rFont val="Calibri"/>
              <sz val="10"/>
            </rPr>
            <t xml:space="preserve"> 12.5 yrs total · 11.3 before IRIS + 1.2 at IRIS = 7.2 on the experience scale
</t>
          </r>
          <r>
            <rPr>
              <rFont val="Calibri"/>
              <b val="1"/>
              <sz val="10"/>
            </rPr>
            <t>Qualification:</t>
          </r>
          <r>
            <rPr>
              <rFont val="Calibri"/>
              <sz val="10"/>
            </rPr>
            <t xml:space="preserve"> M.Tech · postgraduate, relevant to the work → +0.5
</t>
          </r>
          <r>
            <rPr>
              <rFont val="Calibri"/>
              <b val="1"/>
              <sz val="10"/>
            </rPr>
            <t>Market:</t>
          </r>
          <r>
            <rPr>
              <rFont val="Calibri"/>
              <sz val="10"/>
            </rPr>
            <t xml:space="preserve"> C1 roles typically have 12–17 yrs · IRIS guide 10–14</t>
          </r>
        </is>
      </c>
      <c r="BB31" s="132" t="inlineStr">
        <is>
          <r>
            <rPr>
              <rFont val="Calibri"/>
              <sz val="10"/>
            </rPr>
            <t xml:space="preserve">Rated 7.5 of 12 — a starting estimate.
</t>
          </r>
          <r>
            <rPr>
              <rFont val="Calibri"/>
              <b val="1"/>
              <sz val="10"/>
            </rPr>
            <t>Start:</t>
          </r>
          <r>
            <rPr>
              <rFont val="Calibri"/>
              <sz val="10"/>
            </rPr>
            <t xml:space="preserve"> 7,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C1 = Changes results across a sub-function or across products · C2 = Drives a function's or department's results and costs</t>
          </r>
        </is>
      </c>
      <c r="BC31" s="148" t="inlineStr">
        <is>
          <t>• Survey response or KRAs describing the work · nothing on file — Employee + manager</t>
        </is>
      </c>
      <c r="BD31" s="134" t="inlineStr">
        <is>
          <t>✓ HRIS: 12.5 yrs, M.Tech, 0 direct reports
✗ Survey: no response
✗ KRAs: none on file
✓ Manager mapping: rating, 9-box
✗ Job description: not on file</t>
        </is>
      </c>
      <c r="BE31" s="134" t="inlineStr">
        <is>
          <r>
            <rPr>
              <rFont val="Calibri"/>
              <b val="1"/>
              <sz val="10"/>
            </rPr>
            <t>Market level:</t>
          </r>
          <r>
            <rPr>
              <rFont val="Calibri"/>
              <sz val="10"/>
            </rPr>
            <t xml:space="preserve"> P6 / M5 · SFIA 5–6
</t>
          </r>
          <r>
            <rPr>
              <rFont val="Calibri"/>
              <b val="1"/>
              <sz val="10"/>
            </rPr>
            <t>Typical title:</t>
          </r>
          <r>
            <rPr>
              <rFont val="Calibri"/>
              <sz val="10"/>
            </rPr>
            <t xml:space="preserve"> Chief / Enterprise Architect
</t>
          </r>
          <r>
            <rPr>
              <rFont val="Calibri"/>
              <b val="1"/>
              <sz val="10"/>
            </rPr>
            <t>At peers:</t>
          </r>
          <r>
            <rPr>
              <rFont val="Calibri"/>
              <sz val="10"/>
            </rPr>
            <t xml:space="preserve"> Nasdaq / AxiomSL – Principal SE · Salesforce – PMTS · Atlassian – P60 Principal · 10+ yrs
</t>
          </r>
          <r>
            <rPr>
              <rFont val="Calibri"/>
              <b val="1"/>
              <sz val="10"/>
            </rPr>
            <t>Typical experience:</t>
          </r>
          <r>
            <rPr>
              <rFont val="Calibri"/>
              <sz val="10"/>
            </rPr>
            <t xml:space="preserve"> 12–17 yrs · IRIS guide 10–14
</t>
          </r>
          <r>
            <rPr>
              <rFont val="Calibri"/>
              <b val="1"/>
              <sz val="10"/>
            </rPr>
            <t>Standard:</t>
          </r>
          <r>
            <rPr>
              <rFont val="Calibri"/>
              <sz val="10"/>
            </rPr>
            <t xml:space="preserve"> SFIA 9; TOGAF</t>
          </r>
        </is>
      </c>
      <c r="BF31" s="134" t="inlineStr">
        <is>
          <t>Low</t>
        </is>
      </c>
      <c r="BG31" s="134" t="inlineStr">
        <is>
          <t>• No survey answers or KRA — the role factors rest on designation and reporting lines only
• Final level C1 is 5 levels above the current level on record · L3 ≈ A2 — the record looks out of date; HR to confirm</t>
        </is>
      </c>
      <c r="BH31" s="134" t="inlineStr"/>
      <c r="BI31" s="135" t="n"/>
      <c r="BJ31" s="136" t="n"/>
      <c r="BK31" s="136" t="n"/>
      <c r="BL31" s="136" t="n"/>
      <c r="BM31" s="136" t="n"/>
      <c r="BN31" s="137" t="n"/>
      <c r="BO31" s="120" t="n"/>
      <c r="BP31" s="120" t="n"/>
      <c r="BQ31" s="120" t="n"/>
      <c r="BR31" s="120" t="n"/>
      <c r="BS31" s="120" t="n"/>
      <c r="BT31" s="120" t="n"/>
      <c r="BU31" s="120" t="n"/>
      <c r="BV31" s="120" t="n">
        <v>7.5</v>
      </c>
    </row>
    <row r="32" ht="340" customHeight="1">
      <c r="A32" s="109" t="inlineStr">
        <is>
          <t>IRISDTC002</t>
        </is>
      </c>
      <c r="B32" s="110" t="inlineStr">
        <is>
          <t>Akshay Shetty</t>
        </is>
      </c>
      <c r="C32" s="111" t="inlineStr">
        <is>
          <t>Technology</t>
        </is>
      </c>
      <c r="D32" s="111" t="inlineStr">
        <is>
          <t>Shilpa Dhobale</t>
        </is>
      </c>
      <c r="E32" s="112" t="n">
        <v>10.1</v>
      </c>
      <c r="F32" s="112" t="n">
        <v>0.9</v>
      </c>
      <c r="G32" s="111" t="inlineStr">
        <is>
          <t>M.Sc</t>
        </is>
      </c>
      <c r="H32" s="113" t="inlineStr">
        <is>
          <t>Consultant -Lead Developer</t>
        </is>
      </c>
      <c r="I32" s="114" t="inlineStr">
        <is>
          <t>Senior Technical Specialist – POD Lead</t>
        </is>
      </c>
      <c r="J32" s="115" t="inlineStr">
        <is>
          <t>Engineering &amp; Development</t>
        </is>
      </c>
      <c r="K32" s="115" t="inlineStr">
        <is>
          <t>Backend Development</t>
        </is>
      </c>
      <c r="L32" s="114" t="inlineStr">
        <is>
          <t>L5 – Lead · IC</t>
        </is>
      </c>
      <c r="M32" s="138" t="inlineStr">
        <is>
          <t>B2</t>
        </is>
      </c>
      <c r="N32" s="18" t="inlineStr">
        <is>
          <t>Senior Specialist · POD Lead</t>
        </is>
      </c>
      <c r="O32" s="20" t="inlineStr">
        <is>
          <t>B</t>
        </is>
      </c>
      <c r="P32" s="115" t="inlineStr">
        <is>
          <t>POD Lead</t>
        </is>
      </c>
      <c r="Q32" s="139" t="inlineStr">
        <is>
          <t>▼ Down · protected</t>
        </is>
      </c>
      <c r="R32" s="118" t="inlineStr">
        <is>
          <r>
            <rPr>
              <rFont val="Calibri"/>
              <b val="1"/>
              <sz val="10"/>
            </rPr>
            <t>WHAT THE ROLE DOES:</t>
          </r>
          <r>
            <rPr>
              <rFont val="Calibri"/>
              <sz val="10"/>
            </rPr>
            <t xml:space="preserve"> 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documentation · features · software · produce · deliver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design · am · accountable · solution · technical · delivery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technical · approach · design · implementation · ai · code
</t>
          </r>
          <r>
            <rPr>
              <rFont val="Calibri"/>
              <b val="1"/>
              <sz val="10"/>
            </rPr>
            <t>SKILLS &amp; KNOWLEDGE · role-holders:</t>
          </r>
          <r>
            <rPr>
              <rFont val="Calibri"/>
              <sz val="10"/>
            </rPr>
            <t xml:space="preserve"> NET MVC · Java
</t>
          </r>
          <r>
            <rPr>
              <rFont val="Calibri"/>
              <b val="1"/>
              <sz val="10"/>
            </rPr>
            <t>MANAGER-SET KRAs:</t>
          </r>
          <r>
            <rPr>
              <rFont val="Calibri"/>
              <sz val="10"/>
            </rPr>
            <t xml:space="preserve"> Common themes in manager-set KRAs: modules · coverage · complete · components · committed · sprint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7 answered the survey; sub-family 79 answered; catalogue RC-069</t>
          </r>
        </is>
      </c>
      <c r="S32"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2 direct reports.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2 · Potential: Low · 9-Box Grid placement: Performance Risk.</t>
          </r>
        </is>
      </c>
      <c r="T32" s="120" t="n"/>
      <c r="U32" s="121" t="inlineStr">
        <is>
          <r>
            <rPr>
              <rFont val="Calibri"/>
              <sz val="10"/>
            </rPr>
            <t xml:space="preserve">Senior Technical Specialist – POD Lead in Technology · Datatech, B2 — POD Lead.
</t>
          </r>
          <r>
            <rPr>
              <rFont val="Calibri"/>
              <b val="1"/>
              <sz val="10"/>
            </rPr>
            <t>The work:</t>
          </r>
          <r>
            <rPr>
              <rFont val="Calibri"/>
              <sz val="10"/>
            </rPr>
            <t xml:space="preserve"> Builds back-end services, APIs, processing/validation logic and DB code; fixes defects and delivers change requests.
At this level the role owns deep domain expertise, or one team.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Holders describe it with:</t>
          </r>
          <r>
            <rPr>
              <rFont val="Calibri"/>
              <sz val="10"/>
            </rPr>
            <t xml:space="preserve"> delivery · technical · code · solution design · ownership · leadership.
Leads 2 direct reports.</t>
          </r>
        </is>
      </c>
      <c r="V32" s="122" t="inlineStr">
        <is>
          <r>
            <rPr>
              <rFont val="Calibri"/>
              <b val="1"/>
              <sz val="10"/>
            </rPr>
            <t>Hire as:</t>
          </r>
          <r>
            <rPr>
              <rFont val="Calibri"/>
              <sz val="10"/>
            </rPr>
            <t xml:space="preserve"> Lead / Staff Engineer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32" s="122"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NET MVC · Java
★ = must-have for the family. Scale: 1 Awareness · 2 Working · 3 Practitioner · 4 Advanced · 5 Expert.</t>
          </r>
        </is>
      </c>
      <c r="X32" s="122"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2" s="123" t="inlineStr">
        <is>
          <t>Datatech · Technology · Band B · Expert / POD Lead</t>
        </is>
      </c>
      <c r="Z32" s="124" t="n">
        <v>4.5</v>
      </c>
      <c r="AA32" s="125">
        <f>IFERROR(INDEX(WM_C,MATCH($Y32,WM_KEY,0)),"")</f>
        <v>0.56</v>
      </c>
      <c r="AB32" s="126">
        <f>IF(Z32="","",Z32*AA32)</f>
        <v>2.52</v>
      </c>
      <c r="AC32" s="124" t="n">
        <v>4.5</v>
      </c>
      <c r="AD32" s="125">
        <f>IFERROR(INDEX(WM_AU,MATCH($Y32,WM_KEY,0)),"")</f>
        <v>0.17</v>
      </c>
      <c r="AE32" s="126">
        <f>IF(AC32="","",AC32*AD32)</f>
        <v>0.765</v>
      </c>
      <c r="AF32" s="124" t="n">
        <v>4</v>
      </c>
      <c r="AG32" s="125">
        <f>IFERROR(INDEX(WM_AC,MATCH($Y32,WM_KEY,0)),"")</f>
        <v>0.05</v>
      </c>
      <c r="AH32" s="126">
        <f>IF(AF32="","",AF32*AG32)</f>
        <v>0.2</v>
      </c>
      <c r="AI32" s="124" t="n">
        <v>3.5</v>
      </c>
      <c r="AJ32" s="125">
        <f>IFERROR(INDEX(WM_L,MATCH($Y32,WM_KEY,0)),"")</f>
        <v>0.05</v>
      </c>
      <c r="AK32" s="126">
        <f>IF(AI32="","",AI32*AJ32)</f>
        <v>0.175</v>
      </c>
      <c r="AL32" s="124" t="n">
        <v>6.5</v>
      </c>
      <c r="AM32" s="125">
        <f>IFERROR(INDEX(WM_E,MATCH($Y32,WM_KEY,0)),"")</f>
        <v>0.1</v>
      </c>
      <c r="AN32" s="126">
        <f>IF(AL32="","",AL32*AM32)</f>
        <v>0.65</v>
      </c>
      <c r="AO32" s="127" t="n">
        <v>4</v>
      </c>
      <c r="AP32" s="125">
        <f>IFERROR(INDEX(WM_BI,MATCH($Y32,WM_KEY,0)),"")</f>
        <v>0.07</v>
      </c>
      <c r="AQ32" s="126">
        <f>IF(AO32="","",AO32*AP32)</f>
        <v>0.28</v>
      </c>
      <c r="AR32" s="126">
        <f>IF(COUNT(AB32,AE32,AH32,AK32,AN32,AQ32)&lt;6,"",SUM(AB32,AE32,AH32,AK32,AN32,AQ32))</f>
        <v>4.59</v>
      </c>
      <c r="AS32" s="128" t="str">
        <f>IF(AR32="","",INDEX({"A1","A2","A3","B1","B2","B3","C1","C2","D1","D2","E1","E2"},MAX(1,MIN(12,ROUND(AR32,0)))))</f>
        <v>B2</v>
      </c>
      <c r="AT32"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2" s="130" t="inlineStr">
        <is>
          <r>
            <rPr>
              <rFont val="Calibri"/>
              <b val="1"/>
              <sz val="10"/>
            </rPr>
            <t>At build:</t>
          </r>
          <r>
            <rPr>
              <rFont val="Calibri"/>
              <sz val="10"/>
            </rPr>
            <t xml:space="preserve"> Complexity 2.52 + Autonomy 0.77 + Accountability 0.20 + Leadership 0.18 + Experience 0.65 + Business impact 0.28
= 4.59 points → nearest level 5 = B2
</t>
          </r>
          <r>
            <rPr>
              <rFont val="Calibri"/>
              <b val="1"/>
              <sz val="10"/>
            </rPr>
            <t>Final level:</t>
          </r>
          <r>
            <rPr>
              <rFont val="Calibri"/>
              <sz val="10"/>
            </rPr>
            <t xml:space="preserve"> B2 · same as the score</t>
          </r>
        </is>
      </c>
      <c r="AV32" s="130" t="inlineStr">
        <is>
          <r>
            <rPr>
              <rFont val="Calibri"/>
              <b val="1"/>
              <sz val="10"/>
            </rPr>
            <t>No rule applied:</t>
          </r>
          <r>
            <rPr>
              <rFont val="Calibri"/>
              <sz val="10"/>
            </rPr>
            <t xml:space="preserve"> the score decides.</t>
          </r>
        </is>
      </c>
      <c r="AW32"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Manager note only: end-to-end design and deployment of assigned modules with complex or high-risk features → moved down 0.5
</t>
          </r>
          <r>
            <rPr>
              <rFont val="Calibri"/>
              <b val="1"/>
              <sz val="10"/>
            </rPr>
            <t>KRA:</t>
          </r>
          <r>
            <rPr>
              <rFont val="Calibri"/>
              <sz val="10"/>
            </rPr>
            <t xml:space="preserve"> “1. End-to-end design and deployment of modules assigned covering complex or high-risk features 2. Drive significant tech-debt or…”
</t>
          </r>
          <r>
            <rPr>
              <rFont val="Calibri"/>
              <b val="1"/>
              <sz val="10"/>
            </rPr>
            <t>Market:</t>
          </r>
          <r>
            <rPr>
              <rFont val="Calibri"/>
              <sz val="10"/>
            </rPr>
            <t xml:space="preserve"> B1 = Domain specialist work · B2 = Hardest problems in the domain</t>
          </r>
        </is>
      </c>
      <c r="AX32"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No survey; note implies design calls on own assigned modules, nothing wider → moved down 0.5
</t>
          </r>
          <r>
            <rPr>
              <rFont val="Calibri"/>
              <b val="1"/>
              <sz val="10"/>
            </rPr>
            <t>Market:</t>
          </r>
          <r>
            <rPr>
              <rFont val="Calibri"/>
              <sz val="10"/>
            </rPr>
            <t xml:space="preserve"> B1 = Technical / QC / client calls for the domain · B2 = Allocates people and sets team priorities</t>
          </r>
        </is>
      </c>
      <c r="AY32" s="132" t="inlineStr">
        <is>
          <r>
            <rPr>
              <rFont val="Calibri"/>
              <sz val="10"/>
            </rPr>
            <t xml:space="preserve">Rated 4 of 12
</t>
          </r>
          <r>
            <rPr>
              <rFont val="Calibri"/>
              <b val="1"/>
              <sz val="10"/>
            </rPr>
            <t>Start:</t>
          </r>
          <r>
            <rPr>
              <rFont val="Calibri"/>
              <sz val="10"/>
            </rPr>
            <t xml:space="preserve"> 4.5 · manager / senior specialist title; 2 direct reports
</t>
          </r>
          <r>
            <rPr>
              <rFont val="Calibri"/>
              <b val="1"/>
              <sz val="10"/>
            </rPr>
            <t>Evidence reads like A3:</t>
          </r>
          <r>
            <rPr>
              <rFont val="Calibri"/>
              <sz val="10"/>
            </rPr>
            <t xml:space="preserve"> Note: assigned modules end to end, change failure rate, vulnerability remediation → moved down 0.5
</t>
          </r>
          <r>
            <rPr>
              <rFont val="Calibri"/>
              <b val="1"/>
              <sz val="10"/>
            </rPr>
            <t>KRA:</t>
          </r>
          <r>
            <rPr>
              <rFont val="Calibri"/>
              <sz val="10"/>
            </rPr>
            <t xml:space="preserve"> “1. End-to-end design and deployment of modules assigned covering complex or high-risk features 2. Drive significant tech-debt or…”
</t>
          </r>
          <r>
            <rPr>
              <rFont val="Calibri"/>
              <b val="1"/>
              <sz val="10"/>
            </rPr>
            <t>Market:</t>
          </r>
          <r>
            <rPr>
              <rFont val="Calibri"/>
              <sz val="10"/>
            </rPr>
            <t xml:space="preserve"> B1 = A domain or a small team</t>
          </r>
        </is>
      </c>
      <c r="AZ32" s="132"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2 direct reports in HR data; no leadership activity described → moved down 0.5
</t>
          </r>
          <r>
            <rPr>
              <rFont val="Calibri"/>
              <b val="1"/>
              <sz val="10"/>
            </rPr>
            <t>Team:</t>
          </r>
          <r>
            <rPr>
              <rFont val="Calibri"/>
              <sz val="10"/>
            </rPr>
            <t xml:space="preserve"> 2 direct reports · POD Lead
</t>
          </r>
          <r>
            <rPr>
              <rFont val="Calibri"/>
              <b val="1"/>
              <sz val="10"/>
            </rPr>
            <t>Market:</t>
          </r>
          <r>
            <rPr>
              <rFont val="Calibri"/>
              <sz val="10"/>
            </rPr>
            <t xml:space="preserve"> A3 = Not scored in Band A · B1 = IC: mentors and reviews · People: hands-on team lead of 3–5</t>
          </r>
        </is>
      </c>
      <c r="BA32" s="132" t="inlineStr">
        <is>
          <r>
            <rPr>
              <rFont val="Calibri"/>
              <sz val="10"/>
            </rPr>
            <t xml:space="preserve">Rated 6.5 of 12 · between B3 and C1
</t>
          </r>
          <r>
            <rPr>
              <rFont val="Calibri"/>
              <b val="1"/>
              <sz val="10"/>
            </rPr>
            <t>Experience:</t>
          </r>
          <r>
            <rPr>
              <rFont val="Calibri"/>
              <sz val="10"/>
            </rPr>
            <t xml:space="preserve"> 10.1 yrs total · 9.2 before IRIS + 0.9 at IRIS = 6.0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B2 roles typically have 6–10 yrs · IRIS guide 6–9</t>
          </r>
        </is>
      </c>
      <c r="BB32"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32" s="133" t="inlineStr"/>
      <c r="BD32" s="134" t="inlineStr">
        <is>
          <t>✓ HRIS: 10.1 yrs, M.Sc, 2 direct reports
✗ Survey: no response
✓ KRAs: manager-set, quarterly
✓ Manager mapping: rating, potential, 9-box
✗ Job description: not on file</t>
        </is>
      </c>
      <c r="BE32" s="134" t="inlineStr">
        <is>
          <r>
            <rPr>
              <rFont val="Calibri"/>
              <b val="1"/>
              <sz val="10"/>
            </rPr>
            <t>Market level:</t>
          </r>
          <r>
            <rPr>
              <rFont val="Calibri"/>
              <sz val="10"/>
            </rPr>
            <t xml:space="preserve"> P4 / M3 · SFIA 4–5
</t>
          </r>
          <r>
            <rPr>
              <rFont val="Calibri"/>
              <b val="1"/>
              <sz val="10"/>
            </rPr>
            <t>Typical title:</t>
          </r>
          <r>
            <rPr>
              <rFont val="Calibri"/>
              <sz val="10"/>
            </rPr>
            <t xml:space="preserve"> Lead / Staff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32" s="134" t="inlineStr">
        <is>
          <t>Medium</t>
        </is>
      </c>
      <c r="BG32" s="134" t="inlineStr">
        <is>
          <t>• Final level B2 is below the current level · L5 ≈ B3 — manager to confirm the scope of the role; pay and title are protected for one cycle</t>
        </is>
      </c>
      <c r="BH32" s="134" t="inlineStr"/>
      <c r="BI32" s="135" t="n"/>
      <c r="BJ32" s="136" t="n"/>
      <c r="BK32" s="136" t="n"/>
      <c r="BL32" s="136" t="n"/>
      <c r="BM32" s="136" t="n"/>
      <c r="BN32" s="137" t="n"/>
      <c r="BO32" s="120" t="n"/>
      <c r="BP32" s="120" t="n"/>
      <c r="BQ32" s="120" t="n"/>
      <c r="BR32" s="120" t="n"/>
      <c r="BS32" s="120" t="n"/>
      <c r="BT32" s="120" t="n"/>
      <c r="BU32" s="120" t="n"/>
      <c r="BV32" s="120" t="n">
        <v>4</v>
      </c>
    </row>
    <row r="33" ht="340" customHeight="1">
      <c r="A33" s="109" t="inlineStr">
        <is>
          <t>IRISDT0020</t>
        </is>
      </c>
      <c r="B33" s="110" t="inlineStr">
        <is>
          <t>Utkarsh Sagar Bafana</t>
        </is>
      </c>
      <c r="C33" s="111" t="inlineStr">
        <is>
          <t>Technology</t>
        </is>
      </c>
      <c r="D33" s="111" t="inlineStr">
        <is>
          <t>Nilesh Majumdar</t>
        </is>
      </c>
      <c r="E33" s="112" t="n">
        <v>4.6</v>
      </c>
      <c r="F33" s="112" t="n">
        <v>0.2</v>
      </c>
      <c r="G33" s="111" t="inlineStr">
        <is>
          <t>Bachelors of Vocational Studies</t>
        </is>
      </c>
      <c r="H33" s="113" t="inlineStr">
        <is>
          <t>UX Designer</t>
        </is>
      </c>
      <c r="I33" s="114" t="inlineStr">
        <is>
          <t>Senior Product Designer</t>
        </is>
      </c>
      <c r="J33" s="115" t="inlineStr">
        <is>
          <t>Design &amp; Creative</t>
        </is>
      </c>
      <c r="K33" s="115" t="inlineStr">
        <is>
          <t>UX / UI Design</t>
        </is>
      </c>
      <c r="L33" s="114" t="inlineStr">
        <is>
          <t>Not in current mapping files</t>
        </is>
      </c>
      <c r="M33" s="138" t="inlineStr">
        <is>
          <t>A3</t>
        </is>
      </c>
      <c r="N33" s="140" t="inlineStr">
        <is>
          <t>Senior Associate</t>
        </is>
      </c>
      <c r="O33" s="26" t="inlineStr">
        <is>
          <t>A</t>
        </is>
      </c>
      <c r="P33" s="115" t="inlineStr">
        <is>
          <t>IC</t>
        </is>
      </c>
      <c r="Q33" s="143" t="inlineStr">
        <is>
          <t>● Newly mapped</t>
        </is>
      </c>
      <c r="R33" s="118" t="inlineStr">
        <is>
          <r>
            <rPr>
              <rFont val="Calibri"/>
              <b val="1"/>
              <sz val="10"/>
            </rPr>
            <t>WHAT THE ROLE DOES:</t>
          </r>
          <r>
            <rPr>
              <rFont val="Calibri"/>
              <sz val="10"/>
            </rPr>
            <t xml:space="preserve"> Designs product screens, flows and prototypes. At A3: varied work; reviews juniors; go-to for a process.
</t>
          </r>
          <r>
            <rPr>
              <rFont val="Calibri"/>
              <b val="1"/>
              <sz val="10"/>
            </rPr>
            <t>KEY RESPONSIBILITIES:</t>
          </r>
          <r>
            <rPr>
              <rFont val="Calibri"/>
              <sz val="10"/>
            </rPr>
            <t xml:space="preserve"> Designs product screens, flows and prototypes;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COMPETENCIES REQUIRED — must-have ★: Product, Platform &amp; Domain Knowledge · Communication &amp; Presentation
</t>
          </r>
          <r>
            <rPr>
              <rFont val="Calibri"/>
              <b val="1"/>
              <sz val="10"/>
            </rPr>
            <t>OTHER FUNCTIONAL COMPETENCIES:</t>
          </r>
          <r>
            <rPr>
              <rFont val="Calibri"/>
              <sz val="10"/>
            </rPr>
            <t xml:space="preserve"> Marketing Tech &amp; Digital Marketing · Process Improvement &amp; Quality Mindset · AI, GenAI &amp; Prompt Engineering · Stakeholder &amp; Client 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only · fewer than 3 answered — 2 holders, 2 answered the survey; sub-family 2 answered; catalogue RC-054</t>
          </r>
        </is>
      </c>
      <c r="S3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Manager talent mapping — Latest rating: Not rated · manager · 9-Box Grid placement: Not placed · manager.</t>
          </r>
        </is>
      </c>
      <c r="T33" s="120" t="n"/>
      <c r="U33" s="121" t="inlineStr">
        <is>
          <r>
            <rPr>
              <rFont val="Calibri"/>
              <sz val="10"/>
            </rPr>
            <t xml:space="preserve">Senior Product Designer in Technology · Datatech, A3 — IC.
</t>
          </r>
          <r>
            <rPr>
              <rFont val="Calibri"/>
              <b val="1"/>
              <sz val="10"/>
            </rPr>
            <t>The work:</t>
          </r>
          <r>
            <rPr>
              <rFont val="Calibri"/>
              <sz val="10"/>
            </rPr>
            <t xml:space="preserve"> Designs product screens, flows and prototypes.
At this level the role owns varied work; reviews juniors; go-to for a process.
</t>
          </r>
          <r>
            <rPr>
              <rFont val="Calibri"/>
              <b val="1"/>
              <sz val="10"/>
            </rPr>
            <t>Key responsibilities:</t>
          </r>
          <r>
            <rPr>
              <rFont val="Calibri"/>
              <sz val="10"/>
            </rPr>
            <t xml:space="preserve"> Designs product screens, flows and prototypes; Varied and non-standard work; handles exceptions; A module / process, or work with client or regulatory consequences.</t>
          </r>
        </is>
      </c>
      <c r="V33" s="122" t="inlineStr">
        <is>
          <r>
            <rPr>
              <rFont val="Calibri"/>
              <b val="1"/>
              <sz val="10"/>
            </rPr>
            <t>Hire as:</t>
          </r>
          <r>
            <rPr>
              <rFont val="Calibri"/>
              <sz val="10"/>
            </rPr>
            <t xml:space="preserve"> Designer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design / communication
</t>
          </r>
          <r>
            <rPr>
              <rFont val="Calibri"/>
              <b val="1"/>
              <sz val="10"/>
            </rPr>
            <t>Equivalent titles at peers:</t>
          </r>
          <r>
            <rPr>
              <rFont val="Calibri"/>
              <sz val="10"/>
            </rPr>
            <t xml:space="preserve"> IRIS Vs Competitor Benchmark — UX / design ladder – Designer
</t>
          </r>
          <r>
            <rPr>
              <rFont val="Calibri"/>
              <b val="1"/>
              <sz val="10"/>
            </rPr>
            <t>Credentials:</t>
          </r>
          <r>
            <rPr>
              <rFont val="Calibri"/>
              <sz val="10"/>
            </rPr>
            <t xml:space="preserve"> Internal product certification
</t>
          </r>
          <r>
            <rPr>
              <rFont val="Calibri"/>
              <b val="1"/>
              <sz val="10"/>
            </rPr>
            <t>Must already know:</t>
          </r>
          <r>
            <rPr>
              <rFont val="Calibri"/>
              <sz val="10"/>
            </rPr>
            <t xml:space="preserve"> Brand and accessibility standards · WCAG</t>
          </r>
        </is>
      </c>
      <c r="W33" s="122" t="inlineStr">
        <is>
          <r>
            <rPr>
              <rFont val="Calibri"/>
              <sz val="10"/>
            </rPr>
            <t xml:space="preserve">FUNCTIONAL — skill level 3 of 5 · Practitioner
 ★ Product, Platform &amp; Domain Knowledge: Handles most product and domain scenarios
 ★ Communication &amp; Presentation: Writes and presents clearly to clients and teams
 • </t>
          </r>
          <r>
            <rPr>
              <rFont val="Calibri"/>
              <b val="1"/>
              <sz val="10"/>
            </rPr>
            <t>Marketing Tech &amp; Digital Marketing:</t>
          </r>
          <r>
            <rPr>
              <rFont val="Calibri"/>
              <sz val="10"/>
            </rPr>
            <t xml:space="preserve"> Runs campaigns, CRM, SEO and social channels
 • </t>
          </r>
          <r>
            <rPr>
              <rFont val="Calibri"/>
              <b val="1"/>
              <sz val="10"/>
            </rPr>
            <t>Process Improvement &amp; Quality Mindset:</t>
          </r>
          <r>
            <rPr>
              <rFont val="Calibri"/>
              <sz val="10"/>
            </rPr>
            <t xml:space="preserve"> Delivers right-first-time; improves own checklists
 • </t>
          </r>
          <r>
            <rPr>
              <rFont val="Calibri"/>
              <b val="1"/>
              <sz val="10"/>
            </rPr>
            <t>AI, GenAI &amp; Prompt Engineering:</t>
          </r>
          <r>
            <rPr>
              <rFont val="Calibri"/>
              <sz val="10"/>
            </rPr>
            <t xml:space="preserve"> Uses AI / LLM tools in own work and validates output
 • </t>
          </r>
          <r>
            <rPr>
              <rFont val="Calibri"/>
              <b val="1"/>
              <sz val="10"/>
            </rPr>
            <t>Stakeholder &amp; Client Management:</t>
          </r>
          <r>
            <rPr>
              <rFont val="Calibri"/>
              <sz val="10"/>
            </rPr>
            <t xml:space="preserve"> Manages client communication and expectations for own work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 = must-have for the family. Scale: 1 Awareness · 2 Working · 3 Practitioner · 4 Advanced · 5 Expert.</t>
          </r>
        </is>
      </c>
      <c r="X33"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3" s="123" t="inlineStr">
        <is>
          <t>Datatech · Technology · Band A · Early career</t>
        </is>
      </c>
      <c r="Z33" s="124" t="n">
        <v>2.5</v>
      </c>
      <c r="AA33" s="125">
        <f>IFERROR(INDEX(WM_C,MATCH($Y33,WM_KEY,0)),"")</f>
        <v>0.64</v>
      </c>
      <c r="AB33" s="126">
        <f>IF(Z33="","",Z33*AA33)</f>
        <v>1.6</v>
      </c>
      <c r="AC33" s="124" t="n">
        <v>2.5</v>
      </c>
      <c r="AD33" s="125">
        <f>IFERROR(INDEX(WM_AU,MATCH($Y33,WM_KEY,0)),"")</f>
        <v>0.16</v>
      </c>
      <c r="AE33" s="126">
        <f>IF(AC33="","",AC33*AD33)</f>
        <v>0.4</v>
      </c>
      <c r="AF33" s="124" t="n">
        <v>2.5</v>
      </c>
      <c r="AG33" s="125">
        <f>IFERROR(INDEX(WM_AC,MATCH($Y33,WM_KEY,0)),"")</f>
        <v>0.04</v>
      </c>
      <c r="AH33" s="126">
        <f>IF(AF33="","",AF33*AG33)</f>
        <v>0.1</v>
      </c>
      <c r="AI33" s="124" t="n">
        <v>1.5</v>
      </c>
      <c r="AJ33" s="125">
        <f>IFERROR(INDEX(WM_L,MATCH($Y33,WM_KEY,0)),"")</f>
        <v>0</v>
      </c>
      <c r="AK33" s="126">
        <f>IF(AI33="","",AI33*AJ33)</f>
        <v>0</v>
      </c>
      <c r="AL33" s="124" t="n">
        <v>3.5</v>
      </c>
      <c r="AM33" s="125">
        <f>IFERROR(INDEX(WM_E,MATCH($Y33,WM_KEY,0)),"")</f>
        <v>0.1</v>
      </c>
      <c r="AN33" s="126">
        <f>IF(AL33="","",AL33*AM33)</f>
        <v>0.35</v>
      </c>
      <c r="AO33" s="127" t="n">
        <v>2.5</v>
      </c>
      <c r="AP33" s="125">
        <f>IFERROR(INDEX(WM_BI,MATCH($Y33,WM_KEY,0)),"")</f>
        <v>0.06</v>
      </c>
      <c r="AQ33" s="126">
        <f>IF(AO33="","",AO33*AP33)</f>
        <v>0.15</v>
      </c>
      <c r="AR33" s="126">
        <f>IF(COUNT(AB33,AE33,AH33,AK33,AN33,AQ33)&lt;6,"",SUM(AB33,AE33,AH33,AK33,AN33,AQ33))</f>
        <v>2.6</v>
      </c>
      <c r="AS33" s="128" t="str">
        <f>IF(AR33="","",INDEX({"A1","A2","A3","B1","B2","B3","C1","C2","D1","D2","E1","E2"},MAX(1,MIN(12,ROUND(AR33,0)))))</f>
        <v>A3</v>
      </c>
      <c r="AT33"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3" s="130" t="inlineStr">
        <is>
          <r>
            <rPr>
              <rFont val="Calibri"/>
              <b val="1"/>
              <sz val="10"/>
            </rPr>
            <t>At build:</t>
          </r>
          <r>
            <rPr>
              <rFont val="Calibri"/>
              <sz val="10"/>
            </rPr>
            <t xml:space="preserve"> Complexity 1.60 + Autonomy 0.40 + Accountability 0.10 + Leadership 0.00 + Experience 0.35 + Business impact 0.15
= 2.60 points → nearest level 3 = A3
</t>
          </r>
          <r>
            <rPr>
              <rFont val="Calibri"/>
              <b val="1"/>
              <sz val="10"/>
            </rPr>
            <t>Final level:</t>
          </r>
          <r>
            <rPr>
              <rFont val="Calibri"/>
              <sz val="10"/>
            </rPr>
            <t xml:space="preserve"> A3 · same as the score</t>
          </r>
        </is>
      </c>
      <c r="AV33" s="130" t="inlineStr">
        <is>
          <r>
            <rPr>
              <rFont val="Calibri"/>
              <b val="1"/>
              <sz val="10"/>
            </rPr>
            <t>No rule applied:</t>
          </r>
          <r>
            <rPr>
              <rFont val="Calibri"/>
              <sz val="10"/>
            </rPr>
            <t xml:space="preserve"> the score decides.</t>
          </r>
        </is>
      </c>
      <c r="AW33"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Research, information architecture, wireframes, UI and interaction design in Figma; no harder cases shown → moved down 0.5
</t>
          </r>
          <r>
            <rPr>
              <rFont val="Calibri"/>
              <b val="1"/>
              <sz val="10"/>
            </rPr>
            <t>Market:</t>
          </r>
          <r>
            <rPr>
              <rFont val="Calibri"/>
              <sz val="10"/>
            </rPr>
            <t xml:space="preserve"> A2 = Standard work of the discipline · A3 = Varied and non-standard work; handles exceptions</t>
          </r>
        </is>
      </c>
      <c r="AX33"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Only 'ideating solutions' named; changes design on feedback → moved down 0.5
</t>
          </r>
          <r>
            <rPr>
              <rFont val="Calibri"/>
              <b val="1"/>
              <sz val="10"/>
            </rPr>
            <t>Market:</t>
          </r>
          <r>
            <rPr>
              <rFont val="Calibri"/>
              <sz val="10"/>
            </rPr>
            <t xml:space="preserve"> A2 = Chooses own approach within standards · A3 = Technical / QC / client calls on own work</t>
          </r>
        </is>
      </c>
      <c r="AY33"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Wireframes and UI designs handed to developers → moved down 0.5
</t>
          </r>
          <r>
            <rPr>
              <rFont val="Calibri"/>
              <b val="1"/>
              <sz val="10"/>
            </rPr>
            <t>Market:</t>
          </r>
          <r>
            <rPr>
              <rFont val="Calibri"/>
              <sz val="10"/>
            </rPr>
            <t xml:space="preserve"> A2 = Own deliverables · accuracy, TAT · A3 = A module / process, or work with client or regulatory consequences</t>
          </r>
        </is>
      </c>
      <c r="AZ33"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None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33" s="132" t="inlineStr">
        <is>
          <r>
            <rPr>
              <rFont val="Calibri"/>
              <sz val="10"/>
            </rPr>
            <t xml:space="preserve">Rated 3.5 of 12 · between A3 and B1
</t>
          </r>
          <r>
            <rPr>
              <rFont val="Calibri"/>
              <b val="1"/>
              <sz val="10"/>
            </rPr>
            <t>Experience:</t>
          </r>
          <r>
            <rPr>
              <rFont val="Calibri"/>
              <sz val="10"/>
            </rPr>
            <t xml:space="preserve"> 4.6 yrs total · 4.4 before IRIS + 0.2 at IRIS = 3.6 on the experience scale
</t>
          </r>
          <r>
            <rPr>
              <rFont val="Calibri"/>
              <b val="1"/>
              <sz val="10"/>
            </rPr>
            <t>Qualification:</t>
          </r>
          <r>
            <rPr>
              <rFont val="Calibri"/>
              <sz val="10"/>
            </rPr>
            <t xml:space="preserve"> Bachelors of Vocational Studies · graduate → no change
</t>
          </r>
          <r>
            <rPr>
              <rFont val="Calibri"/>
              <b val="1"/>
              <sz val="10"/>
            </rPr>
            <t>Market:</t>
          </r>
          <r>
            <rPr>
              <rFont val="Calibri"/>
              <sz val="10"/>
            </rPr>
            <t xml:space="preserve"> A3 roles typically have 2–5 yrs · IRIS guide 2–4</t>
          </r>
        </is>
      </c>
      <c r="BB33"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33" s="133" t="inlineStr"/>
      <c r="BD33" s="134" t="inlineStr">
        <is>
          <t>✓ HRIS: 4.6 yrs, Bachelors of Vocational Studies, 0 direct reports
✓ Survey: 20 of 20 questions answered
✗ KRAs: none on file
✓ Manager mapping: rating, 9-box
✗ Job description: not on file</t>
        </is>
      </c>
      <c r="BE33" s="134" t="inlineStr">
        <is>
          <r>
            <rPr>
              <rFont val="Calibri"/>
              <b val="1"/>
              <sz val="10"/>
            </rPr>
            <t>Market level:</t>
          </r>
          <r>
            <rPr>
              <rFont val="Calibri"/>
              <sz val="10"/>
            </rPr>
            <t xml:space="preserve"> P2 · SFIA 3 Apply
</t>
          </r>
          <r>
            <rPr>
              <rFont val="Calibri"/>
              <b val="1"/>
              <sz val="10"/>
            </rPr>
            <t>Typical title:</t>
          </r>
          <r>
            <rPr>
              <rFont val="Calibri"/>
              <sz val="10"/>
            </rPr>
            <t xml:space="preserve"> Designer
</t>
          </r>
          <r>
            <rPr>
              <rFont val="Calibri"/>
              <b val="1"/>
              <sz val="10"/>
            </rPr>
            <t>At peers:</t>
          </r>
          <r>
            <rPr>
              <rFont val="Calibri"/>
              <sz val="10"/>
            </rPr>
            <t xml:space="preserve"> IRIS Vs Competitor Benchmark — UX / design ladder: Designer
</t>
          </r>
          <r>
            <rPr>
              <rFont val="Calibri"/>
              <b val="1"/>
              <sz val="10"/>
            </rPr>
            <t>Typical experience:</t>
          </r>
          <r>
            <rPr>
              <rFont val="Calibri"/>
              <sz val="10"/>
            </rPr>
            <t xml:space="preserve"> 2–5 yrs · IRIS guide 2–4
</t>
          </r>
          <r>
            <rPr>
              <rFont val="Calibri"/>
              <b val="1"/>
              <sz val="10"/>
            </rPr>
            <t>Standard:</t>
          </r>
          <r>
            <rPr>
              <rFont val="Calibri"/>
              <sz val="10"/>
            </rPr>
            <t xml:space="preserve"> UX career ladder Junior → Designer → Senior → Lead → Principal; WCAG accessibility</t>
          </r>
        </is>
      </c>
      <c r="BF33" s="134" t="inlineStr">
        <is>
          <t>Medium</t>
        </is>
      </c>
      <c r="BG33" s="134" t="inlineStr"/>
      <c r="BH33" s="134" t="inlineStr"/>
      <c r="BI33" s="135" t="n"/>
      <c r="BJ33" s="136" t="n"/>
      <c r="BK33" s="136" t="n"/>
      <c r="BL33" s="136" t="n"/>
      <c r="BM33" s="136" t="n"/>
      <c r="BN33" s="137" t="n"/>
      <c r="BO33" s="120" t="n"/>
      <c r="BP33" s="120" t="n"/>
      <c r="BQ33" s="120" t="n"/>
      <c r="BR33" s="120" t="n"/>
      <c r="BS33" s="120" t="n"/>
      <c r="BT33" s="120" t="n"/>
      <c r="BU33" s="120" t="n"/>
      <c r="BV33" s="120" t="n">
        <v>2.5</v>
      </c>
    </row>
    <row r="34" ht="340" customHeight="1">
      <c r="A34" s="109" t="inlineStr">
        <is>
          <t>IRISDT0002</t>
        </is>
      </c>
      <c r="B34" s="110" t="inlineStr">
        <is>
          <t>Niraj Santosh Patil</t>
        </is>
      </c>
      <c r="C34" s="111" t="inlineStr">
        <is>
          <t>Technology</t>
        </is>
      </c>
      <c r="D34" s="111" t="inlineStr">
        <is>
          <t>Akshay Shetty</t>
        </is>
      </c>
      <c r="E34" s="112" t="n">
        <v>2.3</v>
      </c>
      <c r="F34" s="112" t="n">
        <v>2.3</v>
      </c>
      <c r="G34" s="111" t="inlineStr">
        <is>
          <t>B.Tech</t>
        </is>
      </c>
      <c r="H34" s="113" t="inlineStr">
        <is>
          <t>Junior Software Engineer</t>
        </is>
      </c>
      <c r="I34" s="114" t="inlineStr">
        <is>
          <t>Senior Software Engineer</t>
        </is>
      </c>
      <c r="J34" s="115" t="inlineStr">
        <is>
          <t>Engineering &amp; Development</t>
        </is>
      </c>
      <c r="K34" s="115" t="inlineStr">
        <is>
          <t>Backend Development</t>
        </is>
      </c>
      <c r="L34" s="114" t="inlineStr">
        <is>
          <t>L2 – Trainee</t>
        </is>
      </c>
      <c r="M34" s="138" t="inlineStr">
        <is>
          <t>A3</t>
        </is>
      </c>
      <c r="N34" s="140" t="inlineStr">
        <is>
          <t>Senior Associate</t>
        </is>
      </c>
      <c r="O34" s="26" t="inlineStr">
        <is>
          <t>A</t>
        </is>
      </c>
      <c r="P34" s="115" t="inlineStr">
        <is>
          <t>IC</t>
        </is>
      </c>
      <c r="Q34" s="141" t="inlineStr">
        <is>
          <t>▲ Up</t>
        </is>
      </c>
      <c r="R34"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3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2 · Potential: Low · 9-Box Grid placement: Performance Risk.</t>
          </r>
        </is>
      </c>
      <c r="T34" s="120" t="n"/>
      <c r="U34" s="121" t="inlineStr">
        <is>
          <r>
            <rPr>
              <rFont val="Calibri"/>
              <sz val="10"/>
            </rPr>
            <t xml:space="preserve">Senior Software Engineer in Technology · Datatech,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34"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34"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34"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4" s="123" t="inlineStr">
        <is>
          <t>Datatech · Technology · Band A · Early career</t>
        </is>
      </c>
      <c r="Z34" s="124" t="n">
        <v>2</v>
      </c>
      <c r="AA34" s="125">
        <f>IFERROR(INDEX(WM_C,MATCH($Y34,WM_KEY,0)),"")</f>
        <v>0.64</v>
      </c>
      <c r="AB34" s="126">
        <f>IF(Z34="","",Z34*AA34)</f>
        <v>1.28</v>
      </c>
      <c r="AC34" s="124" t="n">
        <v>2</v>
      </c>
      <c r="AD34" s="125">
        <f>IFERROR(INDEX(WM_AU,MATCH($Y34,WM_KEY,0)),"")</f>
        <v>0.16</v>
      </c>
      <c r="AE34" s="126">
        <f>IF(AC34="","",AC34*AD34)</f>
        <v>0.32</v>
      </c>
      <c r="AF34" s="124" t="n">
        <v>2</v>
      </c>
      <c r="AG34" s="125">
        <f>IFERROR(INDEX(WM_AC,MATCH($Y34,WM_KEY,0)),"")</f>
        <v>0.04</v>
      </c>
      <c r="AH34" s="126">
        <f>IF(AF34="","",AF34*AG34)</f>
        <v>0.08</v>
      </c>
      <c r="AI34" s="124" t="n">
        <v>1</v>
      </c>
      <c r="AJ34" s="125">
        <f>IFERROR(INDEX(WM_L,MATCH($Y34,WM_KEY,0)),"")</f>
        <v>0</v>
      </c>
      <c r="AK34" s="126">
        <f>IF(AI34="","",AI34*AJ34)</f>
        <v>0</v>
      </c>
      <c r="AL34" s="124" t="n">
        <v>2.5</v>
      </c>
      <c r="AM34" s="125">
        <f>IFERROR(INDEX(WM_E,MATCH($Y34,WM_KEY,0)),"")</f>
        <v>0.1</v>
      </c>
      <c r="AN34" s="126">
        <f>IF(AL34="","",AL34*AM34)</f>
        <v>0.25</v>
      </c>
      <c r="AO34" s="127" t="n">
        <v>2.5</v>
      </c>
      <c r="AP34" s="125">
        <f>IFERROR(INDEX(WM_BI,MATCH($Y34,WM_KEY,0)),"")</f>
        <v>0.06</v>
      </c>
      <c r="AQ34" s="126">
        <f>IF(AO34="","",AO34*AP34)</f>
        <v>0.15</v>
      </c>
      <c r="AR34" s="126">
        <f>IF(COUNT(AB34,AE34,AH34,AK34,AN34,AQ34)&lt;6,"",SUM(AB34,AE34,AH34,AK34,AN34,AQ34))</f>
        <v>2.08</v>
      </c>
      <c r="AS34" s="128" t="str">
        <f>IF(AR34="","",INDEX({"A1","A2","A3","B1","B2","B3","C1","C2","D1","D2","E1","E2"},MAX(1,MIN(12,ROUND(AR34,0)))))</f>
        <v>A2</v>
      </c>
      <c r="AT34"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4" s="130" t="inlineStr">
        <is>
          <r>
            <rPr>
              <rFont val="Calibri"/>
              <b val="1"/>
              <sz val="10"/>
            </rPr>
            <t>At build:</t>
          </r>
          <r>
            <rPr>
              <rFont val="Calibri"/>
              <sz val="10"/>
            </rPr>
            <t xml:space="preserve"> Complexity 1.28 + Autonomy 0.32 + Accountability 0.08 + Leadership 0.00 + Experience 0.25 + Business impact 0.15
= 2.08 points → nearest level 2 = A2
</t>
          </r>
          <r>
            <rPr>
              <rFont val="Calibri"/>
              <b val="1"/>
              <sz val="10"/>
            </rPr>
            <t>Final level:</t>
          </r>
          <r>
            <rPr>
              <rFont val="Calibri"/>
              <sz val="10"/>
            </rPr>
            <t xml:space="preserve"> A3 · a rule applied: see the next column</t>
          </r>
        </is>
      </c>
      <c r="AV34" s="130" t="inlineStr">
        <is>
          <r>
            <rPr>
              <rFont val="Calibri"/>
              <sz val="10"/>
            </rPr>
            <t xml:space="preserve">•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AW34" s="147"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Committed scope delivered per sprint — ≥ 85%. Averaged for quarter 2. Crash-free sessions — ≥ 99.5% · shared with QA 3. Change failure…”
</t>
          </r>
          <r>
            <rPr>
              <rFont val="Calibri"/>
              <b val="1"/>
              <color rgb="009C0006"/>
              <sz val="10"/>
            </rPr>
            <t>Market:</t>
          </r>
          <r>
            <rPr>
              <rFont val="Calibri"/>
              <color rgb="009C0006"/>
              <sz val="10"/>
            </rPr>
            <t xml:space="preserve"> A2 = Standard work of the discipline</t>
          </r>
        </is>
      </c>
      <c r="AX34" s="145"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34" s="145"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Committed scope delivered per sprint — ≥ 85%. Averaged for quarter 2. Crash-free sessions — ≥ 99.5% · shared with QA 3. Change failure…”
</t>
          </r>
          <r>
            <rPr>
              <rFont val="Calibri"/>
              <b val="1"/>
              <color rgb="009C0006"/>
              <sz val="10"/>
            </rPr>
            <t>Market:</t>
          </r>
          <r>
            <rPr>
              <rFont val="Calibri"/>
              <color rgb="009C0006"/>
              <sz val="10"/>
            </rPr>
            <t xml:space="preserve"> A2 = Own deliverables · accuracy, TAT</t>
          </r>
        </is>
      </c>
      <c r="AZ34" s="145" t="inlineStr">
        <is>
          <r>
            <rPr>
              <rFont val="Calibri"/>
              <color rgb="009C0006"/>
              <sz val="10"/>
            </rPr>
            <t xml:space="preserve">Rated 1 of 12 — not counted: the weight is 0% at this level
</t>
          </r>
          <r>
            <rPr>
              <rFont val="Calibri"/>
              <b val="1"/>
              <color rgb="009C0006"/>
              <sz val="10"/>
            </rPr>
            <t>Start:</t>
          </r>
          <r>
            <rPr>
              <rFont val="Calibri"/>
              <color rgb="009C0006"/>
              <sz val="10"/>
            </rPr>
            <t xml:space="preserve"> 1.0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A1 = Not scored in Band A</t>
          </r>
        </is>
      </c>
      <c r="BA34" s="132" t="inlineStr">
        <is>
          <r>
            <rPr>
              <rFont val="Calibri"/>
              <sz val="10"/>
            </rPr>
            <t xml:space="preserve">Rated 2.5 of 12 · between A2 and A3
</t>
          </r>
          <r>
            <rPr>
              <rFont val="Calibri"/>
              <b val="1"/>
              <sz val="10"/>
            </rPr>
            <t>Experience:</t>
          </r>
          <r>
            <rPr>
              <rFont val="Calibri"/>
              <sz val="10"/>
            </rPr>
            <t xml:space="preserve"> 2.3 yrs total · 2.3 at IRIS; none recorded before IRIS = 2.6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34"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34" s="133" t="inlineStr"/>
      <c r="BD34" s="134" t="inlineStr">
        <is>
          <t>✓ HRIS: 2.3 yrs, B.Tech, 0 direct reports
✓ Survey: 20 of 20 questions answered
✓ KRAs: manager-set, quarterly
✓ Manager mapping: rating, potential, 9-box
✗ Job description: not on file</t>
        </is>
      </c>
      <c r="BE34"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34" s="134" t="inlineStr">
        <is>
          <t>Low</t>
        </is>
      </c>
      <c r="BG34" s="134" t="inlineStr">
        <is>
          <t>• Survey answers are generic or do not match the role — not used as evidence; manager input needed</t>
        </is>
      </c>
      <c r="BH34" s="134" t="inlineStr"/>
      <c r="BI34" s="135" t="n"/>
      <c r="BJ34" s="136" t="n"/>
      <c r="BK34" s="136" t="n"/>
      <c r="BL34" s="136" t="n"/>
      <c r="BM34" s="136" t="n"/>
      <c r="BN34" s="137" t="n"/>
      <c r="BO34" s="120" t="n"/>
      <c r="BP34" s="120" t="n"/>
      <c r="BQ34" s="120" t="n"/>
      <c r="BR34" s="120" t="n"/>
      <c r="BS34" s="120" t="n"/>
      <c r="BT34" s="120" t="n"/>
      <c r="BU34" s="120" t="n"/>
      <c r="BV34" s="120" t="n">
        <v>2.5</v>
      </c>
    </row>
    <row r="35" ht="340" customHeight="1">
      <c r="A35" s="109" t="inlineStr">
        <is>
          <t>IRISDT0018</t>
        </is>
      </c>
      <c r="B35" s="110" t="inlineStr">
        <is>
          <t>Shivam Dhumal</t>
        </is>
      </c>
      <c r="C35" s="111" t="inlineStr">
        <is>
          <t>Technology</t>
        </is>
      </c>
      <c r="D35" s="111" t="inlineStr">
        <is>
          <t>Shilpa Dhobale</t>
        </is>
      </c>
      <c r="E35" s="112" t="n">
        <v>4.6</v>
      </c>
      <c r="F35" s="112" t="n">
        <v>0.5</v>
      </c>
      <c r="G35" s="111" t="inlineStr">
        <is>
          <t>B.Tech</t>
        </is>
      </c>
      <c r="H35" s="113" t="inlineStr">
        <is>
          <t>Software Engineer</t>
        </is>
      </c>
      <c r="I35" s="114" t="inlineStr">
        <is>
          <t>Senior Software Engineer</t>
        </is>
      </c>
      <c r="J35" s="115" t="inlineStr">
        <is>
          <t>Engineering &amp; Development</t>
        </is>
      </c>
      <c r="K35" s="115" t="inlineStr">
        <is>
          <t>Backend Development</t>
        </is>
      </c>
      <c r="L35" s="114" t="inlineStr">
        <is>
          <t>L3 – Professional / Associate</t>
        </is>
      </c>
      <c r="M35" s="138" t="inlineStr">
        <is>
          <t>A3</t>
        </is>
      </c>
      <c r="N35" s="140" t="inlineStr">
        <is>
          <t>Senior Associate</t>
        </is>
      </c>
      <c r="O35" s="26" t="inlineStr">
        <is>
          <t>A</t>
        </is>
      </c>
      <c r="P35" s="115" t="inlineStr">
        <is>
          <t>IC</t>
        </is>
      </c>
      <c r="Q35" s="141" t="inlineStr">
        <is>
          <t>▲ Up</t>
        </is>
      </c>
      <c r="R35" s="118"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3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T35" s="120" t="n"/>
      <c r="U35" s="121" t="inlineStr">
        <is>
          <r>
            <rPr>
              <rFont val="Calibri"/>
              <sz val="10"/>
            </rPr>
            <t xml:space="preserve">Senior Software Engineer in Technology · Datatech,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35"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35"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35"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5" s="123" t="inlineStr">
        <is>
          <t>Datatech · Technology · Band A · Early career</t>
        </is>
      </c>
      <c r="Z35" s="124" t="n">
        <v>2.5</v>
      </c>
      <c r="AA35" s="125">
        <f>IFERROR(INDEX(WM_C,MATCH($Y35,WM_KEY,0)),"")</f>
        <v>0.64</v>
      </c>
      <c r="AB35" s="126">
        <f>IF(Z35="","",Z35*AA35)</f>
        <v>1.6</v>
      </c>
      <c r="AC35" s="124" t="n">
        <v>2</v>
      </c>
      <c r="AD35" s="125">
        <f>IFERROR(INDEX(WM_AU,MATCH($Y35,WM_KEY,0)),"")</f>
        <v>0.16</v>
      </c>
      <c r="AE35" s="126">
        <f>IF(AC35="","",AC35*AD35)</f>
        <v>0.32</v>
      </c>
      <c r="AF35" s="124" t="n">
        <v>2.5</v>
      </c>
      <c r="AG35" s="125">
        <f>IFERROR(INDEX(WM_AC,MATCH($Y35,WM_KEY,0)),"")</f>
        <v>0.04</v>
      </c>
      <c r="AH35" s="126">
        <f>IF(AF35="","",AF35*AG35)</f>
        <v>0.1</v>
      </c>
      <c r="AI35" s="124" t="n">
        <v>1</v>
      </c>
      <c r="AJ35" s="125">
        <f>IFERROR(INDEX(WM_L,MATCH($Y35,WM_KEY,0)),"")</f>
        <v>0</v>
      </c>
      <c r="AK35" s="126">
        <f>IF(AI35="","",AI35*AJ35)</f>
        <v>0</v>
      </c>
      <c r="AL35" s="124" t="n">
        <v>3.5</v>
      </c>
      <c r="AM35" s="125">
        <f>IFERROR(INDEX(WM_E,MATCH($Y35,WM_KEY,0)),"")</f>
        <v>0.1</v>
      </c>
      <c r="AN35" s="126">
        <f>IF(AL35="","",AL35*AM35)</f>
        <v>0.35</v>
      </c>
      <c r="AO35" s="127" t="n">
        <v>3</v>
      </c>
      <c r="AP35" s="125">
        <f>IFERROR(INDEX(WM_BI,MATCH($Y35,WM_KEY,0)),"")</f>
        <v>0.06</v>
      </c>
      <c r="AQ35" s="126">
        <f>IF(AO35="","",AO35*AP35)</f>
        <v>0.18</v>
      </c>
      <c r="AR35" s="126">
        <f>IF(COUNT(AB35,AE35,AH35,AK35,AN35,AQ35)&lt;6,"",SUM(AB35,AE35,AH35,AK35,AN35,AQ35))</f>
        <v>2.55</v>
      </c>
      <c r="AS35" s="128" t="str">
        <f>IF(AR35="","",INDEX({"A1","A2","A3","B1","B2","B3","C1","C2","D1","D2","E1","E2"},MAX(1,MIN(12,ROUND(AR35,0)))))</f>
        <v>A3</v>
      </c>
      <c r="AT35"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5" s="130" t="inlineStr">
        <is>
          <r>
            <rPr>
              <rFont val="Calibri"/>
              <b val="1"/>
              <sz val="10"/>
            </rPr>
            <t>At build:</t>
          </r>
          <r>
            <rPr>
              <rFont val="Calibri"/>
              <sz val="10"/>
            </rPr>
            <t xml:space="preserve"> Complexity 1.60 + Autonomy 0.32 + Accountability 0.10 + Leadership 0.00 + Experience 0.35 + Business impact 0.18
= 2.55 points → nearest level 3 = A3
</t>
          </r>
          <r>
            <rPr>
              <rFont val="Calibri"/>
              <b val="1"/>
              <sz val="10"/>
            </rPr>
            <t>Final level:</t>
          </r>
          <r>
            <rPr>
              <rFont val="Calibri"/>
              <sz val="10"/>
            </rPr>
            <t xml:space="preserve"> A3 · same as the score</t>
          </r>
        </is>
      </c>
      <c r="AV35" s="130" t="inlineStr">
        <is>
          <r>
            <rPr>
              <rFont val="Calibri"/>
              <b val="1"/>
              <sz val="10"/>
            </rPr>
            <t>No rule applied:</t>
          </r>
          <r>
            <rPr>
              <rFont val="Calibri"/>
              <sz val="10"/>
            </rPr>
            <t xml:space="preserve"> the score decides.</t>
          </r>
        </is>
      </c>
      <c r="AW35"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Committed scope delivered per sprint — ≥ 85%. Averaged for quarter 2. Crash-free sessions — ≥ 99.5% · shared with QA 3. Change failure…”
</t>
          </r>
          <r>
            <rPr>
              <rFont val="Calibri"/>
              <b val="1"/>
              <sz val="10"/>
            </rPr>
            <t>Market:</t>
          </r>
          <r>
            <rPr>
              <rFont val="Calibri"/>
              <sz val="10"/>
            </rPr>
            <t xml:space="preserve"> A2 = Standard work of the discipline · A3 = Varied and non-standard work; handles exceptions</t>
          </r>
        </is>
      </c>
      <c r="AX35" s="132"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no change
</t>
          </r>
          <r>
            <rPr>
              <rFont val="Calibri"/>
              <b val="1"/>
              <sz val="10"/>
            </rPr>
            <t>Market:</t>
          </r>
          <r>
            <rPr>
              <rFont val="Calibri"/>
              <sz val="10"/>
            </rPr>
            <t xml:space="preserve"> A2 = Chooses own approach within standards</t>
          </r>
        </is>
      </c>
      <c r="AY35"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Committed scope delivered per sprint — ≥ 85%. Averaged for quarter 2. Crash-free sessions — ≥ 99.5% · shared with QA 3. Change failure…”
</t>
          </r>
          <r>
            <rPr>
              <rFont val="Calibri"/>
              <b val="1"/>
              <sz val="10"/>
            </rPr>
            <t>Market:</t>
          </r>
          <r>
            <rPr>
              <rFont val="Calibri"/>
              <sz val="10"/>
            </rPr>
            <t xml:space="preserve"> A2 = Own deliverables · accuracy, TAT · A3 = A module / process, or work with client or regulatory consequences</t>
          </r>
        </is>
      </c>
      <c r="AZ35"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36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35" s="132" t="inlineStr">
        <is>
          <r>
            <rPr>
              <rFont val="Calibri"/>
              <sz val="10"/>
            </rPr>
            <t xml:space="preserve">Rated 3.5 of 12 · between A3 and B1
</t>
          </r>
          <r>
            <rPr>
              <rFont val="Calibri"/>
              <b val="1"/>
              <sz val="10"/>
            </rPr>
            <t>Experience:</t>
          </r>
          <r>
            <rPr>
              <rFont val="Calibri"/>
              <sz val="10"/>
            </rPr>
            <t xml:space="preserve"> 4.6 yrs total · 4.1 before IRIS + 0.5 at IRIS = 3.6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35" s="132"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35" s="133" t="inlineStr"/>
      <c r="BD35" s="134" t="inlineStr">
        <is>
          <t>✓ HRIS: 4.6 yrs, B.Tech, 0 direct reports
✓ Survey: 20 of 20 questions answered
✓ KRAs: manager-set, quarterly
✓ Manager mapping: rating, potential, 9-box
✗ Job description: not on file</t>
        </is>
      </c>
      <c r="BE35"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35" s="134" t="inlineStr">
        <is>
          <t>Low</t>
        </is>
      </c>
      <c r="BG35" s="134" t="inlineStr">
        <is>
          <t>• Survey answers are generic or do not match the role — not used as evidence; manager input needed</t>
        </is>
      </c>
      <c r="BH35" s="134" t="inlineStr"/>
      <c r="BI35" s="135" t="n"/>
      <c r="BJ35" s="136" t="n"/>
      <c r="BK35" s="136" t="n"/>
      <c r="BL35" s="136" t="n"/>
      <c r="BM35" s="136" t="n"/>
      <c r="BN35" s="137" t="n"/>
      <c r="BO35" s="120" t="n"/>
      <c r="BP35" s="120" t="n"/>
      <c r="BQ35" s="120" t="n"/>
      <c r="BR35" s="120" t="n"/>
      <c r="BS35" s="120" t="n"/>
      <c r="BT35" s="120" t="n"/>
      <c r="BU35" s="120" t="n"/>
      <c r="BV35" s="120" t="n">
        <v>3</v>
      </c>
    </row>
    <row r="36" ht="340" customHeight="1">
      <c r="A36" s="109" t="inlineStr">
        <is>
          <t>IRISDT0004</t>
        </is>
      </c>
      <c r="B36" s="110" t="inlineStr">
        <is>
          <t>Krishnadev Arya</t>
        </is>
      </c>
      <c r="C36" s="111" t="inlineStr">
        <is>
          <t>Technology</t>
        </is>
      </c>
      <c r="D36" s="111" t="inlineStr">
        <is>
          <t>Akshay Shetty</t>
        </is>
      </c>
      <c r="E36" s="112" t="n">
        <v>1.7</v>
      </c>
      <c r="F36" s="112" t="n">
        <v>1.7</v>
      </c>
      <c r="G36" s="111" t="inlineStr">
        <is>
          <t>B.E</t>
        </is>
      </c>
      <c r="H36" s="113" t="inlineStr">
        <is>
          <t>Junior Software Engineer</t>
        </is>
      </c>
      <c r="I36" s="114" t="inlineStr">
        <is>
          <t>Software Engineer</t>
        </is>
      </c>
      <c r="J36" s="115" t="inlineStr">
        <is>
          <t>Engineering &amp; Development</t>
        </is>
      </c>
      <c r="K36" s="115" t="inlineStr">
        <is>
          <t>Backend Development</t>
        </is>
      </c>
      <c r="L36" s="115" t="inlineStr">
        <is>
          <t>L3 – Professional / Associate</t>
        </is>
      </c>
      <c r="M36" s="144" t="inlineStr">
        <is>
          <t>A2</t>
        </is>
      </c>
      <c r="N36" s="140" t="inlineStr">
        <is>
          <t>Associate</t>
        </is>
      </c>
      <c r="O36" s="26" t="inlineStr">
        <is>
          <t>A</t>
        </is>
      </c>
      <c r="P36" s="115" t="inlineStr">
        <is>
          <t>IC</t>
        </is>
      </c>
      <c r="Q36" s="117" t="inlineStr">
        <is>
          <t>• Same level</t>
        </is>
      </c>
      <c r="R36" s="118" t="inlineStr">
        <is>
          <r>
            <rPr>
              <rFont val="Calibri"/>
              <b val="1"/>
              <sz val="10"/>
            </rPr>
            <t>WHAT THE ROLE DOES:</t>
          </r>
          <r>
            <rPr>
              <rFont val="Calibri"/>
              <sz val="10"/>
            </rPr>
            <t xml:space="preserve"> 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solutions · bug · fixes · features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personally · reliable · delivering · am · accountable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implement · solutions · issues · structure · design
</t>
          </r>
          <r>
            <rPr>
              <rFont val="Calibri"/>
              <b val="1"/>
              <sz val="10"/>
            </rPr>
            <t>SKILLS &amp; KNOWLEDGE · role-holders:</t>
          </r>
          <r>
            <rPr>
              <rFont val="Calibri"/>
              <sz val="10"/>
            </rPr>
            <t xml:space="preserve"> NET MVC · Java
</t>
          </r>
          <r>
            <rPr>
              <rFont val="Calibri"/>
              <b val="1"/>
              <sz val="10"/>
            </rPr>
            <t>TOOLS &amp; SYSTEMS:</t>
          </r>
          <r>
            <rPr>
              <rFont val="Calibri"/>
              <sz val="10"/>
            </rPr>
            <t xml:space="preserve"> Postman · Oracle database
</t>
          </r>
          <r>
            <rPr>
              <rFont val="Calibri"/>
              <b val="1"/>
              <sz val="10"/>
            </rPr>
            <t>MANAGER-SET KRAs:</t>
          </r>
          <r>
            <rPr>
              <rFont val="Calibri"/>
              <sz val="10"/>
            </rPr>
            <t xml:space="preserve"> Common themes in manager-set KRAs: improve · deliver · modules · committed · coverage · automated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7 holders, 7 answered the survey; sub-family 79 answered; catalogue RC-066</t>
          </r>
        </is>
      </c>
      <c r="S36"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2 · Potential: Low · 9-Box Grid placement: Performance Risk.</t>
          </r>
        </is>
      </c>
      <c r="T36" s="120" t="n"/>
      <c r="U36" s="121" t="inlineStr">
        <is>
          <r>
            <rPr>
              <rFont val="Calibri"/>
              <sz val="10"/>
            </rPr>
            <t xml:space="preserve">Software Engineer in Technology · Datatech, A2 — IC.
</t>
          </r>
          <r>
            <rPr>
              <rFont val="Calibri"/>
              <b val="1"/>
              <sz val="10"/>
            </rPr>
            <t>The work:</t>
          </r>
          <r>
            <rPr>
              <rFont val="Calibri"/>
              <sz val="10"/>
            </rPr>
            <t xml:space="preserve"> Builds back-end services, APIs, processing/validation logic and DB code; fixes defects and delivers change requests.
At this level the role owns standard work delivered independently.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Holders describe it with:</t>
          </r>
          <r>
            <rPr>
              <rFont val="Calibri"/>
              <sz val="10"/>
            </rPr>
            <t xml:space="preserve"> fixing · quality · bug · development · client · code.</t>
          </r>
        </is>
      </c>
      <c r="V36" s="122"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36" s="122"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NET MVC · Java
</t>
          </r>
          <r>
            <rPr>
              <rFont val="Calibri"/>
              <b val="1"/>
              <sz val="10"/>
            </rPr>
            <t>TOOLS:</t>
          </r>
          <r>
            <rPr>
              <rFont val="Calibri"/>
              <sz val="10"/>
            </rPr>
            <t xml:space="preserve"> Postman · Oracle database
★ = must-have for the family. Scale: 1 Awareness · 2 Working · 3 Practitioner · 4 Advanced · 5 Expert.</t>
          </r>
        </is>
      </c>
      <c r="X36" s="122"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6" s="123" t="inlineStr">
        <is>
          <t>Datatech · Technology · Band A · Early career</t>
        </is>
      </c>
      <c r="Z36" s="124" t="n">
        <v>2</v>
      </c>
      <c r="AA36" s="125">
        <f>IFERROR(INDEX(WM_C,MATCH($Y36,WM_KEY,0)),"")</f>
        <v>0.64</v>
      </c>
      <c r="AB36" s="126">
        <f>IF(Z36="","",Z36*AA36)</f>
        <v>1.28</v>
      </c>
      <c r="AC36" s="124" t="n">
        <v>2</v>
      </c>
      <c r="AD36" s="125">
        <f>IFERROR(INDEX(WM_AU,MATCH($Y36,WM_KEY,0)),"")</f>
        <v>0.16</v>
      </c>
      <c r="AE36" s="126">
        <f>IF(AC36="","",AC36*AD36)</f>
        <v>0.32</v>
      </c>
      <c r="AF36" s="124" t="n">
        <v>2</v>
      </c>
      <c r="AG36" s="125">
        <f>IFERROR(INDEX(WM_AC,MATCH($Y36,WM_KEY,0)),"")</f>
        <v>0.04</v>
      </c>
      <c r="AH36" s="126">
        <f>IF(AF36="","",AF36*AG36)</f>
        <v>0.08</v>
      </c>
      <c r="AI36" s="124" t="n">
        <v>1</v>
      </c>
      <c r="AJ36" s="125">
        <f>IFERROR(INDEX(WM_L,MATCH($Y36,WM_KEY,0)),"")</f>
        <v>0</v>
      </c>
      <c r="AK36" s="126">
        <f>IF(AI36="","",AI36*AJ36)</f>
        <v>0</v>
      </c>
      <c r="AL36" s="124" t="n">
        <v>2.5</v>
      </c>
      <c r="AM36" s="125">
        <f>IFERROR(INDEX(WM_E,MATCH($Y36,WM_KEY,0)),"")</f>
        <v>0.1</v>
      </c>
      <c r="AN36" s="126">
        <f>IF(AL36="","",AL36*AM36)</f>
        <v>0.25</v>
      </c>
      <c r="AO36" s="127" t="n">
        <v>2.5</v>
      </c>
      <c r="AP36" s="125">
        <f>IFERROR(INDEX(WM_BI,MATCH($Y36,WM_KEY,0)),"")</f>
        <v>0.06</v>
      </c>
      <c r="AQ36" s="126">
        <f>IF(AO36="","",AO36*AP36)</f>
        <v>0.15</v>
      </c>
      <c r="AR36" s="126">
        <f>IF(COUNT(AB36,AE36,AH36,AK36,AN36,AQ36)&lt;6,"",SUM(AB36,AE36,AH36,AK36,AN36,AQ36))</f>
        <v>2.08</v>
      </c>
      <c r="AS36" s="128" t="str">
        <f>IF(AR36="","",INDEX({"A1","A2","A3","B1","B2","B3","C1","C2","D1","D2","E1","E2"},MAX(1,MIN(12,ROUND(AR36,0)))))</f>
        <v>A2</v>
      </c>
      <c r="AT36"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6" s="130" t="inlineStr">
        <is>
          <r>
            <rPr>
              <rFont val="Calibri"/>
              <b val="1"/>
              <sz val="10"/>
            </rPr>
            <t>At build:</t>
          </r>
          <r>
            <rPr>
              <rFont val="Calibri"/>
              <sz val="10"/>
            </rPr>
            <t xml:space="preserve"> Complexity 1.28 + Autonomy 0.32 + Accountability 0.08 + Leadership 0.00 + Experience 0.25 + Business impact 0.15
= 2.08 points → nearest level 2 = A2
</t>
          </r>
          <r>
            <rPr>
              <rFont val="Calibri"/>
              <b val="1"/>
              <sz val="10"/>
            </rPr>
            <t>Final level:</t>
          </r>
          <r>
            <rPr>
              <rFont val="Calibri"/>
              <sz val="10"/>
            </rPr>
            <t xml:space="preserve"> A2 · same as the score</t>
          </r>
        </is>
      </c>
      <c r="AV36" s="130" t="inlineStr">
        <is>
          <r>
            <rPr>
              <rFont val="Calibri"/>
              <b val="1"/>
              <sz val="10"/>
            </rPr>
            <t>No rule applied:</t>
          </r>
          <r>
            <rPr>
              <rFont val="Calibri"/>
              <sz val="10"/>
            </rPr>
            <t xml:space="preserve"> the score decides.</t>
          </r>
        </is>
      </c>
      <c r="AW36" s="147"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Committed scope delivered per sprint — ≥ 85%. Averaged for quarter 2. Crash-free sessions — ≥ 99.5% · shared with QA 3. Change failure…”
</t>
          </r>
          <r>
            <rPr>
              <rFont val="Calibri"/>
              <b val="1"/>
              <color rgb="009C0006"/>
              <sz val="10"/>
            </rPr>
            <t>Market:</t>
          </r>
          <r>
            <rPr>
              <rFont val="Calibri"/>
              <color rgb="009C0006"/>
              <sz val="10"/>
            </rPr>
            <t xml:space="preserve"> A2 = Standard work of the discipline</t>
          </r>
        </is>
      </c>
      <c r="AX36" s="145"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36" s="145"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Committed scope delivered per sprint — ≥ 85%. Averaged for quarter 2. Crash-free sessions — ≥ 99.5% · shared with QA 3. Change failure…”
</t>
          </r>
          <r>
            <rPr>
              <rFont val="Calibri"/>
              <b val="1"/>
              <color rgb="009C0006"/>
              <sz val="10"/>
            </rPr>
            <t>Market:</t>
          </r>
          <r>
            <rPr>
              <rFont val="Calibri"/>
              <color rgb="009C0006"/>
              <sz val="10"/>
            </rPr>
            <t xml:space="preserve"> A2 = Own deliverables · accuracy, TAT</t>
          </r>
        </is>
      </c>
      <c r="AZ36" s="145" t="inlineStr">
        <is>
          <r>
            <rPr>
              <rFont val="Calibri"/>
              <color rgb="009C0006"/>
              <sz val="10"/>
            </rPr>
            <t xml:space="preserve">Rated 1 of 12 — not counted: the weight is 0% at this level
</t>
          </r>
          <r>
            <rPr>
              <rFont val="Calibri"/>
              <b val="1"/>
              <color rgb="009C0006"/>
              <sz val="10"/>
            </rPr>
            <t>Start:</t>
          </r>
          <r>
            <rPr>
              <rFont val="Calibri"/>
              <color rgb="009C0006"/>
              <sz val="10"/>
            </rPr>
            <t xml:space="preserve"> 1.0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A1 = Not scored in Band A</t>
          </r>
        </is>
      </c>
      <c r="BA36" s="132" t="inlineStr">
        <is>
          <r>
            <rPr>
              <rFont val="Calibri"/>
              <sz val="10"/>
            </rPr>
            <t xml:space="preserve">Rated 2.5 of 12 · between A2 and A3
</t>
          </r>
          <r>
            <rPr>
              <rFont val="Calibri"/>
              <b val="1"/>
              <sz val="10"/>
            </rPr>
            <t>Experience:</t>
          </r>
          <r>
            <rPr>
              <rFont val="Calibri"/>
              <sz val="10"/>
            </rPr>
            <t xml:space="preserve"> 1.7 yrs total · 1.7 at IRIS; none recorded before IRIS = 2.4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A2 roles typically have 0–3 yrs · IRIS guide 0–2</t>
          </r>
        </is>
      </c>
      <c r="BB36" s="132"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36" s="133" t="inlineStr"/>
      <c r="BD36" s="134" t="inlineStr">
        <is>
          <t>✓ HRIS: 1.7 yrs, B.E, 0 direct reports
✓ Survey: 20 of 20 questions answered
✓ KRAs: manager-set, quarterly
✓ Manager mapping: rating, potential, 9-box
✗ Job description: not on file</t>
        </is>
      </c>
      <c r="BE36" s="134"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36" s="134" t="inlineStr">
        <is>
          <t>Low</t>
        </is>
      </c>
      <c r="BG36" s="134" t="inlineStr">
        <is>
          <t>• Survey answers are generic or do not match the role — not used as evidence; manager input needed</t>
        </is>
      </c>
      <c r="BH36" s="134" t="inlineStr"/>
      <c r="BI36" s="135" t="n"/>
      <c r="BJ36" s="136" t="n"/>
      <c r="BK36" s="136" t="n"/>
      <c r="BL36" s="136" t="n"/>
      <c r="BM36" s="136" t="n"/>
      <c r="BN36" s="137" t="n"/>
      <c r="BO36" s="120" t="n"/>
      <c r="BP36" s="120" t="n"/>
      <c r="BQ36" s="120" t="n"/>
      <c r="BR36" s="120" t="n"/>
      <c r="BS36" s="120" t="n"/>
      <c r="BT36" s="120" t="n"/>
      <c r="BU36" s="120" t="n"/>
      <c r="BV36" s="120" t="n">
        <v>2.5</v>
      </c>
    </row>
    <row r="37" ht="340" customHeight="1">
      <c r="A37" s="109" t="inlineStr">
        <is>
          <t>IRISDTN001</t>
        </is>
      </c>
      <c r="B37" s="110" t="inlineStr">
        <is>
          <t>Riyanka Dey</t>
        </is>
      </c>
      <c r="C37" s="111" t="inlineStr">
        <is>
          <t>Technology</t>
        </is>
      </c>
      <c r="D37" s="111" t="inlineStr">
        <is>
          <t>Nilesh Majumdar</t>
        </is>
      </c>
      <c r="E37" s="112" t="n">
        <v>0.6</v>
      </c>
      <c r="F37" s="112" t="n">
        <v>0.1</v>
      </c>
      <c r="G37" s="111" t="inlineStr">
        <is>
          <t>B.E</t>
        </is>
      </c>
      <c r="H37" s="113" t="inlineStr">
        <is>
          <t>Intern</t>
        </is>
      </c>
      <c r="I37" s="114" t="inlineStr">
        <is>
          <t>Intern – Product Operations &amp; Research</t>
        </is>
      </c>
      <c r="J37" s="115" t="inlineStr">
        <is>
          <t>Product Management</t>
        </is>
      </c>
      <c r="K37" s="115" t="inlineStr">
        <is>
          <t>Product Operations &amp; Research</t>
        </is>
      </c>
      <c r="L37" s="114" t="inlineStr">
        <is>
          <t>Not in current mapping files</t>
        </is>
      </c>
      <c r="M37" s="138" t="inlineStr">
        <is>
          <t>A1</t>
        </is>
      </c>
      <c r="N37" s="140" t="inlineStr">
        <is>
          <t>Intern / Trainee</t>
        </is>
      </c>
      <c r="O37" s="26" t="inlineStr">
        <is>
          <t>A</t>
        </is>
      </c>
      <c r="P37" s="115" t="inlineStr">
        <is>
          <t>IC</t>
        </is>
      </c>
      <c r="Q37" s="143" t="inlineStr">
        <is>
          <t>● Newly mapped</t>
        </is>
      </c>
      <c r="R37" s="118" t="inlineStr">
        <is>
          <r>
            <rPr>
              <rFont val="Calibri"/>
              <b val="1"/>
              <sz val="10"/>
            </rPr>
            <t>WHAT THE ROLE DOES:</t>
          </r>
          <r>
            <rPr>
              <rFont val="Calibri"/>
              <sz val="10"/>
            </rPr>
            <t xml:space="preserve"> Coordinates product activities and produces market / competitor research. At A1: learning the role; all work reviewed.
</t>
          </r>
          <r>
            <rPr>
              <rFont val="Calibri"/>
              <b val="1"/>
              <sz val="10"/>
            </rPr>
            <t>KEY RESPONSIBILITIES:</t>
          </r>
          <r>
            <rPr>
              <rFont val="Calibri"/>
              <sz val="10"/>
            </rPr>
            <t xml:space="preserve"> Coordinates product activities and produces market / competitor research; Learning; follows worked examples; Learning tasks
</t>
          </r>
          <r>
            <rPr>
              <rFont val="Calibri"/>
              <b val="1"/>
              <sz val="10"/>
            </rPr>
            <t>DELIVERS:</t>
          </r>
          <r>
            <rPr>
              <rFont val="Calibri"/>
              <sz val="10"/>
            </rPr>
            <t xml:space="preserve"> Learning tasks
</t>
          </r>
          <r>
            <rPr>
              <rFont val="Calibri"/>
              <b val="1"/>
              <sz val="10"/>
            </rPr>
            <t>DECIDES ALONE:</t>
          </r>
          <r>
            <rPr>
              <rFont val="Calibri"/>
              <sz val="10"/>
            </rPr>
            <t xml:space="preserve"> Needs approval / close guidance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only · fewer than 3 answered — 1 holder, 1 answered the survey; sub-family 2 answered; catalogue RC-129</t>
          </r>
        </is>
      </c>
      <c r="S37" s="119" t="inlineStr">
        <is>
          <r>
            <rPr>
              <rFont val="Calibri"/>
              <b val="1"/>
              <sz val="10"/>
            </rPr>
            <t>What the role answers for:</t>
          </r>
          <r>
            <rPr>
              <rFont val="Calibri"/>
              <sz val="10"/>
            </rPr>
            <t xml:space="preserve"> Learning tasks.
Manager talent mapping — Latest rating: Not rated · manager · 9-Box Grid placement: Not placed · manager.</t>
          </r>
        </is>
      </c>
      <c r="T37" s="120" t="n"/>
      <c r="U37" s="121" t="inlineStr">
        <is>
          <r>
            <rPr>
              <rFont val="Calibri"/>
              <sz val="10"/>
            </rPr>
            <t xml:space="preserve">Intern – Product Operations &amp; Research in Technology · Datatech, A1 — IC.
</t>
          </r>
          <r>
            <rPr>
              <rFont val="Calibri"/>
              <b val="1"/>
              <sz val="10"/>
            </rPr>
            <t>The work:</t>
          </r>
          <r>
            <rPr>
              <rFont val="Calibri"/>
              <sz val="10"/>
            </rPr>
            <t xml:space="preserve"> Coordinates product activities and produces market / competitor research.
At this level the role owns learning the role; all work reviewed.
</t>
          </r>
          <r>
            <rPr>
              <rFont val="Calibri"/>
              <b val="1"/>
              <sz val="10"/>
            </rPr>
            <t>Key responsibilities:</t>
          </r>
          <r>
            <rPr>
              <rFont val="Calibri"/>
              <sz val="10"/>
            </rPr>
            <t xml:space="preserve"> Coordinates product activities and produces market / competitor research; Learning; follows worked examples; Learning tasks.</t>
          </r>
        </is>
      </c>
      <c r="V37" s="122" t="inlineStr">
        <is>
          <r>
            <rPr>
              <rFont val="Calibri"/>
              <b val="1"/>
              <sz val="10"/>
            </rPr>
            <t>Hire as:</t>
          </r>
          <r>
            <rPr>
              <rFont val="Calibri"/>
              <sz val="10"/>
            </rPr>
            <t xml:space="preserve"> Product Analyst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Graduate; MBA / PGDM preferred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37" s="122" t="inlineStr">
        <is>
          <r>
            <rPr>
              <rFont val="Calibri"/>
              <sz val="10"/>
            </rPr>
            <t xml:space="preserve">FUNCTIONAL — skill level 1 of 5 · Awareness
 ★ Product, Platform &amp; Domain Knowledge: Handles most product and domain scenarios
 ★ Business Analysis &amp; Requirements Engineering: Writes BRD / FSD / user stories and validates them
 •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 = must-have for the family. Scale: 1 Awareness · 2 Working · 3 Practitioner · 4 Advanced · 5 Expert.</t>
          </r>
        </is>
      </c>
      <c r="X37" s="122" t="inlineStr">
        <is>
          <r>
            <rPr>
              <rFont val="Calibri"/>
              <sz val="10"/>
            </rPr>
            <t xml:space="preserve">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[Business Analysis &amp; Requirements Engineering · level 1] Tell me about recent work that shows this: "Writes BRD / FSD / user stories and validates them". What exactly did you do, how, and what was the result? Assess with: Case study.
3. [Data Analytics, BI &amp; Visualisation · level 1] Give an example that shows you can do this: "Builds MIS, dashboards and analysis". Assess with: Data case / practical.
4. [Strategic Thinking &amp; Business Acumen · level 1] Give an example that shows you can do this: "Connects work to business goals and budgets". Assess with: Case interview.
5. [Stakeholder &amp; Client Management · level 1] Give an example that shows you can do this: "Manages client communication and expectations for own work". Assess with: Role play / behavioural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37" s="123" t="inlineStr">
        <is>
          <t>—</t>
        </is>
      </c>
      <c r="Z37" s="124" t="n"/>
      <c r="AA37" s="125" t="n"/>
      <c r="AB37" s="126" t="n"/>
      <c r="AC37" s="124" t="n"/>
      <c r="AD37" s="125" t="n"/>
      <c r="AE37" s="126" t="n"/>
      <c r="AF37" s="124" t="n"/>
      <c r="AG37" s="125" t="n"/>
      <c r="AH37" s="126" t="n"/>
      <c r="AI37" s="124" t="n"/>
      <c r="AJ37" s="125" t="n"/>
      <c r="AK37" s="126" t="n"/>
      <c r="AL37" s="124" t="n"/>
      <c r="AM37" s="125" t="n"/>
      <c r="AN37" s="126" t="n"/>
      <c r="AO37" s="127" t="n"/>
      <c r="AP37" s="125" t="n"/>
      <c r="AQ37" s="126" t="n"/>
      <c r="AR37" s="126" t="inlineStr"/>
      <c r="AS37" s="128" t="inlineStr"/>
      <c r="AT37" s="129" t="inlineStr">
        <is>
          <r>
            <rPr>
              <rFont val="Calibri"/>
              <b val="1"/>
              <sz val="10"/>
            </rPr>
            <t>Not scored:</t>
          </r>
          <r>
            <rPr>
              <rFont val="Calibri"/>
              <sz val="10"/>
            </rPr>
            <t xml:space="preserve"> interns and first-year trainees start at A1.</t>
          </r>
        </is>
      </c>
      <c r="AU37" s="130" t="inlineStr">
        <is>
          <r>
            <rPr>
              <rFont val="Calibri"/>
              <b val="1"/>
              <sz val="10"/>
            </rPr>
            <t>Not scored:</t>
          </r>
          <r>
            <rPr>
              <rFont val="Calibri"/>
              <sz val="10"/>
            </rPr>
            <t xml:space="preserve"> interns and first-year trainees start at A1.</t>
          </r>
        </is>
      </c>
      <c r="AV37" s="130" t="inlineStr">
        <is>
          <t>Interns and first-year trainees start at A1.</t>
        </is>
      </c>
      <c r="AW37" s="131" t="inlineStr">
        <is>
          <r>
            <rPr>
              <rFont val="Calibri"/>
              <b val="1"/>
              <sz val="10"/>
            </rPr>
            <t>Not scored:</t>
          </r>
          <r>
            <rPr>
              <rFont val="Calibri"/>
              <sz val="10"/>
            </rPr>
            <t xml:space="preserve"> interns and first-year trainees start at A1.</t>
          </r>
        </is>
      </c>
      <c r="AX37" s="132" t="inlineStr">
        <is>
          <r>
            <rPr>
              <rFont val="Calibri"/>
              <b val="1"/>
              <sz val="10"/>
            </rPr>
            <t>Not scored:</t>
          </r>
          <r>
            <rPr>
              <rFont val="Calibri"/>
              <sz val="10"/>
            </rPr>
            <t xml:space="preserve"> interns and first-year trainees start at A1.</t>
          </r>
        </is>
      </c>
      <c r="AY37" s="132" t="inlineStr">
        <is>
          <r>
            <rPr>
              <rFont val="Calibri"/>
              <b val="1"/>
              <sz val="10"/>
            </rPr>
            <t>Not scored:</t>
          </r>
          <r>
            <rPr>
              <rFont val="Calibri"/>
              <sz val="10"/>
            </rPr>
            <t xml:space="preserve"> interns and first-year trainees start at A1.</t>
          </r>
        </is>
      </c>
      <c r="AZ37" s="132" t="inlineStr">
        <is>
          <r>
            <rPr>
              <rFont val="Calibri"/>
              <b val="1"/>
              <sz val="10"/>
            </rPr>
            <t>Not scored:</t>
          </r>
          <r>
            <rPr>
              <rFont val="Calibri"/>
              <sz val="10"/>
            </rPr>
            <t xml:space="preserve"> interns and first-year trainees start at A1.</t>
          </r>
        </is>
      </c>
      <c r="BA37" s="132" t="inlineStr">
        <is>
          <r>
            <rPr>
              <rFont val="Calibri"/>
              <b val="1"/>
              <sz val="10"/>
            </rPr>
            <t>Not scored:</t>
          </r>
          <r>
            <rPr>
              <rFont val="Calibri"/>
              <sz val="10"/>
            </rPr>
            <t xml:space="preserve"> interns and first-year trainees start at A1.</t>
          </r>
        </is>
      </c>
      <c r="BB37" s="132" t="inlineStr">
        <is>
          <r>
            <rPr>
              <rFont val="Calibri"/>
              <b val="1"/>
              <sz val="10"/>
            </rPr>
            <t>Not scored:</t>
          </r>
          <r>
            <rPr>
              <rFont val="Calibri"/>
              <sz val="10"/>
            </rPr>
            <t xml:space="preserve"> interns and first-year trainees start at A1.</t>
          </r>
        </is>
      </c>
      <c r="BC37" s="133" t="inlineStr"/>
      <c r="BD37" s="134" t="inlineStr">
        <is>
          <t>✓ HRIS: 0.6 yrs, B.E, 0 direct reports
✓ Survey: 20 of 20 questions answered
✗ KRAs: none on file
✓ Manager mapping: rating, 9-box
✗ Job description: not on file</t>
        </is>
      </c>
      <c r="BE37"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Product Analyst
</t>
          </r>
          <r>
            <rPr>
              <rFont val="Calibri"/>
              <b val="1"/>
              <sz val="10"/>
            </rPr>
            <t>Standard:</t>
          </r>
          <r>
            <rPr>
              <rFont val="Calibri"/>
              <sz val="10"/>
            </rPr>
            <t xml:space="preserve"> Pragmatic Institute Framework; AIPMM</t>
          </r>
        </is>
      </c>
      <c r="BF37" s="134" t="inlineStr">
        <is>
          <t>Medium</t>
        </is>
      </c>
      <c r="BG37" s="134" t="inlineStr">
        <is>
          <t>• Work described is bigger than the current designation suggests — manager to confirm the actual role</t>
        </is>
      </c>
      <c r="BH37" s="134" t="inlineStr"/>
      <c r="BI37" s="135" t="n"/>
      <c r="BJ37" s="136" t="n"/>
      <c r="BK37" s="136" t="n"/>
      <c r="BL37" s="136" t="n"/>
      <c r="BM37" s="136" t="n"/>
      <c r="BN37" s="137" t="n"/>
      <c r="BO37" s="120" t="n"/>
      <c r="BP37" s="120" t="n"/>
      <c r="BQ37" s="120" t="n"/>
      <c r="BR37" s="120" t="n"/>
      <c r="BS37" s="120" t="n"/>
      <c r="BT37" s="120" t="n"/>
      <c r="BU37" s="120" t="n"/>
      <c r="BV37" s="120" t="n"/>
    </row>
    <row r="38" ht="340" customHeight="1">
      <c r="A38" s="109" t="inlineStr">
        <is>
          <t>No Emp ID · external consultant</t>
        </is>
      </c>
      <c r="B38" s="110" t="inlineStr">
        <is>
          <t>Sadhan Kumar</t>
        </is>
      </c>
      <c r="C38" s="111" t="inlineStr">
        <is>
          <t>Technology</t>
        </is>
      </c>
      <c r="D38" s="111" t="inlineStr">
        <is>
          <t>Not provided · HRIS</t>
        </is>
      </c>
      <c r="E38" s="112" t="inlineStr">
        <is>
          <t>Not provided · HRIS</t>
        </is>
      </c>
      <c r="F38" s="112" t="n">
        <v>0.1</v>
      </c>
      <c r="G38" s="111" t="inlineStr">
        <is>
          <t>Not provided · HRIS</t>
        </is>
      </c>
      <c r="H38" s="113" t="inlineStr">
        <is>
          <t>Consultant</t>
        </is>
      </c>
      <c r="I38" s="114" t="inlineStr">
        <is>
          <t>Associate Consultant – Software Development</t>
        </is>
      </c>
      <c r="J38" s="115" t="inlineStr">
        <is>
          <t>Engineering &amp; Development</t>
        </is>
      </c>
      <c r="K38" s="115" t="inlineStr">
        <is>
          <t>Backend Development</t>
        </is>
      </c>
      <c r="L38" s="115" t="inlineStr">
        <is>
          <t>—</t>
        </is>
      </c>
      <c r="M38" s="150" t="inlineStr">
        <is>
          <t>X1</t>
        </is>
      </c>
      <c r="N38" s="136" t="inlineStr">
        <is>
          <t>Associate Consultant</t>
        </is>
      </c>
      <c r="O38" s="45" t="inlineStr">
        <is>
          <t>X</t>
        </is>
      </c>
      <c r="P38" s="115" t="inlineStr">
        <is>
          <t>Consultant</t>
        </is>
      </c>
      <c r="Q38" s="117" t="inlineStr">
        <is>
          <t>• Same level</t>
        </is>
      </c>
      <c r="R38"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38"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38" s="120" t="n"/>
      <c r="U38" s="121" t="inlineStr">
        <is>
          <r>
            <rPr>
              <rFont val="Calibri"/>
              <sz val="10"/>
            </rPr>
            <t xml:space="preserve">Associate Consultant – Software Development in Technology · Datatech,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38"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38" s="122" t="inlineStr">
        <is>
          <r>
            <rPr>
              <rFont val="Calibri"/>
              <b val="1"/>
              <sz val="10"/>
            </rPr>
            <t>Consultant:</t>
          </r>
          <r>
            <rPr>
              <rFont val="Calibri"/>
              <sz val="10"/>
            </rPr>
            <t xml:space="preserve"> competencies are set by the statement of work.</t>
          </r>
        </is>
      </c>
      <c r="X38" s="122" t="inlineStr">
        <is>
          <r>
            <rPr>
              <rFont val="Calibri"/>
              <b val="1"/>
              <sz val="10"/>
            </rPr>
            <t>Consultant:</t>
          </r>
          <r>
            <rPr>
              <rFont val="Calibri"/>
              <sz val="10"/>
            </rPr>
            <t xml:space="preserve"> assess against the statement of work — deliverables, rate card and references.</t>
          </r>
        </is>
      </c>
      <c r="Y38" s="123" t="inlineStr">
        <is>
          <t>—</t>
        </is>
      </c>
      <c r="Z38" s="124" t="n"/>
      <c r="AA38" s="125" t="n"/>
      <c r="AB38" s="126" t="n"/>
      <c r="AC38" s="124" t="n"/>
      <c r="AD38" s="125" t="n"/>
      <c r="AE38" s="126" t="n"/>
      <c r="AF38" s="124" t="n"/>
      <c r="AG38" s="125" t="n"/>
      <c r="AH38" s="126" t="n"/>
      <c r="AI38" s="124" t="n"/>
      <c r="AJ38" s="125" t="n"/>
      <c r="AK38" s="126" t="n"/>
      <c r="AL38" s="124" t="n"/>
      <c r="AM38" s="125" t="n"/>
      <c r="AN38" s="126" t="n"/>
      <c r="AO38" s="127" t="n"/>
      <c r="AP38" s="125" t="n"/>
      <c r="AQ38" s="126" t="n"/>
      <c r="AR38" s="126" t="inlineStr"/>
      <c r="AS38" s="128" t="inlineStr"/>
      <c r="AT38" s="129" t="inlineStr">
        <is>
          <r>
            <rPr>
              <rFont val="Calibri"/>
              <b val="1"/>
              <sz val="10"/>
            </rPr>
            <t>Not scored:</t>
          </r>
          <r>
            <rPr>
              <rFont val="Calibri"/>
              <sz val="10"/>
            </rPr>
            <t xml:space="preserve"> consultants sit outside the career ladder · X1–X3, by the scope of their statement of work.</t>
          </r>
        </is>
      </c>
      <c r="AU38" s="130" t="inlineStr">
        <is>
          <r>
            <rPr>
              <rFont val="Calibri"/>
              <b val="1"/>
              <sz val="10"/>
            </rPr>
            <t>Not scored:</t>
          </r>
          <r>
            <rPr>
              <rFont val="Calibri"/>
              <sz val="10"/>
            </rPr>
            <t xml:space="preserve"> consultants sit outside the career ladder · X1–X3, by the scope of their statement of work.</t>
          </r>
        </is>
      </c>
      <c r="AV38" s="130" t="inlineStr">
        <is>
          <t>Consultants sit outside the career ladder, at X1–X3 by the scope of their statement of work.</t>
        </is>
      </c>
      <c r="AW38" s="131" t="inlineStr">
        <is>
          <r>
            <rPr>
              <rFont val="Calibri"/>
              <b val="1"/>
              <sz val="10"/>
            </rPr>
            <t>Not scored:</t>
          </r>
          <r>
            <rPr>
              <rFont val="Calibri"/>
              <sz val="10"/>
            </rPr>
            <t xml:space="preserve"> consultants sit outside the career ladder · X1–X3, by the scope of their statement of work.</t>
          </r>
        </is>
      </c>
      <c r="AX38" s="132" t="inlineStr">
        <is>
          <r>
            <rPr>
              <rFont val="Calibri"/>
              <b val="1"/>
              <sz val="10"/>
            </rPr>
            <t>Not scored:</t>
          </r>
          <r>
            <rPr>
              <rFont val="Calibri"/>
              <sz val="10"/>
            </rPr>
            <t xml:space="preserve"> consultants sit outside the career ladder · X1–X3, by the scope of their statement of work.</t>
          </r>
        </is>
      </c>
      <c r="AY38" s="132" t="inlineStr">
        <is>
          <r>
            <rPr>
              <rFont val="Calibri"/>
              <b val="1"/>
              <sz val="10"/>
            </rPr>
            <t>Not scored:</t>
          </r>
          <r>
            <rPr>
              <rFont val="Calibri"/>
              <sz val="10"/>
            </rPr>
            <t xml:space="preserve"> consultants sit outside the career ladder · X1–X3, by the scope of their statement of work.</t>
          </r>
        </is>
      </c>
      <c r="AZ38" s="132" t="inlineStr">
        <is>
          <r>
            <rPr>
              <rFont val="Calibri"/>
              <b val="1"/>
              <sz val="10"/>
            </rPr>
            <t>Not scored:</t>
          </r>
          <r>
            <rPr>
              <rFont val="Calibri"/>
              <sz val="10"/>
            </rPr>
            <t xml:space="preserve"> consultants sit outside the career ladder · X1–X3, by the scope of their statement of work.</t>
          </r>
        </is>
      </c>
      <c r="BA38" s="132" t="inlineStr">
        <is>
          <r>
            <rPr>
              <rFont val="Calibri"/>
              <b val="1"/>
              <sz val="10"/>
            </rPr>
            <t>Not scored:</t>
          </r>
          <r>
            <rPr>
              <rFont val="Calibri"/>
              <sz val="10"/>
            </rPr>
            <t xml:space="preserve"> consultants sit outside the career ladder · X1–X3, by the scope of their statement of work.</t>
          </r>
        </is>
      </c>
      <c r="BB38" s="132" t="inlineStr">
        <is>
          <r>
            <rPr>
              <rFont val="Calibri"/>
              <b val="1"/>
              <sz val="10"/>
            </rPr>
            <t>Not scored:</t>
          </r>
          <r>
            <rPr>
              <rFont val="Calibri"/>
              <sz val="10"/>
            </rPr>
            <t xml:space="preserve"> consultants sit outside the career ladder · X1–X3, by the scope of their statement of work.</t>
          </r>
        </is>
      </c>
      <c r="BC38" s="133" t="inlineStr"/>
      <c r="BD38" s="134" t="inlineStr">
        <is>
          <t>✗ HRIS: experience missing, qualification missing, 0 direct reports
✗ Survey: no response
✗ KRAs: none on file
✓ Manager mapping: rating
✗ Job description: not on file</t>
        </is>
      </c>
      <c r="BE38" s="134" t="inlineStr">
        <is>
          <r>
            <rPr>
              <rFont val="Calibri"/>
              <b val="1"/>
              <sz val="10"/>
            </rPr>
            <t>Consultant:</t>
          </r>
          <r>
            <rPr>
              <rFont val="Calibri"/>
              <sz val="10"/>
            </rPr>
            <t xml:space="preserve"> priced by rate card under the statement of work.</t>
          </r>
        </is>
      </c>
      <c r="BF38" s="134" t="inlineStr">
        <is>
          <t>—</t>
        </is>
      </c>
      <c r="BG38" s="134" t="inlineStr"/>
      <c r="BH38" s="134" t="inlineStr"/>
      <c r="BI38" s="135" t="n"/>
      <c r="BJ38" s="136" t="n"/>
      <c r="BK38" s="136" t="n"/>
      <c r="BL38" s="136" t="n"/>
      <c r="BM38" s="136" t="n"/>
      <c r="BN38" s="137" t="n"/>
      <c r="BO38" s="120" t="n"/>
      <c r="BP38" s="120" t="n"/>
      <c r="BQ38" s="120" t="n"/>
      <c r="BR38" s="120" t="n"/>
      <c r="BS38" s="120" t="n"/>
      <c r="BT38" s="120" t="n"/>
      <c r="BU38" s="120" t="n"/>
      <c r="BV38" s="120" t="n"/>
    </row>
    <row r="39" ht="340" customHeight="1">
      <c r="A39" s="109" t="inlineStr">
        <is>
          <t>No Emp ID · external consultant</t>
        </is>
      </c>
      <c r="B39" s="110" t="inlineStr">
        <is>
          <t>Sohel Yadav</t>
        </is>
      </c>
      <c r="C39" s="111" t="inlineStr">
        <is>
          <t>Technology</t>
        </is>
      </c>
      <c r="D39" s="111" t="inlineStr">
        <is>
          <t>Not provided · HRIS</t>
        </is>
      </c>
      <c r="E39" s="112" t="inlineStr">
        <is>
          <t>Not provided · HRIS</t>
        </is>
      </c>
      <c r="F39" s="112" t="n">
        <v>0.3</v>
      </c>
      <c r="G39" s="111" t="inlineStr">
        <is>
          <t>Not provided · HRIS</t>
        </is>
      </c>
      <c r="H39" s="113" t="inlineStr">
        <is>
          <t>Consultant</t>
        </is>
      </c>
      <c r="I39" s="114" t="inlineStr">
        <is>
          <t>Associate Consultant – Software Development</t>
        </is>
      </c>
      <c r="J39" s="115" t="inlineStr">
        <is>
          <t>Engineering &amp; Development</t>
        </is>
      </c>
      <c r="K39" s="115" t="inlineStr">
        <is>
          <t>Backend Development</t>
        </is>
      </c>
      <c r="L39" s="115" t="inlineStr">
        <is>
          <t>—</t>
        </is>
      </c>
      <c r="M39" s="150" t="inlineStr">
        <is>
          <t>X1</t>
        </is>
      </c>
      <c r="N39" s="136" t="inlineStr">
        <is>
          <t>Associate Consultant</t>
        </is>
      </c>
      <c r="O39" s="45" t="inlineStr">
        <is>
          <t>X</t>
        </is>
      </c>
      <c r="P39" s="115" t="inlineStr">
        <is>
          <t>Consultant</t>
        </is>
      </c>
      <c r="Q39" s="117" t="inlineStr">
        <is>
          <t>• Same level</t>
        </is>
      </c>
      <c r="R39"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39"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39" s="120" t="n"/>
      <c r="U39" s="121" t="inlineStr">
        <is>
          <r>
            <rPr>
              <rFont val="Calibri"/>
              <sz val="10"/>
            </rPr>
            <t xml:space="preserve">Associate Consultant – Software Development in Technology · Datatech,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39"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39" s="122" t="inlineStr">
        <is>
          <r>
            <rPr>
              <rFont val="Calibri"/>
              <b val="1"/>
              <sz val="10"/>
            </rPr>
            <t>Consultant:</t>
          </r>
          <r>
            <rPr>
              <rFont val="Calibri"/>
              <sz val="10"/>
            </rPr>
            <t xml:space="preserve"> competencies are set by the statement of work.</t>
          </r>
        </is>
      </c>
      <c r="X39" s="122" t="inlineStr">
        <is>
          <r>
            <rPr>
              <rFont val="Calibri"/>
              <b val="1"/>
              <sz val="10"/>
            </rPr>
            <t>Consultant:</t>
          </r>
          <r>
            <rPr>
              <rFont val="Calibri"/>
              <sz val="10"/>
            </rPr>
            <t xml:space="preserve"> assess against the statement of work — deliverables, rate card and references.</t>
          </r>
        </is>
      </c>
      <c r="Y39" s="123" t="inlineStr">
        <is>
          <t>—</t>
        </is>
      </c>
      <c r="Z39" s="124" t="n"/>
      <c r="AA39" s="125" t="n"/>
      <c r="AB39" s="126" t="n"/>
      <c r="AC39" s="124" t="n"/>
      <c r="AD39" s="125" t="n"/>
      <c r="AE39" s="126" t="n"/>
      <c r="AF39" s="124" t="n"/>
      <c r="AG39" s="125" t="n"/>
      <c r="AH39" s="126" t="n"/>
      <c r="AI39" s="124" t="n"/>
      <c r="AJ39" s="125" t="n"/>
      <c r="AK39" s="126" t="n"/>
      <c r="AL39" s="124" t="n"/>
      <c r="AM39" s="125" t="n"/>
      <c r="AN39" s="126" t="n"/>
      <c r="AO39" s="127" t="n"/>
      <c r="AP39" s="125" t="n"/>
      <c r="AQ39" s="126" t="n"/>
      <c r="AR39" s="126" t="inlineStr"/>
      <c r="AS39" s="128" t="inlineStr"/>
      <c r="AT39" s="129" t="inlineStr">
        <is>
          <r>
            <rPr>
              <rFont val="Calibri"/>
              <b val="1"/>
              <sz val="10"/>
            </rPr>
            <t>Not scored:</t>
          </r>
          <r>
            <rPr>
              <rFont val="Calibri"/>
              <sz val="10"/>
            </rPr>
            <t xml:space="preserve"> consultants sit outside the career ladder · X1–X3, by the scope of their statement of work.</t>
          </r>
        </is>
      </c>
      <c r="AU39" s="130" t="inlineStr">
        <is>
          <r>
            <rPr>
              <rFont val="Calibri"/>
              <b val="1"/>
              <sz val="10"/>
            </rPr>
            <t>Not scored:</t>
          </r>
          <r>
            <rPr>
              <rFont val="Calibri"/>
              <sz val="10"/>
            </rPr>
            <t xml:space="preserve"> consultants sit outside the career ladder · X1–X3, by the scope of their statement of work.</t>
          </r>
        </is>
      </c>
      <c r="AV39" s="130" t="inlineStr">
        <is>
          <t>Consultants sit outside the career ladder, at X1–X3 by the scope of their statement of work.</t>
        </is>
      </c>
      <c r="AW39" s="131" t="inlineStr">
        <is>
          <r>
            <rPr>
              <rFont val="Calibri"/>
              <b val="1"/>
              <sz val="10"/>
            </rPr>
            <t>Not scored:</t>
          </r>
          <r>
            <rPr>
              <rFont val="Calibri"/>
              <sz val="10"/>
            </rPr>
            <t xml:space="preserve"> consultants sit outside the career ladder · X1–X3, by the scope of their statement of work.</t>
          </r>
        </is>
      </c>
      <c r="AX39" s="132" t="inlineStr">
        <is>
          <r>
            <rPr>
              <rFont val="Calibri"/>
              <b val="1"/>
              <sz val="10"/>
            </rPr>
            <t>Not scored:</t>
          </r>
          <r>
            <rPr>
              <rFont val="Calibri"/>
              <sz val="10"/>
            </rPr>
            <t xml:space="preserve"> consultants sit outside the career ladder · X1–X3, by the scope of their statement of work.</t>
          </r>
        </is>
      </c>
      <c r="AY39" s="132" t="inlineStr">
        <is>
          <r>
            <rPr>
              <rFont val="Calibri"/>
              <b val="1"/>
              <sz val="10"/>
            </rPr>
            <t>Not scored:</t>
          </r>
          <r>
            <rPr>
              <rFont val="Calibri"/>
              <sz val="10"/>
            </rPr>
            <t xml:space="preserve"> consultants sit outside the career ladder · X1–X3, by the scope of their statement of work.</t>
          </r>
        </is>
      </c>
      <c r="AZ39" s="132" t="inlineStr">
        <is>
          <r>
            <rPr>
              <rFont val="Calibri"/>
              <b val="1"/>
              <sz val="10"/>
            </rPr>
            <t>Not scored:</t>
          </r>
          <r>
            <rPr>
              <rFont val="Calibri"/>
              <sz val="10"/>
            </rPr>
            <t xml:space="preserve"> consultants sit outside the career ladder · X1–X3, by the scope of their statement of work.</t>
          </r>
        </is>
      </c>
      <c r="BA39" s="132" t="inlineStr">
        <is>
          <r>
            <rPr>
              <rFont val="Calibri"/>
              <b val="1"/>
              <sz val="10"/>
            </rPr>
            <t>Not scored:</t>
          </r>
          <r>
            <rPr>
              <rFont val="Calibri"/>
              <sz val="10"/>
            </rPr>
            <t xml:space="preserve"> consultants sit outside the career ladder · X1–X3, by the scope of their statement of work.</t>
          </r>
        </is>
      </c>
      <c r="BB39" s="132" t="inlineStr">
        <is>
          <r>
            <rPr>
              <rFont val="Calibri"/>
              <b val="1"/>
              <sz val="10"/>
            </rPr>
            <t>Not scored:</t>
          </r>
          <r>
            <rPr>
              <rFont val="Calibri"/>
              <sz val="10"/>
            </rPr>
            <t xml:space="preserve"> consultants sit outside the career ladder · X1–X3, by the scope of their statement of work.</t>
          </r>
        </is>
      </c>
      <c r="BC39" s="133" t="inlineStr"/>
      <c r="BD39" s="134" t="inlineStr">
        <is>
          <t>✗ HRIS: experience missing, qualification missing, 0 direct reports
✗ Survey: no response
✗ KRAs: none on file
✓ Manager mapping: rating
✗ Job description: not on file</t>
        </is>
      </c>
      <c r="BE39" s="134" t="inlineStr">
        <is>
          <r>
            <rPr>
              <rFont val="Calibri"/>
              <b val="1"/>
              <sz val="10"/>
            </rPr>
            <t>Consultant:</t>
          </r>
          <r>
            <rPr>
              <rFont val="Calibri"/>
              <sz val="10"/>
            </rPr>
            <t xml:space="preserve"> priced by rate card under the statement of work.</t>
          </r>
        </is>
      </c>
      <c r="BF39" s="134" t="inlineStr">
        <is>
          <t>—</t>
        </is>
      </c>
      <c r="BG39" s="134" t="inlineStr"/>
      <c r="BH39" s="134" t="inlineStr"/>
      <c r="BI39" s="135" t="n"/>
      <c r="BJ39" s="136" t="n"/>
      <c r="BK39" s="136" t="n"/>
      <c r="BL39" s="136" t="n"/>
      <c r="BM39" s="136" t="n"/>
      <c r="BN39" s="137" t="n"/>
      <c r="BO39" s="120" t="n"/>
      <c r="BP39" s="120" t="n"/>
      <c r="BQ39" s="120" t="n"/>
      <c r="BR39" s="120" t="n"/>
      <c r="BS39" s="120" t="n"/>
      <c r="BT39" s="120" t="n"/>
      <c r="BU39" s="120" t="n"/>
      <c r="BV39" s="120" t="n"/>
    </row>
    <row r="40" ht="340" customHeight="1">
      <c r="A40" s="109" t="inlineStr">
        <is>
          <t>No Emp ID · in-house consultant</t>
        </is>
      </c>
      <c r="B40" s="110" t="inlineStr">
        <is>
          <t>Vivek Kumar</t>
        </is>
      </c>
      <c r="C40" s="111" t="inlineStr">
        <is>
          <t>Technology</t>
        </is>
      </c>
      <c r="D40" s="111" t="inlineStr">
        <is>
          <t>Not provided · HRIS</t>
        </is>
      </c>
      <c r="E40" s="112" t="inlineStr">
        <is>
          <t>Not provided · HRIS</t>
        </is>
      </c>
      <c r="F40" s="112" t="n">
        <v>0.3</v>
      </c>
      <c r="G40" s="111" t="inlineStr">
        <is>
          <t>Not provided · HRIS</t>
        </is>
      </c>
      <c r="H40" s="113" t="inlineStr">
        <is>
          <t>Consultant</t>
        </is>
      </c>
      <c r="I40" s="114" t="inlineStr">
        <is>
          <t>Associate Consultant – Software Development</t>
        </is>
      </c>
      <c r="J40" s="115" t="inlineStr">
        <is>
          <t>Engineering &amp; Development</t>
        </is>
      </c>
      <c r="K40" s="115" t="inlineStr">
        <is>
          <t>Backend Development</t>
        </is>
      </c>
      <c r="L40" s="115" t="inlineStr">
        <is>
          <t>Not in current mapping files</t>
        </is>
      </c>
      <c r="M40" s="150" t="inlineStr">
        <is>
          <t>X1</t>
        </is>
      </c>
      <c r="N40" s="136" t="inlineStr">
        <is>
          <t>Associate Consultant</t>
        </is>
      </c>
      <c r="O40" s="45" t="inlineStr">
        <is>
          <t>X</t>
        </is>
      </c>
      <c r="P40" s="115" t="inlineStr">
        <is>
          <t>Consultant</t>
        </is>
      </c>
      <c r="Q40" s="117" t="inlineStr">
        <is>
          <t>• Same level</t>
        </is>
      </c>
      <c r="R40" s="118" t="inlineStr">
        <is>
          <r>
            <rPr>
              <rFont val="Calibri"/>
              <b val="1"/>
              <sz val="10"/>
            </rPr>
            <t>WHAT THE ROLE DOES:</t>
          </r>
          <r>
            <rPr>
              <rFont val="Calibri"/>
              <sz val="10"/>
            </rPr>
            <t xml:space="preserve"> 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16 holders, 0 answered the survey; sub-family 79 answered; catalogue RC-073</t>
          </r>
        </is>
      </c>
      <c r="S40" s="119"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T40" s="120" t="n"/>
      <c r="U40" s="121" t="inlineStr">
        <is>
          <r>
            <rPr>
              <rFont val="Calibri"/>
              <sz val="10"/>
            </rPr>
            <t xml:space="preserve">Associate Consultant – Software Development in Technology · Datatech, X1 — Consultant.
</t>
          </r>
          <r>
            <rPr>
              <rFont val="Calibri"/>
              <b val="1"/>
              <sz val="10"/>
            </rPr>
            <t>The work:</t>
          </r>
          <r>
            <rPr>
              <rFont val="Calibri"/>
              <sz val="10"/>
            </rPr>
            <t xml:space="preserve"> Builds back-end services, APIs, processing/validation logic and DB code; fixes defects and delivers change requests.
At this level the role owns defined deliverables under a statement of work · ≈ A2–A3.
</t>
          </r>
          <r>
            <rPr>
              <rFont val="Calibri"/>
              <b val="1"/>
              <sz val="10"/>
            </rPr>
            <t>Key responsibilities:</t>
          </r>
          <r>
            <rPr>
              <rFont val="Calibri"/>
              <sz val="10"/>
            </rPr>
            <t xml:space="preserve"> Builds back-end services, APIs, processing/validation logic and DB code; fixes defects and delivers change requests.
</t>
          </r>
          <r>
            <rPr>
              <rFont val="Calibri"/>
              <b val="1"/>
              <sz val="10"/>
            </rPr>
            <t>Holders describe it with:</t>
          </r>
          <r>
            <rPr>
              <rFont val="Calibri"/>
              <sz val="10"/>
            </rPr>
            <t xml:space="preserve"> development · code · quality · technical · support · software.</t>
          </r>
        </is>
      </c>
      <c r="V40" s="122" t="inlineStr">
        <is>
          <r>
            <rPr>
              <rFont val="Calibri"/>
              <sz val="10"/>
            </rPr>
            <t xml:space="preserve">External consultant — hire under a statement of work, priced by rate card. Scope: Associate Consultant – Software Development.
</t>
          </r>
          <r>
            <rPr>
              <rFont val="Calibri"/>
              <b val="1"/>
              <sz val="10"/>
            </rPr>
            <t>Skills:</t>
          </r>
          <r>
            <rPr>
              <rFont val="Calibri"/>
              <sz val="10"/>
            </rPr>
            <t xml:space="preserve"> Java · NET MVC · Debugging · AI · SQL · Technical knowledge · Problem Solving · Python</t>
          </r>
        </is>
      </c>
      <c r="W40" s="122" t="inlineStr">
        <is>
          <r>
            <rPr>
              <rFont val="Calibri"/>
              <b val="1"/>
              <sz val="10"/>
            </rPr>
            <t>Consultant:</t>
          </r>
          <r>
            <rPr>
              <rFont val="Calibri"/>
              <sz val="10"/>
            </rPr>
            <t xml:space="preserve"> competencies are set by the statement of work.</t>
          </r>
        </is>
      </c>
      <c r="X40" s="122" t="inlineStr">
        <is>
          <r>
            <rPr>
              <rFont val="Calibri"/>
              <b val="1"/>
              <sz val="10"/>
            </rPr>
            <t>Consultant:</t>
          </r>
          <r>
            <rPr>
              <rFont val="Calibri"/>
              <sz val="10"/>
            </rPr>
            <t xml:space="preserve"> assess against the statement of work — deliverables, rate card and references.</t>
          </r>
        </is>
      </c>
      <c r="Y40" s="123" t="inlineStr">
        <is>
          <t>—</t>
        </is>
      </c>
      <c r="Z40" s="124" t="n"/>
      <c r="AA40" s="125" t="n"/>
      <c r="AB40" s="126" t="n"/>
      <c r="AC40" s="124" t="n"/>
      <c r="AD40" s="125" t="n"/>
      <c r="AE40" s="126" t="n"/>
      <c r="AF40" s="124" t="n"/>
      <c r="AG40" s="125" t="n"/>
      <c r="AH40" s="126" t="n"/>
      <c r="AI40" s="124" t="n"/>
      <c r="AJ40" s="125" t="n"/>
      <c r="AK40" s="126" t="n"/>
      <c r="AL40" s="124" t="n"/>
      <c r="AM40" s="125" t="n"/>
      <c r="AN40" s="126" t="n"/>
      <c r="AO40" s="127" t="n"/>
      <c r="AP40" s="125" t="n"/>
      <c r="AQ40" s="126" t="n"/>
      <c r="AR40" s="126" t="inlineStr"/>
      <c r="AS40" s="128" t="inlineStr"/>
      <c r="AT40" s="129" t="inlineStr">
        <is>
          <r>
            <rPr>
              <rFont val="Calibri"/>
              <b val="1"/>
              <sz val="10"/>
            </rPr>
            <t>Not scored:</t>
          </r>
          <r>
            <rPr>
              <rFont val="Calibri"/>
              <sz val="10"/>
            </rPr>
            <t xml:space="preserve"> consultants sit outside the career ladder · X1–X3, by the scope of their statement of work.</t>
          </r>
        </is>
      </c>
      <c r="AU40" s="130" t="inlineStr">
        <is>
          <r>
            <rPr>
              <rFont val="Calibri"/>
              <b val="1"/>
              <sz val="10"/>
            </rPr>
            <t>Not scored:</t>
          </r>
          <r>
            <rPr>
              <rFont val="Calibri"/>
              <sz val="10"/>
            </rPr>
            <t xml:space="preserve"> consultants sit outside the career ladder · X1–X3, by the scope of their statement of work.</t>
          </r>
        </is>
      </c>
      <c r="AV40" s="130" t="inlineStr">
        <is>
          <t>Consultants sit outside the career ladder, at X1–X3 by the scope of their statement of work.</t>
        </is>
      </c>
      <c r="AW40" s="131" t="inlineStr">
        <is>
          <r>
            <rPr>
              <rFont val="Calibri"/>
              <b val="1"/>
              <sz val="10"/>
            </rPr>
            <t>Not scored:</t>
          </r>
          <r>
            <rPr>
              <rFont val="Calibri"/>
              <sz val="10"/>
            </rPr>
            <t xml:space="preserve"> consultants sit outside the career ladder · X1–X3, by the scope of their statement of work.</t>
          </r>
        </is>
      </c>
      <c r="AX40" s="132" t="inlineStr">
        <is>
          <r>
            <rPr>
              <rFont val="Calibri"/>
              <b val="1"/>
              <sz val="10"/>
            </rPr>
            <t>Not scored:</t>
          </r>
          <r>
            <rPr>
              <rFont val="Calibri"/>
              <sz val="10"/>
            </rPr>
            <t xml:space="preserve"> consultants sit outside the career ladder · X1–X3, by the scope of their statement of work.</t>
          </r>
        </is>
      </c>
      <c r="AY40" s="132" t="inlineStr">
        <is>
          <r>
            <rPr>
              <rFont val="Calibri"/>
              <b val="1"/>
              <sz val="10"/>
            </rPr>
            <t>Not scored:</t>
          </r>
          <r>
            <rPr>
              <rFont val="Calibri"/>
              <sz val="10"/>
            </rPr>
            <t xml:space="preserve"> consultants sit outside the career ladder · X1–X3, by the scope of their statement of work.</t>
          </r>
        </is>
      </c>
      <c r="AZ40" s="132" t="inlineStr">
        <is>
          <r>
            <rPr>
              <rFont val="Calibri"/>
              <b val="1"/>
              <sz val="10"/>
            </rPr>
            <t>Not scored:</t>
          </r>
          <r>
            <rPr>
              <rFont val="Calibri"/>
              <sz val="10"/>
            </rPr>
            <t xml:space="preserve"> consultants sit outside the career ladder · X1–X3, by the scope of their statement of work.</t>
          </r>
        </is>
      </c>
      <c r="BA40" s="132" t="inlineStr">
        <is>
          <r>
            <rPr>
              <rFont val="Calibri"/>
              <b val="1"/>
              <sz val="10"/>
            </rPr>
            <t>Not scored:</t>
          </r>
          <r>
            <rPr>
              <rFont val="Calibri"/>
              <sz val="10"/>
            </rPr>
            <t xml:space="preserve"> consultants sit outside the career ladder · X1–X3, by the scope of their statement of work.</t>
          </r>
        </is>
      </c>
      <c r="BB40" s="132" t="inlineStr">
        <is>
          <r>
            <rPr>
              <rFont val="Calibri"/>
              <b val="1"/>
              <sz val="10"/>
            </rPr>
            <t>Not scored:</t>
          </r>
          <r>
            <rPr>
              <rFont val="Calibri"/>
              <sz val="10"/>
            </rPr>
            <t xml:space="preserve"> consultants sit outside the career ladder · X1–X3, by the scope of their statement of work.</t>
          </r>
        </is>
      </c>
      <c r="BC40" s="133" t="inlineStr"/>
      <c r="BD40" s="134" t="inlineStr">
        <is>
          <t>✗ HRIS: experience missing, qualification missing, 0 direct reports
✗ Survey: no response
✗ KRAs: none on file
✓ Manager mapping: rating
✗ Job description: not on file</t>
        </is>
      </c>
      <c r="BE40" s="134" t="inlineStr">
        <is>
          <r>
            <rPr>
              <rFont val="Calibri"/>
              <b val="1"/>
              <sz val="10"/>
            </rPr>
            <t>Consultant:</t>
          </r>
          <r>
            <rPr>
              <rFont val="Calibri"/>
              <sz val="10"/>
            </rPr>
            <t xml:space="preserve"> priced by rate card under the statement of work.</t>
          </r>
        </is>
      </c>
      <c r="BF40" s="134" t="inlineStr">
        <is>
          <t>—</t>
        </is>
      </c>
      <c r="BG40" s="134" t="inlineStr">
        <is>
          <t>• Record has no Emp ID, manager, experience or role data, and shares a name with iDEAL employee Vivek Kumar · IRIS2310, Trainee Business Analyst — HR to confirm identity, contract and role before placement; job family is provisional · Technology department</t>
        </is>
      </c>
      <c r="BH40" s="134" t="inlineStr"/>
      <c r="BI40" s="135" t="n"/>
      <c r="BJ40" s="136" t="n"/>
      <c r="BK40" s="136" t="n"/>
      <c r="BL40" s="136" t="n"/>
      <c r="BM40" s="136" t="n"/>
      <c r="BN40" s="137" t="n"/>
      <c r="BO40" s="120" t="n"/>
      <c r="BP40" s="120" t="n"/>
      <c r="BQ40" s="120" t="n"/>
      <c r="BR40" s="120" t="n"/>
      <c r="BS40" s="120" t="n"/>
      <c r="BT40" s="120" t="n"/>
      <c r="BU40" s="120" t="n"/>
      <c r="BV40" s="120" t="n"/>
    </row>
  </sheetData>
  <mergeCells count="18">
    <mergeCell ref="R5"/>
    <mergeCell ref="H5:Q5"/>
    <mergeCell ref="AT5:AV5"/>
    <mergeCell ref="A1:Z1"/>
    <mergeCell ref="S5:T5"/>
    <mergeCell ref="A4:D4"/>
    <mergeCell ref="A3:Z3"/>
    <mergeCell ref="L4:O4"/>
    <mergeCell ref="BC5:BH5"/>
    <mergeCell ref="Y5:AS5"/>
    <mergeCell ref="E4:G4"/>
    <mergeCell ref="BN5:BV5"/>
    <mergeCell ref="A2:Z2"/>
    <mergeCell ref="P4:R4"/>
    <mergeCell ref="AW5:BB5"/>
    <mergeCell ref="U5:X5"/>
    <mergeCell ref="BI5:BM5"/>
    <mergeCell ref="A5:G5"/>
  </mergeCells>
  <conditionalFormatting sqref="Z7:Z40">
    <cfRule type="colorScale" priority="1">
      <colorScale>
        <cfvo type="num" val="1"/>
        <cfvo type="num" val="12"/>
        <color rgb="00FFFFFF"/>
        <color rgb="005B9BD5"/>
      </colorScale>
    </cfRule>
  </conditionalFormatting>
  <conditionalFormatting sqref="AC7:AC40">
    <cfRule type="colorScale" priority="2">
      <colorScale>
        <cfvo type="num" val="1"/>
        <cfvo type="num" val="12"/>
        <color rgb="00FFFFFF"/>
        <color rgb="005B9BD5"/>
      </colorScale>
    </cfRule>
  </conditionalFormatting>
  <conditionalFormatting sqref="AF7:AF40">
    <cfRule type="colorScale" priority="3">
      <colorScale>
        <cfvo type="num" val="1"/>
        <cfvo type="num" val="12"/>
        <color rgb="00FFFFFF"/>
        <color rgb="005B9BD5"/>
      </colorScale>
    </cfRule>
  </conditionalFormatting>
  <conditionalFormatting sqref="AI7:AI40">
    <cfRule type="colorScale" priority="4">
      <colorScale>
        <cfvo type="num" val="1"/>
        <cfvo type="num" val="12"/>
        <color rgb="00FFFFFF"/>
        <color rgb="005B9BD5"/>
      </colorScale>
    </cfRule>
  </conditionalFormatting>
  <conditionalFormatting sqref="AL7:AL40">
    <cfRule type="colorScale" priority="5">
      <colorScale>
        <cfvo type="num" val="1"/>
        <cfvo type="num" val="12"/>
        <color rgb="00FFFFFF"/>
        <color rgb="005B9BD5"/>
      </colorScale>
    </cfRule>
  </conditionalFormatting>
  <conditionalFormatting sqref="AO7:AO40">
    <cfRule type="colorScale" priority="6">
      <colorScale>
        <cfvo type="num" val="1"/>
        <cfvo type="num" val="12"/>
        <color rgb="00FFFFFF"/>
        <color rgb="005B9BD5"/>
      </colorScale>
    </cfRule>
  </conditionalFormatting>
  <conditionalFormatting sqref="AR7:AR40">
    <cfRule type="colorScale" priority="7">
      <colorScale>
        <cfvo type="num" val="1"/>
        <cfvo type="num" val="12"/>
        <color rgb="00FFFFFF"/>
        <color rgb="005B9BD5"/>
      </colorScale>
    </cfRule>
  </conditionalFormatting>
  <conditionalFormatting sqref="AA7:AA40">
    <cfRule type="colorScale" priority="8">
      <colorScale>
        <cfvo type="num" val="0"/>
        <cfvo type="num" val="0.4"/>
        <color rgb="00FFFFFF"/>
        <color rgb="00A9D08E"/>
      </colorScale>
    </cfRule>
  </conditionalFormatting>
  <conditionalFormatting sqref="AD7:AD40">
    <cfRule type="colorScale" priority="9">
      <colorScale>
        <cfvo type="num" val="0"/>
        <cfvo type="num" val="0.4"/>
        <color rgb="00FFFFFF"/>
        <color rgb="00A9D08E"/>
      </colorScale>
    </cfRule>
  </conditionalFormatting>
  <conditionalFormatting sqref="AG7:AG40">
    <cfRule type="colorScale" priority="10">
      <colorScale>
        <cfvo type="num" val="0"/>
        <cfvo type="num" val="0.4"/>
        <color rgb="00FFFFFF"/>
        <color rgb="00A9D08E"/>
      </colorScale>
    </cfRule>
  </conditionalFormatting>
  <conditionalFormatting sqref="AJ7:AJ40">
    <cfRule type="colorScale" priority="11">
      <colorScale>
        <cfvo type="num" val="0"/>
        <cfvo type="num" val="0.4"/>
        <color rgb="00FFFFFF"/>
        <color rgb="00A9D08E"/>
      </colorScale>
    </cfRule>
  </conditionalFormatting>
  <conditionalFormatting sqref="AM7:AM40">
    <cfRule type="colorScale" priority="12">
      <colorScale>
        <cfvo type="num" val="0"/>
        <cfvo type="num" val="0.4"/>
        <color rgb="00FFFFFF"/>
        <color rgb="00A9D08E"/>
      </colorScale>
    </cfRule>
  </conditionalFormatting>
  <conditionalFormatting sqref="AP7:AP40">
    <cfRule type="colorScale" priority="13">
      <colorScale>
        <cfvo type="num" val="0"/>
        <cfvo type="num" val="0.4"/>
        <color rgb="00FFFFFF"/>
        <color rgb="00A9D08E"/>
      </colorScale>
    </cfRule>
  </conditionalFormatting>
  <conditionalFormatting sqref="AB7:AB40">
    <cfRule type="colorScale" priority="14">
      <colorScale>
        <cfvo type="num" val="0"/>
        <cfvo type="num" val="4"/>
        <color rgb="00FFFFFF"/>
        <color rgb="00F4B183"/>
      </colorScale>
    </cfRule>
  </conditionalFormatting>
  <conditionalFormatting sqref="AE7:AE40">
    <cfRule type="colorScale" priority="15">
      <colorScale>
        <cfvo type="num" val="0"/>
        <cfvo type="num" val="4"/>
        <color rgb="00FFFFFF"/>
        <color rgb="00F4B183"/>
      </colorScale>
    </cfRule>
  </conditionalFormatting>
  <conditionalFormatting sqref="AH7:AH40">
    <cfRule type="colorScale" priority="16">
      <colorScale>
        <cfvo type="num" val="0"/>
        <cfvo type="num" val="4"/>
        <color rgb="00FFFFFF"/>
        <color rgb="00F4B183"/>
      </colorScale>
    </cfRule>
  </conditionalFormatting>
  <conditionalFormatting sqref="AK7:AK40">
    <cfRule type="colorScale" priority="17">
      <colorScale>
        <cfvo type="num" val="0"/>
        <cfvo type="num" val="4"/>
        <color rgb="00FFFFFF"/>
        <color rgb="00F4B183"/>
      </colorScale>
    </cfRule>
  </conditionalFormatting>
  <conditionalFormatting sqref="AN7:AN40">
    <cfRule type="colorScale" priority="18">
      <colorScale>
        <cfvo type="num" val="0"/>
        <cfvo type="num" val="4"/>
        <color rgb="00FFFFFF"/>
        <color rgb="00F4B183"/>
      </colorScale>
    </cfRule>
  </conditionalFormatting>
  <conditionalFormatting sqref="AQ7:AQ40">
    <cfRule type="colorScale" priority="19">
      <colorScale>
        <cfvo type="num" val="0"/>
        <cfvo type="num" val="4"/>
        <color rgb="00FFFFFF"/>
        <color rgb="00F4B183"/>
      </colorScale>
    </cfRule>
  </conditionalFormatting>
  <dataValidations count="5">
    <dataValidation sqref="BN7:BN40" showDropDown="0" showInputMessage="0" showErrorMessage="0" allowBlank="1" type="list">
      <formula1>"Agree,Change,Discuss"</formula1>
    </dataValidation>
    <dataValidation sqref="BP7:BP40" showDropDown="0" showInputMessage="0" showErrorMessage="0" allowBlank="1" type="list">
      <formula1>"Approved,Changed,On hold"</formula1>
    </dataValidation>
    <dataValidation sqref="BS7:BS40" showDropDown="0" showInputMessage="0" showErrorMessage="0" allowBlank="1" type="list">
      <formula1>"Y,N"</formula1>
    </dataValidation>
    <dataValidation sqref="BQ7:BQ40" showDropDown="0" showInputMessage="0" showErrorMessage="0" allowBlank="1" type="list">
      <formula1>"A1,A2,A3,B1,B2,B3,B+,C1,C2,C+,D1,D2,E1,E2,X1,X2,X3"</formula1>
    </dataValidation>
    <dataValidation sqref="AO7:AO40"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A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9.xml><?xml version="1.0" encoding="utf-8"?>
<worksheet xmlns="http://schemas.openxmlformats.org/spreadsheetml/2006/main">
  <sheetPr>
    <tabColor rgb="00595959"/>
    <outlinePr summaryBelow="1" summaryRight="1"/>
    <pageSetUpPr fitToPage="1"/>
  </sheetPr>
  <dimension ref="A1:CI40"/>
  <sheetViews>
    <sheetView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8" customWidth="1" min="9" max="9"/>
    <col width="22" customWidth="1" min="10" max="10"/>
    <col width="30" customWidth="1" min="11" max="11"/>
    <col width="10" customWidth="1" min="12" max="12"/>
    <col width="10" customWidth="1" min="13" max="13"/>
    <col width="12" customWidth="1" min="14" max="14"/>
    <col width="9" customWidth="1" min="15" max="15"/>
    <col width="10" customWidth="1" min="16" max="16"/>
    <col width="16" customWidth="1" min="17" max="17"/>
    <col width="20" customWidth="1" min="18" max="18"/>
    <col width="40" customWidth="1" min="19" max="19"/>
    <col width="30" customWidth="1" min="20" max="20"/>
    <col width="18"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s>
  <sheetData>
    <row r="1" ht="34" customHeight="1">
      <c r="A1" s="1" t="inlineStr">
        <is>
          <t>Raw Data &amp; Market Standards — every input per person, next to the market standard for the person's role</t>
        </is>
      </c>
      <c r="S1" s="241" t="inlineStr">
        <is>
          <t>◂ Contents</t>
        </is>
      </c>
    </row>
    <row r="2" ht="32" customHeight="1">
      <c r="A2" s="3" t="inlineStr">
        <is>
          <r>
            <rPr>
              <rFont val="Calibri"/>
              <b val="1"/>
              <i val="1"/>
              <color rgb="00404040"/>
              <sz val="10"/>
            </rPr>
            <t>Sheet 3 · Left:</t>
          </r>
          <r>
            <rPr>
              <rFont val="Calibri"/>
              <i val="1"/>
              <color rgb="00404040"/>
              <sz val="10"/>
            </rPr>
            <t xml:space="preserve"> the person and their final role. Middle: the market standard for that role and level. Right: the work-related raw fields as received — Employee Master, KRAs, CARBON / iFile / iDEAL / DataTech manager mapping. Personal data · gender, age, date of birth, e-mail, mobile, resignation dates and data-processing notes are excluded. Each person's How We Grow survey answers are used as evidence for the ratings but are not reproduced here: only the number of questions answered is shown.</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K4" s="67" t="inlineStr">
        <is>
          <t>Newly mapped</t>
        </is>
      </c>
      <c r="L4" s="68" t="inlineStr">
        <is>
          <t>Player-Coach · B+ · C+</t>
        </is>
      </c>
      <c r="N4" s="69" t="inlineStr">
        <is>
          <t>RED = critical input needed · could change or confirm the level</t>
        </is>
      </c>
      <c r="R4" s="71" t="inlineStr">
        <is>
          <t>YELLOW = to complete in validation</t>
        </is>
      </c>
    </row>
    <row r="5" ht="32" customHeight="1">
      <c r="A5" s="73" t="inlineStr">
        <is>
          <t>PERSON &amp; ROLE — BEFORE → AFTER</t>
        </is>
      </c>
      <c r="M5" s="74" t="inlineStr">
        <is>
          <t>MARKET STANDARD FOR THIS ROLE &amp; LEVEL</t>
        </is>
      </c>
      <c r="V5" s="76" t="inlineStr">
        <is>
          <t>RAW DATA — as received · HRIS · KRAs · manager talent mapping; bracket = source file. Survey answers are counted, not quoted</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Job family</t>
        </is>
      </c>
      <c r="J6" s="92" t="inlineStr">
        <is>
          <t>Sub-family</t>
        </is>
      </c>
      <c r="K6" s="92" t="inlineStr">
        <is>
          <t>ADDITIONAL INPUTS NEEDED — what, and who provides it</t>
        </is>
      </c>
      <c r="L6" s="92" t="inlineStr">
        <is>
          <t>Survey questions answered · of 20</t>
        </is>
      </c>
      <c r="M6" s="93" t="inlineStr">
        <is>
          <t>Radford / Mercer code</t>
        </is>
      </c>
      <c r="N6" s="12" t="inlineStr">
        <is>
          <t>Pave level</t>
        </is>
      </c>
      <c r="O6" s="12" t="inlineStr">
        <is>
          <t>SFIA 9</t>
        </is>
      </c>
      <c r="P6" s="12" t="inlineStr">
        <is>
          <t>IRIS experience guide</t>
        </is>
      </c>
      <c r="Q6" s="12" t="inlineStr">
        <is>
          <t>Market experience · Accenture · Infosys</t>
        </is>
      </c>
      <c r="R6" s="12" t="inlineStr">
        <is>
          <t>Typical market title based on competitor/market benchmark</t>
        </is>
      </c>
      <c r="S6" s="12" t="inlineStr">
        <is>
          <t>Competitors, regtech &amp; SaaS leaders</t>
        </is>
      </c>
      <c r="T6" s="12" t="inlineStr">
        <is>
          <t>Professional standard</t>
        </is>
      </c>
      <c r="U6" s="12" t="inlineStr">
        <is>
          <t>Required capability · Core · Future · Functional · Leadership</t>
        </is>
      </c>
      <c r="V6" s="94" t="inlineStr">
        <is>
          <t>Sr No</t>
        </is>
      </c>
      <c r="W6" s="156" t="inlineStr">
        <is>
          <t>Emp Id · 2</t>
        </is>
      </c>
      <c r="X6" s="156" t="inlineStr">
        <is>
          <t>Employee Category</t>
        </is>
      </c>
      <c r="Y6" s="156" t="inlineStr">
        <is>
          <t>Employee Status</t>
        </is>
      </c>
      <c r="Z6" s="156" t="inlineStr">
        <is>
          <t>Employee Name · 2</t>
        </is>
      </c>
      <c r="AA6" s="156" t="inlineStr">
        <is>
          <t>DoJ</t>
        </is>
      </c>
      <c r="AB6" s="156" t="inlineStr">
        <is>
          <t>Designation</t>
        </is>
      </c>
      <c r="AC6" s="156" t="inlineStr">
        <is>
          <t>Highest Qualifications</t>
        </is>
      </c>
      <c r="AD6" s="156" t="inlineStr">
        <is>
          <t>Reporting Manager</t>
        </is>
      </c>
      <c r="AE6" s="156" t="inlineStr">
        <is>
          <t>N levels</t>
        </is>
      </c>
      <c r="AF6" s="156" t="inlineStr">
        <is>
          <t>Manager or Individual Contributor</t>
        </is>
      </c>
      <c r="AG6" s="156" t="inlineStr">
        <is>
          <t>EXP Outside IRIS</t>
        </is>
      </c>
      <c r="AH6" s="156" t="inlineStr">
        <is>
          <t>EXP Current IRIS</t>
        </is>
      </c>
      <c r="AI6" s="156" t="inlineStr">
        <is>
          <t>Business Line</t>
        </is>
      </c>
      <c r="AJ6" s="156" t="inlineStr">
        <is>
          <t>Product/Others</t>
        </is>
      </c>
      <c r="AK6" s="156" t="inlineStr">
        <is>
          <t>Department · 2</t>
        </is>
      </c>
      <c r="AL6" s="156" t="inlineStr">
        <is>
          <t>Sub Functional Categorization</t>
        </is>
      </c>
      <c r="AM6" s="156" t="inlineStr">
        <is>
          <t>Core Development</t>
        </is>
      </c>
      <c r="AN6" s="156" t="inlineStr">
        <is>
          <t>Functional Categorization</t>
        </is>
      </c>
      <c r="AO6" s="156" t="inlineStr">
        <is>
          <t>Skill Sets</t>
        </is>
      </c>
      <c r="AP6" s="156" t="inlineStr">
        <is>
          <t>Technical/Non-technical</t>
        </is>
      </c>
      <c r="AQ6" s="156" t="inlineStr">
        <is>
          <t>Total Question Answered</t>
        </is>
      </c>
      <c r="AR6" s="156" t="inlineStr">
        <is>
          <t>Status</t>
        </is>
      </c>
      <c r="AS6" s="156" t="inlineStr">
        <is>
          <t>[Talent Mapping · iFile / iDEAL / DataTech / Database Content] Emp Id</t>
        </is>
      </c>
      <c r="AT6" s="156" t="inlineStr">
        <is>
          <t>[Talent Mapping · iFile / iDEAL / DataTech / Database Content] Employee Category</t>
        </is>
      </c>
      <c r="AU6" s="156" t="inlineStr">
        <is>
          <t>[Talent Mapping · iFile / iDEAL / DataTech / Database Content] Employee Status</t>
        </is>
      </c>
      <c r="AV6" s="156" t="inlineStr">
        <is>
          <t>[Talent Mapping · iFile / iDEAL / DataTech / Database Content] Employee Name</t>
        </is>
      </c>
      <c r="AW6" s="156" t="inlineStr">
        <is>
          <t>[Talent Mapping · iFile / iDEAL / DataTech / Database Content] DoJ</t>
        </is>
      </c>
      <c r="AX6" s="156" t="inlineStr">
        <is>
          <t>[Talent Mapping · iFile / iDEAL / DataTech / Database Content] Designation</t>
        </is>
      </c>
      <c r="AY6" s="156" t="inlineStr">
        <is>
          <t>[Talent Mapping · iFile / iDEAL / DataTech / Database Content] Role Family</t>
        </is>
      </c>
      <c r="AZ6" s="156" t="inlineStr">
        <is>
          <t>[Talent Mapping · iFile / iDEAL / DataTech / Database Content] Sub-Family</t>
        </is>
      </c>
      <c r="BA6" s="156" t="inlineStr">
        <is>
          <t>[Talent Mapping · iFile / iDEAL / DataTech / Database Content] Job Title</t>
        </is>
      </c>
      <c r="BB6" s="156" t="inlineStr">
        <is>
          <t>[Talent Mapping · iFile / iDEAL / DataTech / Database Content] Career Level</t>
        </is>
      </c>
      <c r="BC6" s="156" t="inlineStr">
        <is>
          <t>[Talent Mapping · iFile / iDEAL / DataTech / Database Content] Highest Qualifications</t>
        </is>
      </c>
      <c r="BD6" s="156" t="inlineStr">
        <is>
          <t>[Talent Mapping · iFile / iDEAL / DataTech / Database Content] Reporting Manager</t>
        </is>
      </c>
      <c r="BE6" s="156" t="inlineStr">
        <is>
          <t>[Talent Mapping · iFile / iDEAL / DataTech / Database Content] N levels</t>
        </is>
      </c>
      <c r="BF6" s="156" t="inlineStr">
        <is>
          <t>[Talent Mapping · iFile / iDEAL / DataTech / Database Content] Manager or Individual Contributor</t>
        </is>
      </c>
      <c r="BG6" s="156" t="inlineStr">
        <is>
          <t>[Talent Mapping · iFile / iDEAL / DataTech / Database Content] EXP Outside IRIS</t>
        </is>
      </c>
      <c r="BH6" s="156" t="inlineStr">
        <is>
          <t>[Talent Mapping · iFile / iDEAL / DataTech / Database Content] EXP Current IRIS</t>
        </is>
      </c>
      <c r="BI6" s="156" t="inlineStr">
        <is>
          <t>[Talent Mapping · iFile / iDEAL / DataTech / Database Content] Total Experience</t>
        </is>
      </c>
      <c r="BJ6" s="156" t="inlineStr">
        <is>
          <t>[Talent Mapping · iFile / iDEAL / DataTech / Database Content] Avg Exp in IRIS</t>
        </is>
      </c>
      <c r="BK6" s="156" t="inlineStr">
        <is>
          <t>[Talent Mapping · iFile / iDEAL / DataTech / Database Content] Business Line</t>
        </is>
      </c>
      <c r="BL6" s="156" t="inlineStr">
        <is>
          <t>[Talent Mapping · iFile / iDEAL / DataTech / Database Content] Product/Others</t>
        </is>
      </c>
      <c r="BM6" s="156" t="inlineStr">
        <is>
          <t>[Talent Mapping · iFile / iDEAL / DataTech / Database Content] Department</t>
        </is>
      </c>
      <c r="BN6" s="156" t="inlineStr">
        <is>
          <t>[Talent Mapping · iFile / iDEAL / DataTech / Database Content] Sub Functional Categorization</t>
        </is>
      </c>
      <c r="BO6" s="156" t="inlineStr">
        <is>
          <t>[Talent Mapping · iFile / iDEAL / DataTech / Database Content] Core Development</t>
        </is>
      </c>
      <c r="BP6" s="156" t="inlineStr">
        <is>
          <t>[Talent Mapping · iFile / iDEAL / DataTech / Database Content] Functional Categorization</t>
        </is>
      </c>
      <c r="BQ6" s="156" t="inlineStr">
        <is>
          <t>[Talent Mapping · iFile / iDEAL / DataTech / Database Content] Skill Sets</t>
        </is>
      </c>
      <c r="BR6" s="156" t="inlineStr">
        <is>
          <t>[Talent Mapping · iFile / iDEAL / DataTech / Database Content] Technical/Non-technical</t>
        </is>
      </c>
      <c r="BS6" s="156" t="inlineStr">
        <is>
          <t>[Talent Mapping · iFile / iDEAL / DataTech / Database Content] Location</t>
        </is>
      </c>
      <c r="BT6" s="156" t="inlineStr">
        <is>
          <t>[Talent Mapping · iFile / iDEAL / DataTech / Database Content] Annual KRAs · objective Measurable Minimum 5 - Self</t>
        </is>
      </c>
      <c r="BU6" s="156" t="inlineStr">
        <is>
          <t>[Talent Mapping · iFile / iDEAL / DataTech / Database Content] Annual KRAs · objective Measurable Minimum 5 - set by Manager</t>
        </is>
      </c>
      <c r="BV6" s="156" t="inlineStr">
        <is>
          <t>[Talent Mapping · iFile / iDEAL / DataTech / Database Content] Quarterly KRAs</t>
        </is>
      </c>
      <c r="BW6" s="156" t="inlineStr">
        <is>
          <t>[Talent Mapping · iFile / iDEAL / DataTech / Database Content] Tentative Rating for Q1 · Scale 1-5</t>
        </is>
      </c>
      <c r="BX6" s="156" t="inlineStr">
        <is>
          <t>[Talent Mapping · iFile / iDEAL / DataTech / Database Content] Last Performance Discussion date</t>
        </is>
      </c>
      <c r="BY6" s="156" t="inlineStr">
        <is>
          <t>[Talent Mapping · iFile / iDEAL / DataTech / Database Content] Correct Designation</t>
        </is>
      </c>
      <c r="BZ6" s="156" t="inlineStr">
        <is>
          <t>[Talent Mapping · iFile / iDEAL / DataTech / Database Content] Is a structural Change needed for better future</t>
        </is>
      </c>
      <c r="CA6" s="156" t="inlineStr">
        <is>
          <t>[Talent Mapping · iFile / iDEAL / DataTech / Database Content] Quarterly Performance Rating</t>
        </is>
      </c>
      <c r="CB6" s="156" t="inlineStr">
        <is>
          <t>[Talent Mapping · iFile / iDEAL / DataTech / Database Content] Potential Rating · High/Med/Low</t>
        </is>
      </c>
      <c r="CC6" s="156" t="inlineStr">
        <is>
          <t>[Talent Mapping · iFile / iDEAL / DataTech / Database Content] 9-Box Placement</t>
        </is>
      </c>
      <c r="CD6" s="156" t="inlineStr">
        <is>
          <t>[Talent Mapping · iFile / iDEAL / DataTech / Database Content] Ready for Promotion</t>
        </is>
      </c>
      <c r="CE6" s="156" t="inlineStr">
        <is>
          <t>[Talent Mapping · iFile / iDEAL / DataTech / Database Content] Fast Tracker · Y/N</t>
        </is>
      </c>
      <c r="CF6" s="156" t="inlineStr">
        <is>
          <t>[Talent Mapping · iFile / iDEAL / DataTech / Database Content] Critical Role · Y/N</t>
        </is>
      </c>
      <c r="CG6" s="156" t="inlineStr">
        <is>
          <t>[Talent Mapping · iFile / iDEAL / DataTech / Database Content] Training Needs identified for current Role</t>
        </is>
      </c>
      <c r="CH6" s="156" t="inlineStr">
        <is>
          <t>[Talent Mapping · iFile / iDEAL / DataTech / Database Content] Training Needs identified if · If promotion Ready</t>
        </is>
      </c>
      <c r="CI6" s="156" t="inlineStr">
        <is>
          <t>[Talent Mapping · iFile / iDEAL / DataTech / Database Content] Projects/Delivery/client Assigned</t>
        </is>
      </c>
    </row>
    <row r="7" ht="64" customHeight="1">
      <c r="A7" s="109" t="inlineStr">
        <is>
          <t>IRISDT0012</t>
        </is>
      </c>
      <c r="B7" s="111" t="inlineStr">
        <is>
          <t>Jeevan Khokale</t>
        </is>
      </c>
      <c r="C7" s="111" t="inlineStr">
        <is>
          <t>Datatech - Outreach</t>
        </is>
      </c>
      <c r="D7" s="114" t="inlineStr">
        <is>
          <t>Program Manager</t>
        </is>
      </c>
      <c r="E7" s="114" t="inlineStr">
        <is>
          <t>Senior Program Specialist – POD Lead</t>
        </is>
      </c>
      <c r="F7" s="111" t="inlineStr">
        <is>
          <t>L5 – Manager</t>
        </is>
      </c>
      <c r="G7" s="27" t="inlineStr">
        <is>
          <t>B2</t>
        </is>
      </c>
      <c r="H7" s="117" t="inlineStr">
        <is>
          <t>• Same level</t>
        </is>
      </c>
      <c r="I7" s="111" t="inlineStr">
        <is>
          <t>Sales &amp; Business Development</t>
        </is>
      </c>
      <c r="J7" s="111" t="inlineStr">
        <is>
          <t>Field Outreach &amp; Programme Sales</t>
        </is>
      </c>
      <c r="K7" s="111" t="inlineStr"/>
      <c r="L7" s="111" t="n">
        <v>20</v>
      </c>
      <c r="M7" s="142" t="inlineStr">
        <is>
          <t>P4 / M3</t>
        </is>
      </c>
      <c r="N7" s="115" t="inlineStr">
        <is>
          <t>Senior / Manager</t>
        </is>
      </c>
      <c r="O7" s="115" t="inlineStr">
        <is>
          <t>4–5</t>
        </is>
      </c>
      <c r="P7" s="115" t="inlineStr">
        <is>
          <t>6–9 yrs</t>
        </is>
      </c>
      <c r="Q7" s="115" t="inlineStr">
        <is>
          <t>7–10 · 6–11</t>
        </is>
      </c>
      <c r="R7" s="115" t="inlineStr">
        <is>
          <t>Senior Account Executive</t>
        </is>
      </c>
      <c r="S7" s="115" t="inlineStr">
        <is>
          <t>IRIS Vs Competitor Benchmark — SaaS sales ladder — IC: Mid-Market AE · IRIS Vs Competitor Benchmark — SaaS sales ladder — management: Sales Manager</t>
        </is>
      </c>
      <c r="T7" s="115" t="inlineStr">
        <is>
          <t>SaaS sales ladder · SDR → AE → Enterprise AE → VP / CRO; MEDDICC-style qualification</t>
        </is>
      </c>
      <c r="U7" s="115" t="inlineStr">
        <is>
          <t>Core 3 · Future 3 · Functional 4 · Leadership 3</t>
        </is>
      </c>
      <c r="V7" s="157" t="n">
        <v>548</v>
      </c>
      <c r="W7" s="158" t="inlineStr">
        <is>
          <t>IRISDT0012</t>
        </is>
      </c>
      <c r="X7" s="158" t="inlineStr">
        <is>
          <t>Employee</t>
        </is>
      </c>
      <c r="Y7" s="158" t="inlineStr">
        <is>
          <t>Active</t>
        </is>
      </c>
      <c r="Z7" s="158" t="inlineStr">
        <is>
          <t>Jeevan Khokale</t>
        </is>
      </c>
      <c r="AA7" s="244" t="n">
        <v>46027</v>
      </c>
      <c r="AB7" s="158" t="inlineStr">
        <is>
          <t>Program Manager</t>
        </is>
      </c>
      <c r="AC7" s="158" t="inlineStr">
        <is>
          <t>MBA</t>
        </is>
      </c>
      <c r="AD7" s="158" t="inlineStr">
        <is>
          <t>Raghin Nair</t>
        </is>
      </c>
      <c r="AE7" s="158" t="inlineStr">
        <is>
          <t>N-3</t>
        </is>
      </c>
      <c r="AF7" s="158" t="inlineStr">
        <is>
          <t>Manager</t>
        </is>
      </c>
      <c r="AG7" s="158" t="inlineStr">
        <is>
          <t>7 years, 3 months, 0 days</t>
        </is>
      </c>
      <c r="AH7" s="158" t="inlineStr">
        <is>
          <t>0 years, 7 months, 20 days</t>
        </is>
      </c>
      <c r="AI7" s="158" t="inlineStr">
        <is>
          <t>Datatech</t>
        </is>
      </c>
      <c r="AJ7" s="158" t="inlineStr">
        <is>
          <t>Datatech</t>
        </is>
      </c>
      <c r="AK7" s="158" t="inlineStr">
        <is>
          <t>Datatech - Outreach</t>
        </is>
      </c>
      <c r="AL7" s="158" t="inlineStr">
        <is>
          <t>Sales</t>
        </is>
      </c>
      <c r="AM7" s="158" t="inlineStr">
        <is>
          <t>No</t>
        </is>
      </c>
      <c r="AN7" s="158" t="inlineStr">
        <is>
          <t>Sales, Marketing &amp; Support</t>
        </is>
      </c>
      <c r="AO7" s="158" t="inlineStr">
        <is>
          <t>Sales</t>
        </is>
      </c>
      <c r="AP7" s="158" t="inlineStr">
        <is>
          <t>Non-technical</t>
        </is>
      </c>
      <c r="AQ7" s="158" t="n">
        <v>20</v>
      </c>
      <c r="AR7" s="158" t="inlineStr">
        <is>
          <t>Covered</t>
        </is>
      </c>
      <c r="AS7" s="158" t="inlineStr">
        <is>
          <t>IRIS2460</t>
        </is>
      </c>
      <c r="AT7" s="158" t="inlineStr">
        <is>
          <t>Employee</t>
        </is>
      </c>
      <c r="AU7" s="158" t="inlineStr">
        <is>
          <t>Active</t>
        </is>
      </c>
      <c r="AV7" s="158" t="inlineStr">
        <is>
          <t>Jeevan Khokale</t>
        </is>
      </c>
      <c r="AW7" s="159" t="n">
        <v>46027</v>
      </c>
      <c r="AX7" s="158" t="inlineStr">
        <is>
          <t>Program Manager</t>
        </is>
      </c>
      <c r="AY7" s="158" t="inlineStr">
        <is>
          <t>Project &amp; Program Management</t>
        </is>
      </c>
      <c r="AZ7" s="158" t="inlineStr">
        <is>
          <t>Program Management</t>
        </is>
      </c>
      <c r="BA7" s="158" t="inlineStr">
        <is>
          <t>Program Manager</t>
        </is>
      </c>
      <c r="BB7" s="158" t="inlineStr">
        <is>
          <t>L5 – Manager</t>
        </is>
      </c>
      <c r="BC7" s="158" t="inlineStr">
        <is>
          <t>MBA</t>
        </is>
      </c>
      <c r="BD7" s="158" t="inlineStr">
        <is>
          <t>Raghin Nair</t>
        </is>
      </c>
      <c r="BE7" s="158" t="inlineStr">
        <is>
          <t>N-3</t>
        </is>
      </c>
      <c r="BF7" s="158" t="inlineStr">
        <is>
          <t>Manager</t>
        </is>
      </c>
      <c r="BG7" s="158" t="inlineStr">
        <is>
          <t>7 years, 3 months, 0 days</t>
        </is>
      </c>
      <c r="BH7" s="158" t="inlineStr">
        <is>
          <t>0 years, 5 months, 15 days</t>
        </is>
      </c>
      <c r="BI7" s="158" t="inlineStr">
        <is>
          <t>7 years, 8 months, 15 days</t>
        </is>
      </c>
      <c r="BJ7" s="158" t="n">
        <v>0.457762557077626</v>
      </c>
      <c r="BK7" s="158" t="inlineStr">
        <is>
          <t>Datatech</t>
        </is>
      </c>
      <c r="BL7" s="158" t="inlineStr">
        <is>
          <t>Datatech</t>
        </is>
      </c>
      <c r="BM7" s="158" t="inlineStr">
        <is>
          <t>Datatech - Outreach</t>
        </is>
      </c>
      <c r="BN7" s="158" t="inlineStr">
        <is>
          <t>Sales</t>
        </is>
      </c>
      <c r="BO7" s="158" t="inlineStr">
        <is>
          <t>No</t>
        </is>
      </c>
      <c r="BP7" s="158" t="inlineStr">
        <is>
          <t>Sales, Marketing &amp; Support</t>
        </is>
      </c>
      <c r="BQ7" s="158" t="inlineStr">
        <is>
          <t>Sales</t>
        </is>
      </c>
      <c r="BR7" s="158" t="inlineStr">
        <is>
          <t>Non-technical</t>
        </is>
      </c>
      <c r="BS7" s="158" t="inlineStr">
        <is>
          <t>Bengaluru</t>
        </is>
      </c>
      <c r="BT7" s="158" t="n"/>
      <c r="BU7" s="158"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BV7" s="158"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BW7" s="158" t="n">
        <v>3</v>
      </c>
      <c r="BX7" s="159" t="n">
        <v>46199</v>
      </c>
      <c r="BY7" s="158" t="inlineStr">
        <is>
          <t>Program Manager</t>
        </is>
      </c>
      <c r="BZ7" s="158" t="inlineStr">
        <is>
          <t>No</t>
        </is>
      </c>
      <c r="CA7" s="158" t="n">
        <v>3</v>
      </c>
      <c r="CB7" s="158" t="inlineStr">
        <is>
          <t>Medium</t>
        </is>
      </c>
      <c r="CC7" s="158" t="inlineStr">
        <is>
          <t>Core Contributor</t>
        </is>
      </c>
      <c r="CD7" s="158" t="inlineStr">
        <is>
          <t>No</t>
        </is>
      </c>
      <c r="CE7" s="158" t="inlineStr">
        <is>
          <t>Yes</t>
        </is>
      </c>
      <c r="CF7" s="158" t="inlineStr">
        <is>
          <t>No</t>
        </is>
      </c>
      <c r="CG7" s="158" t="inlineStr">
        <is>
          <t>Product knowledge · loan/BHR products; Objection handling; Sales approach/pitch technique</t>
        </is>
      </c>
      <c r="CH7" s="158" t="inlineStr">
        <is>
          <r>
            <rPr>
              <rFont val="Calibri"/>
              <b val="1"/>
              <sz val="10"/>
            </rPr>
            <t>Target role:</t>
          </r>
          <r>
            <rPr>
              <rFont val="Calibri"/>
              <sz val="10"/>
            </rPr>
            <t xml:space="preserve"> Onground Team Lead · formalizing existing informal management of Lakshmikanth. Development: team-lead training - performance management, coaching juniors, structured 1:1s. Review date: 31-08-2026</t>
          </r>
        </is>
      </c>
      <c r="CI7" s="158" t="inlineStr">
        <is>
          <t>Peridot App</t>
        </is>
      </c>
    </row>
    <row r="8" ht="64" customHeight="1">
      <c r="A8" s="109" t="inlineStr">
        <is>
          <t>IRISDT0011</t>
        </is>
      </c>
      <c r="B8" s="111" t="inlineStr">
        <is>
          <t>Raghin Nair</t>
        </is>
      </c>
      <c r="C8" s="111" t="inlineStr">
        <is>
          <t>Datatech - Outreach</t>
        </is>
      </c>
      <c r="D8" s="114" t="inlineStr">
        <is>
          <t>Program Lead</t>
        </is>
      </c>
      <c r="E8" s="114" t="inlineStr">
        <is>
          <t>Program Manager – Outreach</t>
        </is>
      </c>
      <c r="F8" s="114" t="inlineStr">
        <is>
          <t>L5 – Lead · IC</t>
        </is>
      </c>
      <c r="G8" s="114" t="inlineStr">
        <is>
          <t>B2</t>
        </is>
      </c>
      <c r="H8" s="139" t="inlineStr">
        <is>
          <t>▼ Down · protected</t>
        </is>
      </c>
      <c r="I8" s="111" t="inlineStr">
        <is>
          <t>Sales &amp; Business Development</t>
        </is>
      </c>
      <c r="J8" s="111" t="inlineStr">
        <is>
          <t>Field Outreach &amp; Programme Sales</t>
        </is>
      </c>
      <c r="K8" s="111" t="inlineStr"/>
      <c r="L8" s="111" t="n">
        <v>20</v>
      </c>
      <c r="M8" s="142" t="inlineStr">
        <is>
          <t>P4 / M3</t>
        </is>
      </c>
      <c r="N8" s="115" t="inlineStr">
        <is>
          <t>Senior / Manager</t>
        </is>
      </c>
      <c r="O8" s="115" t="inlineStr">
        <is>
          <t>4–5</t>
        </is>
      </c>
      <c r="P8" s="115" t="inlineStr">
        <is>
          <t>6–9 yrs</t>
        </is>
      </c>
      <c r="Q8" s="115" t="inlineStr">
        <is>
          <t>7–10 · 6–11</t>
        </is>
      </c>
      <c r="R8" s="115" t="inlineStr">
        <is>
          <t>Manager</t>
        </is>
      </c>
      <c r="S8" s="115" t="inlineStr">
        <is>
          <t>IRIS Vs Competitor Benchmark — SaaS sales ladder — IC: Mid-Market AE · IRIS Vs Competitor Benchmark — SaaS sales ladder — management: Sales Manager</t>
        </is>
      </c>
      <c r="T8" s="115" t="inlineStr">
        <is>
          <t>SaaS sales ladder · SDR → AE → Enterprise AE → VP / CRO; MEDDICC-style qualification</t>
        </is>
      </c>
      <c r="U8" s="115" t="inlineStr">
        <is>
          <t>Core 3 · Future 3 · Functional 4 · Leadership 3</t>
        </is>
      </c>
      <c r="V8" s="157" t="n">
        <v>546</v>
      </c>
      <c r="W8" s="158" t="inlineStr">
        <is>
          <t>IRISDT0011</t>
        </is>
      </c>
      <c r="X8" s="158" t="inlineStr">
        <is>
          <t>Employee</t>
        </is>
      </c>
      <c r="Y8" s="158" t="inlineStr">
        <is>
          <t>Active</t>
        </is>
      </c>
      <c r="Z8" s="158" t="inlineStr">
        <is>
          <t>Raghin Nair</t>
        </is>
      </c>
      <c r="AA8" s="244" t="n">
        <v>45946</v>
      </c>
      <c r="AB8" s="158" t="inlineStr">
        <is>
          <t>Program Lead</t>
        </is>
      </c>
      <c r="AC8" s="158" t="inlineStr">
        <is>
          <t>B.Com</t>
        </is>
      </c>
      <c r="AD8" s="158" t="inlineStr">
        <is>
          <t>Shilpa Dhobale</t>
        </is>
      </c>
      <c r="AE8" s="158" t="inlineStr">
        <is>
          <t>N-2</t>
        </is>
      </c>
      <c r="AF8" s="158" t="inlineStr">
        <is>
          <t>Manager</t>
        </is>
      </c>
      <c r="AG8" s="158" t="inlineStr">
        <is>
          <t>18 years, 6 months, 0 days</t>
        </is>
      </c>
      <c r="AH8" s="158" t="inlineStr">
        <is>
          <t>0 years, 10 months, 9 days</t>
        </is>
      </c>
      <c r="AI8" s="158" t="inlineStr">
        <is>
          <t>Datatech</t>
        </is>
      </c>
      <c r="AJ8" s="158" t="inlineStr">
        <is>
          <t>Datatech</t>
        </is>
      </c>
      <c r="AK8" s="158" t="inlineStr">
        <is>
          <t>Datatech - Outreach</t>
        </is>
      </c>
      <c r="AL8" s="158" t="inlineStr">
        <is>
          <t>Sales</t>
        </is>
      </c>
      <c r="AM8" s="158" t="inlineStr">
        <is>
          <t>No</t>
        </is>
      </c>
      <c r="AN8" s="158" t="inlineStr">
        <is>
          <t>Sales, Marketing &amp; Support</t>
        </is>
      </c>
      <c r="AO8" s="158" t="inlineStr">
        <is>
          <t>Sales</t>
        </is>
      </c>
      <c r="AP8" s="158" t="inlineStr">
        <is>
          <t>Technical · BA, PM and QA</t>
        </is>
      </c>
      <c r="AQ8" s="158" t="n">
        <v>20</v>
      </c>
      <c r="AR8" s="158" t="inlineStr">
        <is>
          <t>Covered</t>
        </is>
      </c>
      <c r="AS8" s="158" t="inlineStr">
        <is>
          <t>IRIS2439</t>
        </is>
      </c>
      <c r="AT8" s="158" t="inlineStr">
        <is>
          <t>Employee</t>
        </is>
      </c>
      <c r="AU8" s="158" t="inlineStr">
        <is>
          <t>Active</t>
        </is>
      </c>
      <c r="AV8" s="158" t="inlineStr">
        <is>
          <t>Raghin Nair</t>
        </is>
      </c>
      <c r="AW8" s="159" t="n">
        <v>45946</v>
      </c>
      <c r="AX8" s="158" t="inlineStr">
        <is>
          <t>Program Lead</t>
        </is>
      </c>
      <c r="AY8" s="158" t="inlineStr">
        <is>
          <t>Project &amp; Program Management</t>
        </is>
      </c>
      <c r="AZ8" s="158" t="inlineStr">
        <is>
          <t>Program Management</t>
        </is>
      </c>
      <c r="BA8" s="158" t="inlineStr">
        <is>
          <t>Program Lead</t>
        </is>
      </c>
      <c r="BB8" s="158" t="inlineStr">
        <is>
          <t>L5 – Lead · IC</t>
        </is>
      </c>
      <c r="BC8" s="158" t="inlineStr">
        <is>
          <t>B.Com</t>
        </is>
      </c>
      <c r="BD8" s="158" t="inlineStr">
        <is>
          <t>Shilpa Dhobale</t>
        </is>
      </c>
      <c r="BE8" s="158" t="inlineStr">
        <is>
          <t>N-2</t>
        </is>
      </c>
      <c r="BF8" s="158" t="inlineStr">
        <is>
          <t>Manager</t>
        </is>
      </c>
      <c r="BG8" s="158" t="inlineStr">
        <is>
          <t>18 years, 6 months, 0 days</t>
        </is>
      </c>
      <c r="BH8" s="158" t="inlineStr">
        <is>
          <t>0 years, 8 months, 4 days</t>
        </is>
      </c>
      <c r="BI8" s="158" t="inlineStr">
        <is>
          <t>19 years, 2 months, 4 days</t>
        </is>
      </c>
      <c r="BJ8" s="158" t="n">
        <v>0.677625570776256</v>
      </c>
      <c r="BK8" s="158" t="inlineStr">
        <is>
          <t>Datatech</t>
        </is>
      </c>
      <c r="BL8" s="158" t="inlineStr">
        <is>
          <t>Datatech</t>
        </is>
      </c>
      <c r="BM8" s="158" t="inlineStr">
        <is>
          <t>Datatech - Outreach</t>
        </is>
      </c>
      <c r="BN8" s="158" t="inlineStr">
        <is>
          <t>Client Engagement</t>
        </is>
      </c>
      <c r="BO8" s="158" t="inlineStr">
        <is>
          <t>No</t>
        </is>
      </c>
      <c r="BP8" s="158" t="inlineStr">
        <is>
          <t>Client Engagement</t>
        </is>
      </c>
      <c r="BQ8" s="158" t="inlineStr">
        <is>
          <t>Product Management</t>
        </is>
      </c>
      <c r="BR8" s="158" t="inlineStr">
        <is>
          <t>Technical · BA, PM and QA</t>
        </is>
      </c>
      <c r="BS8" s="158" t="inlineStr">
        <is>
          <t>Turbhe</t>
        </is>
      </c>
      <c r="BT8" s="158" t="n"/>
      <c r="BU8" s="158" t="n"/>
      <c r="BV8" s="158" t="n"/>
      <c r="BW8" s="158" t="n">
        <v>3</v>
      </c>
      <c r="BX8" s="158" t="n"/>
      <c r="BY8" s="158" t="inlineStr">
        <is>
          <t>Program Lead</t>
        </is>
      </c>
      <c r="BZ8" s="158" t="inlineStr">
        <is>
          <t>Yes</t>
        </is>
      </c>
      <c r="CA8" s="158" t="n">
        <v>3</v>
      </c>
      <c r="CB8" s="158" t="n">
        <v>3</v>
      </c>
      <c r="CC8" s="158" t="inlineStr">
        <is>
          <t>Core Contributor</t>
        </is>
      </c>
      <c r="CD8" s="158" t="inlineStr">
        <is>
          <t>No</t>
        </is>
      </c>
      <c r="CE8" s="158" t="inlineStr">
        <is>
          <t>No</t>
        </is>
      </c>
      <c r="CF8" s="158" t="inlineStr">
        <is>
          <t>Yes</t>
        </is>
      </c>
      <c r="CG8" s="158" t="n"/>
      <c r="CH8" s="158" t="n"/>
      <c r="CI8" s="158" t="inlineStr">
        <is>
          <t>All</t>
        </is>
      </c>
    </row>
    <row r="9" ht="64" customHeight="1">
      <c r="A9" s="109" t="inlineStr">
        <is>
          <t>IRISDT0013</t>
        </is>
      </c>
      <c r="B9" s="111" t="inlineStr">
        <is>
          <t>Bharati Durgaprasad Paranjape</t>
        </is>
      </c>
      <c r="C9" s="111" t="inlineStr">
        <is>
          <t>Datatech - Outreach</t>
        </is>
      </c>
      <c r="D9" s="114" t="inlineStr">
        <is>
          <t>Program Executive - MSME</t>
        </is>
      </c>
      <c r="E9" s="114" t="inlineStr">
        <is>
          <t>Senior Program Executive</t>
        </is>
      </c>
      <c r="F9" s="114" t="inlineStr">
        <is>
          <t>L3 – Professional / Associate</t>
        </is>
      </c>
      <c r="G9" s="114" t="inlineStr">
        <is>
          <t>A3</t>
        </is>
      </c>
      <c r="H9" s="141" t="inlineStr">
        <is>
          <t>▲ Up</t>
        </is>
      </c>
      <c r="I9" s="111" t="inlineStr">
        <is>
          <t>Sales &amp; Business Development</t>
        </is>
      </c>
      <c r="J9" s="111" t="inlineStr">
        <is>
          <t>Field Outreach &amp; Programme Sales</t>
        </is>
      </c>
      <c r="K9" s="111" t="inlineStr"/>
      <c r="L9" s="111" t="n">
        <v>19</v>
      </c>
      <c r="M9" s="142" t="inlineStr">
        <is>
          <t>P2</t>
        </is>
      </c>
      <c r="N9" s="115" t="inlineStr">
        <is>
          <t>Developing</t>
        </is>
      </c>
      <c r="O9" s="115" t="inlineStr">
        <is>
          <t>3 Apply</t>
        </is>
      </c>
      <c r="P9" s="115" t="inlineStr">
        <is>
          <t>2–4 yrs</t>
        </is>
      </c>
      <c r="Q9" s="115" t="inlineStr">
        <is>
          <t>3–5 · 2–5</t>
        </is>
      </c>
      <c r="R9" s="115" t="inlineStr">
        <is>
          <t>SDR / Inside Sales</t>
        </is>
      </c>
      <c r="S9" s="115" t="inlineStr">
        <is>
          <t>IRIS Vs Competitor Benchmark — SaaS sales ladder — IC: Senior SDR</t>
        </is>
      </c>
      <c r="T9" s="115" t="inlineStr">
        <is>
          <t>SaaS sales ladder · SDR → AE → Enterprise AE → VP / CRO; MEDDICC-style qualification</t>
        </is>
      </c>
      <c r="U9" s="115" t="inlineStr">
        <is>
          <t>Core 2 · Future 2 · Functional 3 · Leadership not scored</t>
        </is>
      </c>
      <c r="V9" s="157" t="n">
        <v>549</v>
      </c>
      <c r="W9" s="158" t="inlineStr">
        <is>
          <t>IRISDT0013</t>
        </is>
      </c>
      <c r="X9" s="158" t="inlineStr">
        <is>
          <t>Employee</t>
        </is>
      </c>
      <c r="Y9" s="158" t="inlineStr">
        <is>
          <t>Active</t>
        </is>
      </c>
      <c r="Z9" s="158" t="inlineStr">
        <is>
          <t>Bharati Durgaprasad Paranjape</t>
        </is>
      </c>
      <c r="AA9" s="244" t="n">
        <v>46027</v>
      </c>
      <c r="AB9" s="158" t="inlineStr">
        <is>
          <t>Program Executive - MSME</t>
        </is>
      </c>
      <c r="AC9" s="158" t="inlineStr">
        <is>
          <t>MA</t>
        </is>
      </c>
      <c r="AD9" s="158" t="inlineStr">
        <is>
          <t>Raghin Nair</t>
        </is>
      </c>
      <c r="AE9" s="158" t="inlineStr">
        <is>
          <t>N-3</t>
        </is>
      </c>
      <c r="AF9" s="158" t="inlineStr">
        <is>
          <t>Individual Contributor</t>
        </is>
      </c>
      <c r="AG9" s="158" t="inlineStr">
        <is>
          <t>3 years, 8 months, 0 days</t>
        </is>
      </c>
      <c r="AH9" s="158" t="inlineStr">
        <is>
          <t>0 years, 7 months, 20 days</t>
        </is>
      </c>
      <c r="AI9" s="158" t="inlineStr">
        <is>
          <t>Datatech</t>
        </is>
      </c>
      <c r="AJ9" s="158" t="inlineStr">
        <is>
          <t>Datatech</t>
        </is>
      </c>
      <c r="AK9" s="158" t="inlineStr">
        <is>
          <t>Datatech - Outreach</t>
        </is>
      </c>
      <c r="AL9" s="158" t="inlineStr">
        <is>
          <t>Sales</t>
        </is>
      </c>
      <c r="AM9" s="158" t="inlineStr">
        <is>
          <t>No</t>
        </is>
      </c>
      <c r="AN9" s="158" t="inlineStr">
        <is>
          <t>Sales, Marketing &amp; Support</t>
        </is>
      </c>
      <c r="AO9" s="158" t="inlineStr">
        <is>
          <t>Sales</t>
        </is>
      </c>
      <c r="AP9" s="158" t="inlineStr">
        <is>
          <t>Non-technical</t>
        </is>
      </c>
      <c r="AQ9" s="158" t="n">
        <v>20</v>
      </c>
      <c r="AR9" s="158" t="inlineStr">
        <is>
          <t>Covered</t>
        </is>
      </c>
      <c r="AS9" s="158" t="inlineStr">
        <is>
          <t>IRIS2461</t>
        </is>
      </c>
      <c r="AT9" s="158" t="inlineStr">
        <is>
          <t>Employee</t>
        </is>
      </c>
      <c r="AU9" s="158" t="inlineStr">
        <is>
          <t>Active</t>
        </is>
      </c>
      <c r="AV9" s="158" t="inlineStr">
        <is>
          <t>Bharati Durgaprasad Paranjape</t>
        </is>
      </c>
      <c r="AW9" s="159" t="n">
        <v>46027</v>
      </c>
      <c r="AX9" s="158" t="inlineStr">
        <is>
          <t>Program Executive - MSME</t>
        </is>
      </c>
      <c r="AY9" s="158" t="inlineStr">
        <is>
          <t>Project &amp; Program Management</t>
        </is>
      </c>
      <c r="AZ9" s="158" t="inlineStr">
        <is>
          <t>Program Management</t>
        </is>
      </c>
      <c r="BA9" s="158" t="inlineStr">
        <is>
          <t>Program Executive - MSME</t>
        </is>
      </c>
      <c r="BB9" s="158" t="inlineStr">
        <is>
          <t>L3 – Professional / Associate</t>
        </is>
      </c>
      <c r="BC9" s="158" t="inlineStr">
        <is>
          <t>MA</t>
        </is>
      </c>
      <c r="BD9" s="158" t="inlineStr">
        <is>
          <t>Raghin Nair</t>
        </is>
      </c>
      <c r="BE9" s="158" t="inlineStr">
        <is>
          <t>N-3</t>
        </is>
      </c>
      <c r="BF9" s="158" t="inlineStr">
        <is>
          <t>Individual Contributor</t>
        </is>
      </c>
      <c r="BG9" s="158" t="inlineStr">
        <is>
          <t>3 years, 8 months, 0 days</t>
        </is>
      </c>
      <c r="BH9" s="158" t="inlineStr">
        <is>
          <t>0 years, 5 months, 15 days</t>
        </is>
      </c>
      <c r="BI9" s="158" t="inlineStr">
        <is>
          <t>4 years, 1 months, 15 days</t>
        </is>
      </c>
      <c r="BJ9" s="158" t="n"/>
      <c r="BK9" s="158" t="inlineStr">
        <is>
          <t>Datatech</t>
        </is>
      </c>
      <c r="BL9" s="158" t="inlineStr">
        <is>
          <t>Datatech</t>
        </is>
      </c>
      <c r="BM9" s="158" t="inlineStr">
        <is>
          <t>Datatech - Outreach</t>
        </is>
      </c>
      <c r="BN9" s="158" t="inlineStr">
        <is>
          <t>Sales</t>
        </is>
      </c>
      <c r="BO9" s="158" t="inlineStr">
        <is>
          <t>No</t>
        </is>
      </c>
      <c r="BP9" s="158" t="inlineStr">
        <is>
          <t>Sales, Marketing &amp; Support</t>
        </is>
      </c>
      <c r="BQ9" s="158" t="inlineStr">
        <is>
          <t>Sales</t>
        </is>
      </c>
      <c r="BR9" s="158" t="inlineStr">
        <is>
          <t>Non-technical</t>
        </is>
      </c>
      <c r="BS9" s="158" t="inlineStr">
        <is>
          <t>Panaji</t>
        </is>
      </c>
      <c r="BT9" s="158" t="n"/>
      <c r="BU9" s="158"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BV9" s="158" t="inlineStr">
        <is>
          <t>1. MSME Onboarding - Target: 90 MSMEs this quarter
2. Business Loan Applications - Target: 115 applications this quarter
3. BHR Sales - Target: 50 BHR units this quarter
4. Government/MOU Connect - Minimum 1 touchpoint/month, logged</t>
        </is>
      </c>
      <c r="BW9" s="158" t="n">
        <v>3</v>
      </c>
      <c r="BX9" s="159" t="n">
        <v>46199</v>
      </c>
      <c r="BY9" s="158" t="inlineStr">
        <is>
          <t>Program Executive - MSME</t>
        </is>
      </c>
      <c r="BZ9" s="158" t="inlineStr">
        <is>
          <t>No</t>
        </is>
      </c>
      <c r="CA9" s="158" t="n">
        <v>3</v>
      </c>
      <c r="CB9" s="158" t="inlineStr">
        <is>
          <t>Medium</t>
        </is>
      </c>
      <c r="CC9" s="158" t="inlineStr">
        <is>
          <t>Emerging Talent</t>
        </is>
      </c>
      <c r="CD9" s="158" t="inlineStr">
        <is>
          <t>No</t>
        </is>
      </c>
      <c r="CE9" s="158" t="inlineStr">
        <is>
          <t>No</t>
        </is>
      </c>
      <c r="CF9" s="158" t="inlineStr">
        <is>
          <t>No</t>
        </is>
      </c>
      <c r="CG9" s="158" t="inlineStr">
        <is>
          <t>Product knowledge · loan/BHR products; Objection handling; Sales approach/pitch technique</t>
        </is>
      </c>
      <c r="CH9" s="158" t="inlineStr">
        <is>
          <r>
            <rPr>
              <rFont val="Calibri"/>
              <b val="1"/>
              <sz val="10"/>
            </rPr>
            <t>Target role:</t>
          </r>
          <r>
            <rPr>
              <rFont val="Calibri"/>
              <sz val="10"/>
            </rPr>
            <t xml:space="preserve"> Senior Field Associate · interim step. Development: deepen product/sales skill first, before layering on management scope. Review date: 31-08-2026</t>
          </r>
        </is>
      </c>
      <c r="CI9" s="158" t="inlineStr">
        <is>
          <t>Peridot App</t>
        </is>
      </c>
    </row>
    <row r="10" ht="64" customHeight="1">
      <c r="A10" s="109" t="inlineStr">
        <is>
          <t>IRISDT0017</t>
        </is>
      </c>
      <c r="B10" s="111" t="inlineStr">
        <is>
          <t>Lakshmikantha RN</t>
        </is>
      </c>
      <c r="C10" s="111" t="inlineStr">
        <is>
          <t>Datatech - Outreach</t>
        </is>
      </c>
      <c r="D10" s="114" t="inlineStr">
        <is>
          <t>Program Executive - MSME</t>
        </is>
      </c>
      <c r="E10" s="114" t="inlineStr">
        <is>
          <t>Senior Program Executive</t>
        </is>
      </c>
      <c r="F10" s="114" t="inlineStr">
        <is>
          <t>L3 – Professional / Associate</t>
        </is>
      </c>
      <c r="G10" s="114" t="inlineStr">
        <is>
          <t>A3</t>
        </is>
      </c>
      <c r="H10" s="141" t="inlineStr">
        <is>
          <t>▲ Up</t>
        </is>
      </c>
      <c r="I10" s="111" t="inlineStr">
        <is>
          <t>Sales &amp; Business Development</t>
        </is>
      </c>
      <c r="J10" s="111" t="inlineStr">
        <is>
          <t>Field Outreach &amp; Programme Sales</t>
        </is>
      </c>
      <c r="K10" s="111" t="inlineStr"/>
      <c r="L10" s="111" t="n">
        <v>20</v>
      </c>
      <c r="M10" s="142" t="inlineStr">
        <is>
          <t>P2</t>
        </is>
      </c>
      <c r="N10" s="115" t="inlineStr">
        <is>
          <t>Developing</t>
        </is>
      </c>
      <c r="O10" s="115" t="inlineStr">
        <is>
          <t>3 Apply</t>
        </is>
      </c>
      <c r="P10" s="115" t="inlineStr">
        <is>
          <t>2–4 yrs</t>
        </is>
      </c>
      <c r="Q10" s="115" t="inlineStr">
        <is>
          <t>3–5 · 2–5</t>
        </is>
      </c>
      <c r="R10" s="115" t="inlineStr">
        <is>
          <t>SDR / Inside Sales</t>
        </is>
      </c>
      <c r="S10" s="115" t="inlineStr">
        <is>
          <t>IRIS Vs Competitor Benchmark — SaaS sales ladder — IC: Senior SDR</t>
        </is>
      </c>
      <c r="T10" s="115" t="inlineStr">
        <is>
          <t>SaaS sales ladder · SDR → AE → Enterprise AE → VP / CRO; MEDDICC-style qualification</t>
        </is>
      </c>
      <c r="U10" s="115" t="inlineStr">
        <is>
          <t>Core 2 · Future 2 · Functional 3 · Leadership not scored</t>
        </is>
      </c>
      <c r="V10" s="157" t="n">
        <v>552</v>
      </c>
      <c r="W10" s="158" t="inlineStr">
        <is>
          <t>IRISDT0017</t>
        </is>
      </c>
      <c r="X10" s="158" t="inlineStr">
        <is>
          <t>Employee</t>
        </is>
      </c>
      <c r="Y10" s="158" t="inlineStr">
        <is>
          <t>Active</t>
        </is>
      </c>
      <c r="Z10" s="158" t="inlineStr">
        <is>
          <t>Lakshmikantha RN</t>
        </is>
      </c>
      <c r="AA10" s="244" t="n">
        <v>46086</v>
      </c>
      <c r="AB10" s="158" t="inlineStr">
        <is>
          <t>Program Executive - MSME</t>
        </is>
      </c>
      <c r="AC10" s="158" t="inlineStr">
        <is>
          <t>MBA</t>
        </is>
      </c>
      <c r="AD10" s="158" t="inlineStr">
        <is>
          <t>Jeevan Khokale</t>
        </is>
      </c>
      <c r="AE10" s="158" t="inlineStr">
        <is>
          <t>N-4</t>
        </is>
      </c>
      <c r="AF10" s="158" t="inlineStr">
        <is>
          <t>Individual Contributor</t>
        </is>
      </c>
      <c r="AG10" s="158" t="inlineStr">
        <is>
          <t>2 years, 4 months, 0 days</t>
        </is>
      </c>
      <c r="AH10" s="158" t="inlineStr">
        <is>
          <t>0 years, 5 months, 20 days</t>
        </is>
      </c>
      <c r="AI10" s="158" t="inlineStr">
        <is>
          <t>Datatech</t>
        </is>
      </c>
      <c r="AJ10" s="158" t="inlineStr">
        <is>
          <t>Datatech</t>
        </is>
      </c>
      <c r="AK10" s="158" t="inlineStr">
        <is>
          <t>Datatech - Outreach</t>
        </is>
      </c>
      <c r="AL10" s="158" t="inlineStr">
        <is>
          <t>Sales</t>
        </is>
      </c>
      <c r="AM10" s="158" t="inlineStr">
        <is>
          <t>No</t>
        </is>
      </c>
      <c r="AN10" s="158" t="inlineStr">
        <is>
          <t>Sales, Marketing &amp; Support</t>
        </is>
      </c>
      <c r="AO10" s="158" t="inlineStr">
        <is>
          <t>Sales</t>
        </is>
      </c>
      <c r="AP10" s="158" t="inlineStr">
        <is>
          <t>Non-technical</t>
        </is>
      </c>
      <c r="AQ10" s="158" t="n">
        <v>20</v>
      </c>
      <c r="AR10" s="158" t="inlineStr">
        <is>
          <t>Covered</t>
        </is>
      </c>
      <c r="AS10" s="158" t="inlineStr">
        <is>
          <t>IRIS2490</t>
        </is>
      </c>
      <c r="AT10" s="158" t="inlineStr">
        <is>
          <t>Employee</t>
        </is>
      </c>
      <c r="AU10" s="158" t="inlineStr">
        <is>
          <t>Active</t>
        </is>
      </c>
      <c r="AV10" s="158" t="inlineStr">
        <is>
          <t>Lakshmikantha RN</t>
        </is>
      </c>
      <c r="AW10" s="159" t="n">
        <v>46086</v>
      </c>
      <c r="AX10" s="158" t="inlineStr">
        <is>
          <t>Program Executive - MSME</t>
        </is>
      </c>
      <c r="AY10" s="158" t="inlineStr">
        <is>
          <t>Project &amp; Program Management</t>
        </is>
      </c>
      <c r="AZ10" s="158" t="inlineStr">
        <is>
          <t>Program Management</t>
        </is>
      </c>
      <c r="BA10" s="158" t="inlineStr">
        <is>
          <t>Program Executive - MSME</t>
        </is>
      </c>
      <c r="BB10" s="158" t="inlineStr">
        <is>
          <t>L3 – Professional / Associate</t>
        </is>
      </c>
      <c r="BC10" s="158" t="inlineStr">
        <is>
          <t>MBA</t>
        </is>
      </c>
      <c r="BD10" s="158" t="inlineStr">
        <is>
          <t>Jeevan Khokale</t>
        </is>
      </c>
      <c r="BE10" s="158" t="inlineStr">
        <is>
          <t>N-4</t>
        </is>
      </c>
      <c r="BF10" s="158" t="inlineStr">
        <is>
          <t>Individual Contributor</t>
        </is>
      </c>
      <c r="BG10" s="158" t="inlineStr">
        <is>
          <t>2 years, 4 months, 0 days</t>
        </is>
      </c>
      <c r="BH10" s="158" t="inlineStr">
        <is>
          <t>0 years, 3 months, 15 days</t>
        </is>
      </c>
      <c r="BI10" s="158" t="inlineStr">
        <is>
          <t>2 years, 7 months, 15 days</t>
        </is>
      </c>
      <c r="BJ10" s="158" t="n"/>
      <c r="BK10" s="158" t="inlineStr">
        <is>
          <t>Datatech</t>
        </is>
      </c>
      <c r="BL10" s="158" t="inlineStr">
        <is>
          <t>Datatech</t>
        </is>
      </c>
      <c r="BM10" s="158" t="inlineStr">
        <is>
          <t>Datatech - Outreach</t>
        </is>
      </c>
      <c r="BN10" s="158" t="inlineStr">
        <is>
          <t>Sales</t>
        </is>
      </c>
      <c r="BO10" s="158" t="inlineStr">
        <is>
          <t>No</t>
        </is>
      </c>
      <c r="BP10" s="158" t="inlineStr">
        <is>
          <t>Sales, Marketing &amp; Support</t>
        </is>
      </c>
      <c r="BQ10" s="158" t="inlineStr">
        <is>
          <t>Sales</t>
        </is>
      </c>
      <c r="BR10" s="158" t="inlineStr">
        <is>
          <t>Non-technical</t>
        </is>
      </c>
      <c r="BS10" s="158" t="inlineStr">
        <is>
          <t>Bengaluru</t>
        </is>
      </c>
      <c r="BT10" s="158" t="n"/>
      <c r="BU10" s="158"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BV10" s="158" t="inlineStr">
        <is>
          <t>1. MSME Onboarding - Target: 210 MSMEs this quarter
2. Business Loan Applications - Target: 60 applications this quarter
3. BHR Sales - Target: 30 BHR units this quarter</t>
        </is>
      </c>
      <c r="BW10" s="158" t="n">
        <v>3</v>
      </c>
      <c r="BX10" s="159" t="n">
        <v>46199</v>
      </c>
      <c r="BY10" s="158" t="inlineStr">
        <is>
          <t>Program Executive - MSME</t>
        </is>
      </c>
      <c r="BZ10" s="158" t="inlineStr">
        <is>
          <t>No</t>
        </is>
      </c>
      <c r="CA10" s="158" t="n">
        <v>3</v>
      </c>
      <c r="CB10" s="158" t="inlineStr">
        <is>
          <t>Medium</t>
        </is>
      </c>
      <c r="CC10" s="158" t="inlineStr">
        <is>
          <t>Core Contributor</t>
        </is>
      </c>
      <c r="CD10" s="158" t="inlineStr">
        <is>
          <t>No</t>
        </is>
      </c>
      <c r="CE10" s="158" t="inlineStr">
        <is>
          <t>Yes</t>
        </is>
      </c>
      <c r="CF10" s="158" t="inlineStr">
        <is>
          <t>No</t>
        </is>
      </c>
      <c r="CG10" s="158" t="inlineStr">
        <is>
          <t>Product knowledge · loan/BHR products; Objection handling; Sales approach/pitch technique</t>
        </is>
      </c>
      <c r="CH10" s="158" t="inlineStr">
        <is>
          <r>
            <rPr>
              <rFont val="Calibri"/>
              <b val="1"/>
              <sz val="10"/>
            </rPr>
            <t>Target role:</t>
          </r>
          <r>
            <rPr>
              <rFont val="Calibri"/>
              <sz val="10"/>
            </rPr>
            <t xml:space="preserve"> Senior Field Associate · interim step. Development: deepen product/sales skill first, before layering on management scope. Review date: 31-08-2026</t>
          </r>
        </is>
      </c>
      <c r="CI10" s="158" t="inlineStr">
        <is>
          <t>Peridot App</t>
        </is>
      </c>
    </row>
    <row r="11" ht="64" customHeight="1">
      <c r="A11" s="109" t="inlineStr">
        <is>
          <t>IRISDT0003</t>
        </is>
      </c>
      <c r="B11" s="111" t="inlineStr">
        <is>
          <t>Nalini Niranjan Damisetti</t>
        </is>
      </c>
      <c r="C11" s="111" t="inlineStr">
        <is>
          <t>Datatech - Outreach</t>
        </is>
      </c>
      <c r="D11" s="114" t="inlineStr">
        <is>
          <t>Program Coordinator</t>
        </is>
      </c>
      <c r="E11" s="114" t="inlineStr">
        <is>
          <t>Senior Program Executive</t>
        </is>
      </c>
      <c r="F11" s="114" t="inlineStr">
        <is>
          <t>L3 – Professional / Associate</t>
        </is>
      </c>
      <c r="G11" s="114" t="inlineStr">
        <is>
          <t>A3</t>
        </is>
      </c>
      <c r="H11" s="141" t="inlineStr">
        <is>
          <t>▲ Up</t>
        </is>
      </c>
      <c r="I11" s="111" t="inlineStr">
        <is>
          <t>Sales &amp; Business Development</t>
        </is>
      </c>
      <c r="J11" s="111" t="inlineStr">
        <is>
          <t>Field Outreach &amp; Programme Sales</t>
        </is>
      </c>
      <c r="K11" s="111" t="inlineStr"/>
      <c r="L11" s="111" t="n">
        <v>20</v>
      </c>
      <c r="M11" s="142" t="inlineStr">
        <is>
          <t>P2</t>
        </is>
      </c>
      <c r="N11" s="115" t="inlineStr">
        <is>
          <t>Developing</t>
        </is>
      </c>
      <c r="O11" s="115" t="inlineStr">
        <is>
          <t>3 Apply</t>
        </is>
      </c>
      <c r="P11" s="115" t="inlineStr">
        <is>
          <t>2–4 yrs</t>
        </is>
      </c>
      <c r="Q11" s="115" t="inlineStr">
        <is>
          <t>3–5 · 2–5</t>
        </is>
      </c>
      <c r="R11" s="115" t="inlineStr">
        <is>
          <t>SDR / Inside Sales</t>
        </is>
      </c>
      <c r="S11" s="115" t="inlineStr">
        <is>
          <t>IRIS Vs Competitor Benchmark — SaaS sales ladder — IC: Senior SDR</t>
        </is>
      </c>
      <c r="T11" s="115" t="inlineStr">
        <is>
          <t>SaaS sales ladder · SDR → AE → Enterprise AE → VP / CRO; MEDDICC-style qualification</t>
        </is>
      </c>
      <c r="U11" s="115" t="inlineStr">
        <is>
          <t>Core 2 · Future 2 · Functional 3 · Leadership not scored</t>
        </is>
      </c>
      <c r="V11" s="157" t="n">
        <v>539</v>
      </c>
      <c r="W11" s="158" t="inlineStr">
        <is>
          <t>IRISDT0003</t>
        </is>
      </c>
      <c r="X11" s="158" t="inlineStr">
        <is>
          <t>Employee</t>
        </is>
      </c>
      <c r="Y11" s="158" t="inlineStr">
        <is>
          <t>Active</t>
        </is>
      </c>
      <c r="Z11" s="158" t="inlineStr">
        <is>
          <t>Nalini Niranjan Damisetti</t>
        </is>
      </c>
      <c r="AA11" s="244" t="n">
        <v>45628</v>
      </c>
      <c r="AB11" s="158" t="inlineStr">
        <is>
          <t>Program Coordinator</t>
        </is>
      </c>
      <c r="AC11" s="158" t="inlineStr">
        <is>
          <t>PGDM</t>
        </is>
      </c>
      <c r="AD11" s="158" t="inlineStr">
        <is>
          <t>Raghin Nair</t>
        </is>
      </c>
      <c r="AE11" s="158" t="inlineStr">
        <is>
          <t>N-3</t>
        </is>
      </c>
      <c r="AF11" s="158" t="inlineStr">
        <is>
          <t>Individual Contributor</t>
        </is>
      </c>
      <c r="AG11" s="158" t="inlineStr">
        <is>
          <t>5 years, 6 months, 0 days</t>
        </is>
      </c>
      <c r="AH11" s="158" t="inlineStr">
        <is>
          <t>1 years, 8 months, 23 days</t>
        </is>
      </c>
      <c r="AI11" s="158" t="inlineStr">
        <is>
          <t>Datatech</t>
        </is>
      </c>
      <c r="AJ11" s="158" t="inlineStr">
        <is>
          <t>Datatech</t>
        </is>
      </c>
      <c r="AK11" s="158" t="inlineStr">
        <is>
          <t>Datatech - Outreach</t>
        </is>
      </c>
      <c r="AL11" s="158" t="inlineStr">
        <is>
          <t>Sales</t>
        </is>
      </c>
      <c r="AM11" s="158" t="inlineStr">
        <is>
          <t>No</t>
        </is>
      </c>
      <c r="AN11" s="158" t="inlineStr">
        <is>
          <t>Sales, Marketing &amp; Support</t>
        </is>
      </c>
      <c r="AO11" s="158" t="inlineStr">
        <is>
          <t>Sales</t>
        </is>
      </c>
      <c r="AP11" s="158" t="inlineStr">
        <is>
          <t>Non-technical</t>
        </is>
      </c>
      <c r="AQ11" s="158" t="n">
        <v>20</v>
      </c>
      <c r="AR11" s="158" t="inlineStr">
        <is>
          <t>Covered</t>
        </is>
      </c>
      <c r="AS11" s="158" t="inlineStr">
        <is>
          <t>IRIS2326</t>
        </is>
      </c>
      <c r="AT11" s="158" t="inlineStr">
        <is>
          <t>Employee</t>
        </is>
      </c>
      <c r="AU11" s="158" t="inlineStr">
        <is>
          <t>Active</t>
        </is>
      </c>
      <c r="AV11" s="158" t="inlineStr">
        <is>
          <t>Nalini Niranjan Damisetti</t>
        </is>
      </c>
      <c r="AW11" s="159" t="n">
        <v>45628</v>
      </c>
      <c r="AX11" s="158" t="inlineStr">
        <is>
          <t>Program Coordinator</t>
        </is>
      </c>
      <c r="AY11" s="158" t="inlineStr">
        <is>
          <t>Executive Leadership</t>
        </is>
      </c>
      <c r="AZ11" s="158" t="inlineStr">
        <is>
          <t>Business / Functional Leadership</t>
        </is>
      </c>
      <c r="BA11" s="158" t="inlineStr">
        <is>
          <t>Program Coordinator</t>
        </is>
      </c>
      <c r="BB11" s="158" t="inlineStr">
        <is>
          <t>L3 – Professional / Associate</t>
        </is>
      </c>
      <c r="BC11" s="158" t="inlineStr">
        <is>
          <t>PGDM</t>
        </is>
      </c>
      <c r="BD11" s="158" t="inlineStr">
        <is>
          <t>Raghin Nair</t>
        </is>
      </c>
      <c r="BE11" s="158" t="inlineStr">
        <is>
          <t>N-3</t>
        </is>
      </c>
      <c r="BF11" s="158" t="inlineStr">
        <is>
          <t>Manager</t>
        </is>
      </c>
      <c r="BG11" s="158" t="inlineStr">
        <is>
          <t>5 years, 6 months, 0 days</t>
        </is>
      </c>
      <c r="BH11" s="158" t="inlineStr">
        <is>
          <t>1 years, 6 months, 18 days</t>
        </is>
      </c>
      <c r="BI11" s="158" t="inlineStr">
        <is>
          <t>7 years, 0 months, 18 days</t>
        </is>
      </c>
      <c r="BJ11" s="158" t="n">
        <v>1.54931506849315</v>
      </c>
      <c r="BK11" s="158" t="inlineStr">
        <is>
          <t>Datatech</t>
        </is>
      </c>
      <c r="BL11" s="158" t="inlineStr">
        <is>
          <t>Datatech</t>
        </is>
      </c>
      <c r="BM11" s="158" t="inlineStr">
        <is>
          <t>Datatech - Outreach</t>
        </is>
      </c>
      <c r="BN11" s="158" t="inlineStr">
        <is>
          <t>Sales</t>
        </is>
      </c>
      <c r="BO11" s="158" t="inlineStr">
        <is>
          <t>No</t>
        </is>
      </c>
      <c r="BP11" s="158" t="inlineStr">
        <is>
          <t>Sales, Marketing &amp; Support</t>
        </is>
      </c>
      <c r="BQ11" s="158" t="inlineStr">
        <is>
          <t>Sales</t>
        </is>
      </c>
      <c r="BR11" s="158" t="inlineStr">
        <is>
          <t>Non-technical</t>
        </is>
      </c>
      <c r="BS11" s="158" t="inlineStr">
        <is>
          <t>Hyderabad</t>
        </is>
      </c>
      <c r="BT11" s="158" t="n"/>
      <c r="BU11" s="158"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BV11" s="158" t="inlineStr">
        <is>
          <t>1. MSME Onboarding - Target: 70 MSMEs this quarter
2. Business Loan Applications - Target: 90 applications this quarter
3. BHR Sales - Target: 30 BHR units this quarter
4. Government/MOU Connect - Minimum 1 touchpoint/month, logged</t>
        </is>
      </c>
      <c r="BW11" s="158" t="n">
        <v>3</v>
      </c>
      <c r="BX11" s="159" t="n">
        <v>46199</v>
      </c>
      <c r="BY11" s="158" t="inlineStr">
        <is>
          <t>Program Coordinator</t>
        </is>
      </c>
      <c r="BZ11" s="158" t="inlineStr">
        <is>
          <t>No</t>
        </is>
      </c>
      <c r="CA11" s="158" t="n">
        <v>3</v>
      </c>
      <c r="CB11" s="158" t="inlineStr">
        <is>
          <t>Medium</t>
        </is>
      </c>
      <c r="CC11" s="158" t="inlineStr">
        <is>
          <t>Performance Risk</t>
        </is>
      </c>
      <c r="CD11" s="158" t="inlineStr">
        <is>
          <t>No</t>
        </is>
      </c>
      <c r="CE11" s="158" t="inlineStr">
        <is>
          <t>No</t>
        </is>
      </c>
      <c r="CF11" s="158" t="inlineStr">
        <is>
          <t>No</t>
        </is>
      </c>
      <c r="CG11" s="158" t="inlineStr">
        <is>
          <t>Objection handling · converting hesitant MSMEs; BHR selling</t>
        </is>
      </c>
      <c r="CH11" s="158" t="n"/>
      <c r="CI11" s="158" t="inlineStr">
        <is>
          <t>Peridot App</t>
        </is>
      </c>
    </row>
    <row r="12" ht="64" customHeight="1">
      <c r="A12" s="109" t="inlineStr">
        <is>
          <t>IRISDTC004</t>
        </is>
      </c>
      <c r="B12" s="111" t="inlineStr">
        <is>
          <t>Sameeksha More</t>
        </is>
      </c>
      <c r="C12" s="111" t="inlineStr">
        <is>
          <t>Datatech - Outreach</t>
        </is>
      </c>
      <c r="D12" s="111" t="inlineStr">
        <is>
          <t>MIS Associate</t>
        </is>
      </c>
      <c r="E12" s="111" t="inlineStr">
        <is>
          <t>MIS Associate</t>
        </is>
      </c>
      <c r="F12" s="114" t="inlineStr">
        <is>
          <t>Not in current mapping files</t>
        </is>
      </c>
      <c r="G12" s="114" t="inlineStr">
        <is>
          <t>A2</t>
        </is>
      </c>
      <c r="H12" s="143" t="inlineStr">
        <is>
          <t>● Newly mapped</t>
        </is>
      </c>
      <c r="I12" s="111" t="inlineStr">
        <is>
          <t>Data &amp; Analytics</t>
        </is>
      </c>
      <c r="J12" s="111" t="inlineStr">
        <is>
          <t>MIS &amp; Business Reporting</t>
        </is>
      </c>
      <c r="K12" s="111" t="inlineStr"/>
      <c r="L12" s="111" t="n">
        <v>20</v>
      </c>
      <c r="M12" s="142" t="inlineStr">
        <is>
          <t>P1–P2</t>
        </is>
      </c>
      <c r="N12" s="115" t="inlineStr">
        <is>
          <t>Entry / Developing</t>
        </is>
      </c>
      <c r="O12" s="115" t="inlineStr">
        <is>
          <t>2 Assist</t>
        </is>
      </c>
      <c r="P12" s="115" t="inlineStr">
        <is>
          <t>0–2 yrs</t>
        </is>
      </c>
      <c r="Q12" s="115" t="inlineStr">
        <is>
          <t>1–3 · 0–3</t>
        </is>
      </c>
      <c r="R12" s="115" t="inlineStr">
        <is>
          <t>Junior Data Analyst / Data Analyst</t>
        </is>
      </c>
      <c r="S12" s="115" t="inlineStr">
        <is>
          <r>
            <rPr>
              <rFont val="Calibri"/>
              <b val="1"/>
              <sz val="10"/>
            </rPr>
            <t>Atlassian company-wide P-levels:</t>
          </r>
          <r>
            <rPr>
              <rFont val="Calibri"/>
              <sz val="10"/>
            </rPr>
            <t xml:space="preserve"> P30 Analyst · IRIS Vs Competitor Benchmark — data analyst ladder: Data Analyst I</t>
          </r>
        </is>
      </c>
      <c r="T12" s="115" t="inlineStr">
        <is>
          <t>DAMA-DMBOK · 11 knowledge areas around data governance</t>
        </is>
      </c>
      <c r="U12" s="115" t="inlineStr">
        <is>
          <t>Core 2 · Future 2 · Functional 2 · Leadership not scored</t>
        </is>
      </c>
      <c r="V12" s="157" t="n">
        <v>557</v>
      </c>
      <c r="W12" s="158" t="inlineStr">
        <is>
          <t>IRISDTC004</t>
        </is>
      </c>
      <c r="X12" s="158" t="inlineStr">
        <is>
          <t>On Contract</t>
        </is>
      </c>
      <c r="Y12" s="158" t="inlineStr">
        <is>
          <t>Active</t>
        </is>
      </c>
      <c r="Z12" s="158" t="inlineStr">
        <is>
          <t>Sameeksha More</t>
        </is>
      </c>
      <c r="AA12" s="244" t="n">
        <v>46181</v>
      </c>
      <c r="AB12" s="158" t="inlineStr">
        <is>
          <t>MIS Associate</t>
        </is>
      </c>
      <c r="AC12" s="158" t="inlineStr">
        <is>
          <t>Diploma In Computer Technology</t>
        </is>
      </c>
      <c r="AD12" s="158" t="inlineStr">
        <is>
          <t>Raghin Nair</t>
        </is>
      </c>
      <c r="AE12" s="158" t="inlineStr">
        <is>
          <t>N-3</t>
        </is>
      </c>
      <c r="AF12" s="158" t="inlineStr">
        <is>
          <t>Individual Contributor</t>
        </is>
      </c>
      <c r="AG12" s="158" t="inlineStr">
        <is>
          <t>0 years, 3 months, 0 days</t>
        </is>
      </c>
      <c r="AH12" s="158" t="inlineStr">
        <is>
          <t>0 years, 2 months, 17 days</t>
        </is>
      </c>
      <c r="AI12" s="158" t="inlineStr">
        <is>
          <t>Datatech</t>
        </is>
      </c>
      <c r="AJ12" s="158" t="inlineStr">
        <is>
          <t>Datatech</t>
        </is>
      </c>
      <c r="AK12" s="158" t="inlineStr">
        <is>
          <t>Datatech - Outreach</t>
        </is>
      </c>
      <c r="AL12" s="158" t="inlineStr">
        <is>
          <t>Sales</t>
        </is>
      </c>
      <c r="AM12" s="158" t="inlineStr">
        <is>
          <t>No</t>
        </is>
      </c>
      <c r="AN12" s="158" t="inlineStr">
        <is>
          <t>Sales, Marketing &amp; Support</t>
        </is>
      </c>
      <c r="AO12" s="158" t="inlineStr">
        <is>
          <t>Sales</t>
        </is>
      </c>
      <c r="AP12" s="158" t="inlineStr">
        <is>
          <t>Non-technical</t>
        </is>
      </c>
      <c r="AQ12" s="158" t="n">
        <v>20</v>
      </c>
      <c r="AR12" s="158" t="inlineStr">
        <is>
          <t>Covered</t>
        </is>
      </c>
      <c r="AS12" s="158" t="n"/>
      <c r="AT12" s="158" t="inlineStr">
        <is>
          <t>On Contract</t>
        </is>
      </c>
      <c r="AU12" s="158" t="inlineStr">
        <is>
          <t>Active</t>
        </is>
      </c>
      <c r="AV12" s="158" t="inlineStr">
        <is>
          <t>Sameeksha More</t>
        </is>
      </c>
      <c r="AW12" s="158" t="n"/>
      <c r="AX12" s="158" t="inlineStr">
        <is>
          <t>MIS Associate</t>
        </is>
      </c>
      <c r="AY12" s="158" t="n"/>
      <c r="AZ12" s="158" t="n"/>
      <c r="BA12" s="158" t="n"/>
      <c r="BB12" s="158" t="n"/>
      <c r="BC12" s="158" t="n"/>
      <c r="BD12" s="158" t="inlineStr">
        <is>
          <t>Raghin Nair</t>
        </is>
      </c>
      <c r="BE12" s="158" t="n"/>
      <c r="BF12" s="158" t="n"/>
      <c r="BG12" s="158" t="n"/>
      <c r="BH12" s="158" t="n"/>
      <c r="BI12" s="158" t="n"/>
      <c r="BJ12" s="158" t="n"/>
      <c r="BK12" s="158" t="inlineStr">
        <is>
          <t>Datatech</t>
        </is>
      </c>
      <c r="BL12" s="158" t="inlineStr">
        <is>
          <t>Datatech</t>
        </is>
      </c>
      <c r="BM12" s="158" t="inlineStr">
        <is>
          <t>Datatech - Outreach</t>
        </is>
      </c>
      <c r="BN12" s="158" t="inlineStr">
        <is>
          <t>Sales</t>
        </is>
      </c>
      <c r="BO12" s="158" t="inlineStr">
        <is>
          <t>No</t>
        </is>
      </c>
      <c r="BP12" s="158" t="inlineStr">
        <is>
          <t>Sales, Marketing &amp; Support</t>
        </is>
      </c>
      <c r="BQ12" s="158" t="inlineStr">
        <is>
          <t>Support</t>
        </is>
      </c>
      <c r="BR12" s="158" t="inlineStr">
        <is>
          <t>Non-technical</t>
        </is>
      </c>
      <c r="BS12" s="158" t="inlineStr">
        <is>
          <t>Turbhe</t>
        </is>
      </c>
      <c r="BT12" s="158" t="n"/>
      <c r="BU12" s="158" t="inlineStr">
        <is>
          <t>1. Accuracy - Maintain report error rate below 20% - Weightage: 50%
2. Turnaround Time · TAT - Deliver reports within 24 hours of request, no exceptions - Weightage: 50%</t>
        </is>
      </c>
      <c r="BV12" s="158" t="inlineStr">
        <is>
          <t>Same accuracy/TAT standard as annual, adjusted for this quarter's expected report volume: 12 reports
1. Accuracy - error rate below 20%
2. TAT - within 24 hours/days of request</t>
        </is>
      </c>
      <c r="BW12" s="158" t="n">
        <v>4</v>
      </c>
      <c r="BX12" s="158" t="n"/>
      <c r="BY12" s="158" t="inlineStr">
        <is>
          <t>MIS Associate</t>
        </is>
      </c>
      <c r="BZ12" s="158" t="inlineStr">
        <is>
          <t>No</t>
        </is>
      </c>
      <c r="CA12" s="158" t="n">
        <v>4</v>
      </c>
      <c r="CB12" s="158" t="inlineStr">
        <is>
          <t>Medium</t>
        </is>
      </c>
      <c r="CC12" s="158" t="inlineStr">
        <is>
          <t>Core Contributor</t>
        </is>
      </c>
      <c r="CD12" s="158" t="inlineStr">
        <is>
          <t>No</t>
        </is>
      </c>
      <c r="CE12" s="158" t="inlineStr">
        <is>
          <t>Yes</t>
        </is>
      </c>
      <c r="CF12" s="158" t="inlineStr">
        <is>
          <t>Yes</t>
        </is>
      </c>
      <c r="CG12" s="158" t="n"/>
      <c r="CH12" s="158" t="inlineStr">
        <is>
          <r>
            <rPr>
              <rFont val="Calibri"/>
              <b val="1"/>
              <sz val="10"/>
            </rPr>
            <t>Decision:</t>
          </r>
          <r>
            <rPr>
              <rFont val="Calibri"/>
              <sz val="10"/>
            </rPr>
            <t xml:space="preserve"> Contract extension · not conversion at this point for 6-12 months.</t>
          </r>
        </is>
      </c>
      <c r="CI12" s="158" t="inlineStr">
        <is>
          <t>All</t>
        </is>
      </c>
    </row>
    <row r="13" ht="64" customHeight="1">
      <c r="A13" s="109" t="inlineStr">
        <is>
          <t>IRISDT0015</t>
        </is>
      </c>
      <c r="B13" s="111" t="inlineStr">
        <is>
          <t>Jothi Pillai</t>
        </is>
      </c>
      <c r="C13" s="111" t="inlineStr">
        <is>
          <t>Datatech - Outreach</t>
        </is>
      </c>
      <c r="D13" s="114" t="inlineStr">
        <is>
          <t>Operations Executive</t>
        </is>
      </c>
      <c r="E13" s="114" t="inlineStr">
        <is>
          <t>Program Executive</t>
        </is>
      </c>
      <c r="F13" s="111" t="inlineStr">
        <is>
          <t>L3 – Professional / Associate</t>
        </is>
      </c>
      <c r="G13" s="24" t="inlineStr">
        <is>
          <t>A2</t>
        </is>
      </c>
      <c r="H13" s="117" t="inlineStr">
        <is>
          <t>• Same level</t>
        </is>
      </c>
      <c r="I13" s="111" t="inlineStr">
        <is>
          <t>Sales &amp; Business Development</t>
        </is>
      </c>
      <c r="J13" s="111" t="inlineStr">
        <is>
          <t>Field Outreach &amp; Programme Sales</t>
        </is>
      </c>
      <c r="K13" s="111" t="inlineStr"/>
      <c r="L13" s="111" t="n">
        <v>0</v>
      </c>
      <c r="M13" s="142" t="inlineStr">
        <is>
          <t>P1–P2</t>
        </is>
      </c>
      <c r="N13" s="115" t="inlineStr">
        <is>
          <t>Entry / Developing</t>
        </is>
      </c>
      <c r="O13" s="115" t="inlineStr">
        <is>
          <t>2 Assist</t>
        </is>
      </c>
      <c r="P13" s="115" t="inlineStr">
        <is>
          <t>0–2 yrs</t>
        </is>
      </c>
      <c r="Q13" s="115" t="inlineStr">
        <is>
          <t>1–3 · 0–3</t>
        </is>
      </c>
      <c r="R13" s="115" t="inlineStr">
        <is>
          <t>SDR · entry / SDR / Inside Sales</t>
        </is>
      </c>
      <c r="S13" s="115" t="inlineStr">
        <is>
          <t>IRIS Vs Competitor Benchmark — SaaS sales ladder — IC: SDR / BDR</t>
        </is>
      </c>
      <c r="T13" s="115" t="inlineStr">
        <is>
          <t>SaaS sales ladder · SDR → AE → Enterprise AE → VP / CRO; MEDDICC-style qualification</t>
        </is>
      </c>
      <c r="U13" s="115" t="inlineStr">
        <is>
          <t>Core 2 · Future 2 · Functional 2 · Leadership not scored</t>
        </is>
      </c>
      <c r="V13" s="157" t="n">
        <v>551</v>
      </c>
      <c r="W13" s="158" t="inlineStr">
        <is>
          <t>IRISDT0015</t>
        </is>
      </c>
      <c r="X13" s="158" t="inlineStr">
        <is>
          <t>Employee</t>
        </is>
      </c>
      <c r="Y13" s="158" t="inlineStr">
        <is>
          <t>Active</t>
        </is>
      </c>
      <c r="Z13" s="158" t="inlineStr">
        <is>
          <t>Jothi Pillai</t>
        </is>
      </c>
      <c r="AA13" s="244" t="n">
        <v>46083</v>
      </c>
      <c r="AB13" s="158" t="inlineStr">
        <is>
          <t>Operations Executive</t>
        </is>
      </c>
      <c r="AC13" s="158" t="inlineStr">
        <is>
          <t>B.Com</t>
        </is>
      </c>
      <c r="AD13" s="158" t="inlineStr">
        <is>
          <t>Raghin Nair</t>
        </is>
      </c>
      <c r="AE13" s="158" t="inlineStr">
        <is>
          <t>N-3</t>
        </is>
      </c>
      <c r="AF13" s="158" t="inlineStr">
        <is>
          <t>Individual Contributor</t>
        </is>
      </c>
      <c r="AG13" s="158" t="inlineStr">
        <is>
          <t>0 years, 7 months, 0 days</t>
        </is>
      </c>
      <c r="AH13" s="158" t="inlineStr">
        <is>
          <t>0 years, 5 months, 23 days</t>
        </is>
      </c>
      <c r="AI13" s="158" t="inlineStr">
        <is>
          <t>Datatech</t>
        </is>
      </c>
      <c r="AJ13" s="158" t="inlineStr">
        <is>
          <t>Datatech</t>
        </is>
      </c>
      <c r="AK13" s="158" t="inlineStr">
        <is>
          <t>Datatech - Outreach</t>
        </is>
      </c>
      <c r="AL13" s="158" t="inlineStr">
        <is>
          <t>Sales</t>
        </is>
      </c>
      <c r="AM13" s="158" t="inlineStr">
        <is>
          <t>No</t>
        </is>
      </c>
      <c r="AN13" s="158" t="inlineStr">
        <is>
          <t>Sales, Marketing &amp; Support</t>
        </is>
      </c>
      <c r="AO13" s="158" t="inlineStr">
        <is>
          <t>Sales</t>
        </is>
      </c>
      <c r="AP13" s="158" t="inlineStr">
        <is>
          <t>Non-technical</t>
        </is>
      </c>
      <c r="AQ13" s="158" t="n">
        <v>0</v>
      </c>
      <c r="AR13" s="158" t="inlineStr">
        <is>
          <t>Excluded</t>
        </is>
      </c>
      <c r="AS13" s="158" t="inlineStr">
        <is>
          <t>IRIS2486</t>
        </is>
      </c>
      <c r="AT13" s="158" t="inlineStr">
        <is>
          <t>Employee</t>
        </is>
      </c>
      <c r="AU13" s="158" t="inlineStr">
        <is>
          <t>Active</t>
        </is>
      </c>
      <c r="AV13" s="158" t="inlineStr">
        <is>
          <t>Jothi Pillai</t>
        </is>
      </c>
      <c r="AW13" s="159" t="n">
        <v>46083</v>
      </c>
      <c r="AX13" s="158" t="inlineStr">
        <is>
          <t>Operations Executive</t>
        </is>
      </c>
      <c r="AY13" s="158" t="inlineStr">
        <is>
          <t>Sales &amp; Business Development</t>
        </is>
      </c>
      <c r="AZ13" s="158" t="inlineStr">
        <is>
          <t>Sales Development · SDR</t>
        </is>
      </c>
      <c r="BA13" s="158" t="inlineStr">
        <is>
          <t>Operations Executive</t>
        </is>
      </c>
      <c r="BB13" s="158" t="inlineStr">
        <is>
          <t>L3 – Professional / Associate</t>
        </is>
      </c>
      <c r="BC13" s="158" t="inlineStr">
        <is>
          <t>B.Com</t>
        </is>
      </c>
      <c r="BD13" s="158" t="inlineStr">
        <is>
          <t>Raghin Nair</t>
        </is>
      </c>
      <c r="BE13" s="158" t="inlineStr">
        <is>
          <t>N-3</t>
        </is>
      </c>
      <c r="BF13" s="158" t="inlineStr">
        <is>
          <t>Individual Contributor</t>
        </is>
      </c>
      <c r="BG13" s="158" t="inlineStr">
        <is>
          <t>0 years, 7 months, 0 days</t>
        </is>
      </c>
      <c r="BH13" s="158" t="inlineStr">
        <is>
          <t>0 years, 3 months, 18 days</t>
        </is>
      </c>
      <c r="BI13" s="158" t="inlineStr">
        <is>
          <t>0 years, 10 months, 18 days</t>
        </is>
      </c>
      <c r="BJ13" s="158" t="n"/>
      <c r="BK13" s="158" t="inlineStr">
        <is>
          <t>Datatech</t>
        </is>
      </c>
      <c r="BL13" s="158" t="inlineStr">
        <is>
          <t>Datatech</t>
        </is>
      </c>
      <c r="BM13" s="158" t="inlineStr">
        <is>
          <t>Datatech - Outreach</t>
        </is>
      </c>
      <c r="BN13" s="158" t="inlineStr">
        <is>
          <t>Sales</t>
        </is>
      </c>
      <c r="BO13" s="158" t="inlineStr">
        <is>
          <t>No</t>
        </is>
      </c>
      <c r="BP13" s="158" t="inlineStr">
        <is>
          <t>Sales, Marketing &amp; Support</t>
        </is>
      </c>
      <c r="BQ13" s="158" t="inlineStr">
        <is>
          <t>Sales</t>
        </is>
      </c>
      <c r="BR13" s="158" t="inlineStr">
        <is>
          <t>Non-technical</t>
        </is>
      </c>
      <c r="BS13" s="158" t="inlineStr">
        <is>
          <t>Turbhe</t>
        </is>
      </c>
      <c r="BT13" s="158" t="n"/>
      <c r="BU13" s="158" t="inlineStr">
        <is>
          <t>1. Business Loan Applications - Achieve 40% Submit-to-Bank ratio, ramping quarter over quarter to 40% · Baseline: ~10% - Weightage: 55%
2. BHR Sales - Sell 240 BHR units per quarter - Weightage: 45%</t>
        </is>
      </c>
      <c r="BV13" s="158" t="inlineStr">
        <is>
          <t>1. Business Loan Applications - Submit-to-Bank ratio target this quarter: 40%
2. BHR Sales - Target: 60 BHR units this quarter</t>
        </is>
      </c>
      <c r="BW13" s="158" t="n">
        <v>2</v>
      </c>
      <c r="BX13" s="159" t="n">
        <v>46225</v>
      </c>
      <c r="BY13" s="158" t="inlineStr">
        <is>
          <t>Operations Executive</t>
        </is>
      </c>
      <c r="BZ13" s="158" t="inlineStr">
        <is>
          <t>No</t>
        </is>
      </c>
      <c r="CA13" s="158" t="n">
        <v>2</v>
      </c>
      <c r="CB13" s="158" t="inlineStr">
        <is>
          <t>Low</t>
        </is>
      </c>
      <c r="CC13" s="158" t="inlineStr">
        <is>
          <t>Underperformer / Exit Risk</t>
        </is>
      </c>
      <c r="CD13" s="158" t="inlineStr">
        <is>
          <t>No</t>
        </is>
      </c>
      <c r="CE13" s="158" t="inlineStr">
        <is>
          <t>No</t>
        </is>
      </c>
      <c r="CF13" s="158" t="inlineStr">
        <is>
          <t>Yes</t>
        </is>
      </c>
      <c r="CG13" s="158" t="inlineStr">
        <is>
          <t>Prioritization/pipeline management; Objection handling; Product knowledge; Sales approach/confidence on calls</t>
        </is>
      </c>
      <c r="CH13" s="158" t="n"/>
      <c r="CI13" s="158" t="inlineStr">
        <is>
          <t>Peridot App</t>
        </is>
      </c>
    </row>
    <row r="14" ht="64" customHeight="1">
      <c r="A14" s="109" t="inlineStr">
        <is>
          <t>IRISDTC003</t>
        </is>
      </c>
      <c r="B14" s="111" t="inlineStr">
        <is>
          <t>Vaibhav Dukare</t>
        </is>
      </c>
      <c r="C14" s="111" t="inlineStr">
        <is>
          <t>Datatech - Outreach</t>
        </is>
      </c>
      <c r="D14" s="114" t="inlineStr">
        <is>
          <t>Customer Engagement Executive</t>
        </is>
      </c>
      <c r="E14" s="114" t="inlineStr">
        <is>
          <t>Program Executive</t>
        </is>
      </c>
      <c r="F14" s="111" t="inlineStr">
        <is>
          <t>L3 – Professional / Associate</t>
        </is>
      </c>
      <c r="G14" s="24" t="inlineStr">
        <is>
          <t>A2</t>
        </is>
      </c>
      <c r="H14" s="117" t="inlineStr">
        <is>
          <t>• Same level</t>
        </is>
      </c>
      <c r="I14" s="111" t="inlineStr">
        <is>
          <t>Sales &amp; Business Development</t>
        </is>
      </c>
      <c r="J14" s="111" t="inlineStr">
        <is>
          <t>Field Outreach &amp; Programme Sales</t>
        </is>
      </c>
      <c r="K14" s="111" t="inlineStr"/>
      <c r="L14" s="111" t="n">
        <v>19</v>
      </c>
      <c r="M14" s="142" t="inlineStr">
        <is>
          <t>P1–P2</t>
        </is>
      </c>
      <c r="N14" s="115" t="inlineStr">
        <is>
          <t>Entry / Developing</t>
        </is>
      </c>
      <c r="O14" s="115" t="inlineStr">
        <is>
          <t>2 Assist</t>
        </is>
      </c>
      <c r="P14" s="115" t="inlineStr">
        <is>
          <t>0–2 yrs</t>
        </is>
      </c>
      <c r="Q14" s="115" t="inlineStr">
        <is>
          <t>1–3 · 0–3</t>
        </is>
      </c>
      <c r="R14" s="115" t="inlineStr">
        <is>
          <t>SDR · entry / SDR / Inside Sales</t>
        </is>
      </c>
      <c r="S14" s="115" t="inlineStr">
        <is>
          <t>IRIS Vs Competitor Benchmark — SaaS sales ladder — IC: SDR / BDR</t>
        </is>
      </c>
      <c r="T14" s="115" t="inlineStr">
        <is>
          <t>SaaS sales ladder · SDR → AE → Enterprise AE → VP / CRO; MEDDICC-style qualification</t>
        </is>
      </c>
      <c r="U14" s="115" t="inlineStr">
        <is>
          <t>Core 2 · Future 2 · Functional 2 · Leadership not scored</t>
        </is>
      </c>
      <c r="V14" s="157" t="n">
        <v>554</v>
      </c>
      <c r="W14" s="158" t="inlineStr">
        <is>
          <t>IRISDTC003</t>
        </is>
      </c>
      <c r="X14" s="158" t="inlineStr">
        <is>
          <t>On Contract</t>
        </is>
      </c>
      <c r="Y14" s="158" t="inlineStr">
        <is>
          <t>Active</t>
        </is>
      </c>
      <c r="Z14" s="158" t="inlineStr">
        <is>
          <t>Vaibhav Dukare</t>
        </is>
      </c>
      <c r="AA14" s="244" t="n">
        <v>46114</v>
      </c>
      <c r="AB14" s="158" t="inlineStr">
        <is>
          <t>Customer Engagement Executive</t>
        </is>
      </c>
      <c r="AC14" s="158" t="inlineStr">
        <is>
          <t>B.E</t>
        </is>
      </c>
      <c r="AD14" s="158" t="inlineStr">
        <is>
          <t>Raghin Nair</t>
        </is>
      </c>
      <c r="AE14" s="158" t="inlineStr">
        <is>
          <t>N-3</t>
        </is>
      </c>
      <c r="AF14" s="158" t="inlineStr">
        <is>
          <t>Individual Contributor</t>
        </is>
      </c>
      <c r="AG14" s="158" t="inlineStr">
        <is>
          <t>1 years, 2 months, 0 days</t>
        </is>
      </c>
      <c r="AH14" s="158" t="inlineStr">
        <is>
          <t>0 years, 2 months, 13 days</t>
        </is>
      </c>
      <c r="AI14" s="158" t="inlineStr">
        <is>
          <t>Datatech</t>
        </is>
      </c>
      <c r="AJ14" s="158" t="inlineStr">
        <is>
          <t>Datatech</t>
        </is>
      </c>
      <c r="AK14" s="158" t="inlineStr">
        <is>
          <t>Datatech - Outreach</t>
        </is>
      </c>
      <c r="AL14" s="158" t="inlineStr">
        <is>
          <t>Sales</t>
        </is>
      </c>
      <c r="AM14" s="158" t="inlineStr">
        <is>
          <t>No</t>
        </is>
      </c>
      <c r="AN14" s="158" t="inlineStr">
        <is>
          <t>Sales, Marketing &amp; Support</t>
        </is>
      </c>
      <c r="AO14" s="158" t="inlineStr">
        <is>
          <t>Sales</t>
        </is>
      </c>
      <c r="AP14" s="158" t="inlineStr">
        <is>
          <t>Non-technical</t>
        </is>
      </c>
      <c r="AQ14" s="158" t="n">
        <v>20</v>
      </c>
      <c r="AR14" s="158" t="inlineStr">
        <is>
          <t>Covered</t>
        </is>
      </c>
      <c r="AS14" s="158" t="inlineStr">
        <is>
          <t>IRISC346</t>
        </is>
      </c>
      <c r="AT14" s="158" t="inlineStr">
        <is>
          <t>On Contract</t>
        </is>
      </c>
      <c r="AU14" s="158" t="inlineStr">
        <is>
          <t>Active</t>
        </is>
      </c>
      <c r="AV14" s="158" t="inlineStr">
        <is>
          <t>Vaibhav Dukare</t>
        </is>
      </c>
      <c r="AW14" s="159" t="n">
        <v>46114</v>
      </c>
      <c r="AX14" s="158" t="inlineStr">
        <is>
          <t>Customer Engagement Executive</t>
        </is>
      </c>
      <c r="AY14" s="158" t="inlineStr">
        <is>
          <t>Sales &amp; Business Development</t>
        </is>
      </c>
      <c r="AZ14" s="158" t="inlineStr">
        <is>
          <t>Sales Development · SDR</t>
        </is>
      </c>
      <c r="BA14" s="158" t="inlineStr">
        <is>
          <t>Customer Engagement Executive</t>
        </is>
      </c>
      <c r="BB14" s="158" t="inlineStr">
        <is>
          <t>L3 – Professional / Associate</t>
        </is>
      </c>
      <c r="BC14" s="158" t="inlineStr">
        <is>
          <t>B.E</t>
        </is>
      </c>
      <c r="BD14" s="158" t="inlineStr">
        <is>
          <t>Raghin Nair</t>
        </is>
      </c>
      <c r="BE14" s="158" t="inlineStr">
        <is>
          <t>N-3</t>
        </is>
      </c>
      <c r="BF14" s="158" t="inlineStr">
        <is>
          <t>Individual Contributor</t>
        </is>
      </c>
      <c r="BG14" s="158" t="inlineStr">
        <is>
          <t>1 years, 2 months, 0 days</t>
        </is>
      </c>
      <c r="BH14" s="158" t="inlineStr">
        <is>
          <t>0 years, 2 months, 18 days</t>
        </is>
      </c>
      <c r="BI14" s="158" t="inlineStr">
        <is>
          <t>1 years, 4 months, 18 days</t>
        </is>
      </c>
      <c r="BJ14" s="158" t="n"/>
      <c r="BK14" s="158" t="inlineStr">
        <is>
          <t>Datatech</t>
        </is>
      </c>
      <c r="BL14" s="158" t="inlineStr">
        <is>
          <t>Datatech</t>
        </is>
      </c>
      <c r="BM14" s="158" t="inlineStr">
        <is>
          <t>Datatech - Outreach</t>
        </is>
      </c>
      <c r="BN14" s="158" t="inlineStr">
        <is>
          <t>Sales</t>
        </is>
      </c>
      <c r="BO14" s="158" t="inlineStr">
        <is>
          <t>No</t>
        </is>
      </c>
      <c r="BP14" s="158" t="inlineStr">
        <is>
          <t>Sales, Marketing &amp; Support</t>
        </is>
      </c>
      <c r="BQ14" s="158" t="inlineStr">
        <is>
          <t>Sales</t>
        </is>
      </c>
      <c r="BR14" s="158" t="inlineStr">
        <is>
          <t>Non-technical</t>
        </is>
      </c>
      <c r="BS14" s="158" t="inlineStr">
        <is>
          <t>Turbhe</t>
        </is>
      </c>
      <c r="BT14" s="158" t="n"/>
      <c r="BU14" s="158" t="inlineStr">
        <is>
          <t>1. Business Loan Applications - Achieve 40% Submit-to-Bank ratio, ramping quarter over quarter to 40% · Baseline: ~10% - Weightage: 55%
2. BHR Sales - Sell 240 BHR units per quarter - Weightage: 45%</t>
        </is>
      </c>
      <c r="BV14" s="158" t="inlineStr">
        <is>
          <t>1. Business Loan Applications - Submit-to-Bank ratio target this quarter: 40%
2. BHR Sales - Target: 60 BHR units this quarter</t>
        </is>
      </c>
      <c r="BW14" s="158" t="n">
        <v>3</v>
      </c>
      <c r="BX14" s="159" t="n">
        <v>46225</v>
      </c>
      <c r="BY14" s="158" t="inlineStr">
        <is>
          <t>Customer Engagement Executive</t>
        </is>
      </c>
      <c r="BZ14" s="158" t="inlineStr">
        <is>
          <t>No</t>
        </is>
      </c>
      <c r="CA14" s="158" t="n">
        <v>3</v>
      </c>
      <c r="CB14" s="158" t="inlineStr">
        <is>
          <t>Medium</t>
        </is>
      </c>
      <c r="CC14" s="158" t="inlineStr">
        <is>
          <t>Core Contributor</t>
        </is>
      </c>
      <c r="CD14" s="158" t="inlineStr">
        <is>
          <t>No</t>
        </is>
      </c>
      <c r="CE14" s="158" t="inlineStr">
        <is>
          <t>Yes</t>
        </is>
      </c>
      <c r="CF14" s="158" t="inlineStr">
        <is>
          <t>Yes</t>
        </is>
      </c>
      <c r="CG14" s="158" t="inlineStr">
        <is>
          <t>Prioritization/pipeline management - case prioritization, knowing when to move on vs. push further on a stuck file</t>
        </is>
      </c>
      <c r="CH14" s="158" t="inlineStr">
        <is>
          <r>
            <rPr>
              <rFont val="Calibri"/>
              <b val="1"/>
              <sz val="10"/>
            </rPr>
            <t>Target role:</t>
          </r>
          <r>
            <rPr>
              <rFont val="Calibri"/>
              <sz val="10"/>
            </rPr>
            <t xml:space="preserve"> Senior Telecaller / potential Team Lead - Mumbai calling team, contingent on closing prioritization/pipeline-management gap.</t>
          </r>
        </is>
      </c>
      <c r="CI14" s="158" t="inlineStr">
        <is>
          <t>Peridot App</t>
        </is>
      </c>
    </row>
    <row r="15" ht="64" customHeight="1">
      <c r="A15" s="109" t="inlineStr">
        <is>
          <t>IRISDT0001</t>
        </is>
      </c>
      <c r="B15" s="111" t="inlineStr">
        <is>
          <t>Shilpa Dhobale</t>
        </is>
      </c>
      <c r="C15" s="111" t="inlineStr">
        <is>
          <t>Datatech Business Head</t>
        </is>
      </c>
      <c r="D15" s="111" t="inlineStr">
        <is>
          <t>Business Head - DataTech</t>
        </is>
      </c>
      <c r="E15" s="111" t="inlineStr">
        <is>
          <t>Business Head – DataTech</t>
        </is>
      </c>
      <c r="F15" s="114" t="inlineStr">
        <is>
          <t>L7 – Head / Sr Director</t>
        </is>
      </c>
      <c r="G15" s="114" t="inlineStr">
        <is>
          <t>D2</t>
        </is>
      </c>
      <c r="H15" s="141" t="inlineStr">
        <is>
          <t>▲ Up</t>
        </is>
      </c>
      <c r="I15" s="111" t="inlineStr">
        <is>
          <t>Executive Leadership</t>
        </is>
      </c>
      <c r="J15" s="111" t="inlineStr">
        <is>
          <t>Business &amp; Functional Leadership</t>
        </is>
      </c>
      <c r="K15" s="145" t="inlineStr">
        <is>
          <t>• Survey response or KRAs describing the work · nothing on file — Employee + manager
• Correct the experience record — HR</t>
        </is>
      </c>
      <c r="L15" s="111" t="n">
        <v>0</v>
      </c>
      <c r="M15" s="142" t="inlineStr">
        <is>
          <t>E3–E4</t>
        </is>
      </c>
      <c r="N15" s="115" t="inlineStr">
        <is>
          <t>SVP</t>
        </is>
      </c>
      <c r="O15" s="115" t="inlineStr">
        <is>
          <t>7 Set strategy</t>
        </is>
      </c>
      <c r="P15" s="115" t="inlineStr">
        <is>
          <t>18–24 yrs</t>
        </is>
      </c>
      <c r="Q15" s="115" t="inlineStr">
        <is>
          <t>—</t>
        </is>
      </c>
      <c r="R15" s="115" t="inlineStr">
        <is>
          <t>Associate Vice President / Business Head</t>
        </is>
      </c>
      <c r="S15" s="115" t="inlineStr">
        <is>
          <t>IRIS Vs Market Benchmark — Aon Radford / Mercer executive codes: E3–E4 SVP · IRIS Vs Competitor Benchmark — regtech / SaaS executive titles: SVP</t>
        </is>
      </c>
      <c r="T15" s="115" t="inlineStr">
        <is>
          <t>Aon Radford executive levels E1–E6; Mercer ET1–ET3; Korn Ferry Leadership Architect</t>
        </is>
      </c>
      <c r="U15" s="115" t="inlineStr">
        <is>
          <t>Core 5 · Future 4 · Functional 4 · Leadership 5</t>
        </is>
      </c>
      <c r="V15" s="157" t="n">
        <v>538</v>
      </c>
      <c r="W15" s="158" t="inlineStr">
        <is>
          <t>IRISDT0001</t>
        </is>
      </c>
      <c r="X15" s="158" t="inlineStr">
        <is>
          <t>Employee</t>
        </is>
      </c>
      <c r="Y15" s="158" t="inlineStr">
        <is>
          <t>Active</t>
        </is>
      </c>
      <c r="Z15" s="158" t="inlineStr">
        <is>
          <t>Shilpa Dhobale</t>
        </is>
      </c>
      <c r="AA15" s="244" t="n">
        <v>45627</v>
      </c>
      <c r="AB15" s="158" t="inlineStr">
        <is>
          <t>Business Head - DataTech</t>
        </is>
      </c>
      <c r="AC15" s="158" t="inlineStr">
        <is>
          <t>CWA</t>
        </is>
      </c>
      <c r="AD15" s="158" t="inlineStr">
        <is>
          <t>Balachandran K</t>
        </is>
      </c>
      <c r="AE15" s="158" t="inlineStr">
        <is>
          <t>N-1</t>
        </is>
      </c>
      <c r="AF15" s="158" t="inlineStr">
        <is>
          <t>Manager</t>
        </is>
      </c>
      <c r="AG15" s="158" t="inlineStr">
        <is>
          <t>2 years, 0 months, 0 days</t>
        </is>
      </c>
      <c r="AH15" s="158" t="inlineStr">
        <is>
          <t>1 years, 8 months, 24 days</t>
        </is>
      </c>
      <c r="AI15" s="158" t="inlineStr">
        <is>
          <t>Datatech</t>
        </is>
      </c>
      <c r="AJ15" s="158" t="inlineStr">
        <is>
          <t>Datatech</t>
        </is>
      </c>
      <c r="AK15" s="158" t="inlineStr">
        <is>
          <t>Datatech Business Head</t>
        </is>
      </c>
      <c r="AL15" s="158" t="inlineStr">
        <is>
          <t>Client Engagement</t>
        </is>
      </c>
      <c r="AM15" s="158" t="inlineStr">
        <is>
          <t>No</t>
        </is>
      </c>
      <c r="AN15" s="158" t="inlineStr">
        <is>
          <t>Client Engagement</t>
        </is>
      </c>
      <c r="AO15" s="158" t="inlineStr">
        <is>
          <t>Product Management</t>
        </is>
      </c>
      <c r="AP15" s="158" t="inlineStr">
        <is>
          <t>Technical · BA, PM and QA</t>
        </is>
      </c>
      <c r="AQ15" s="158" t="n">
        <v>0</v>
      </c>
      <c r="AR15" s="158" t="inlineStr">
        <is>
          <t>E-Top management</t>
        </is>
      </c>
      <c r="AS15" s="158" t="inlineStr">
        <is>
          <t>IRIS2325</t>
        </is>
      </c>
      <c r="AT15" s="158" t="inlineStr">
        <is>
          <t>Employee</t>
        </is>
      </c>
      <c r="AU15" s="158" t="inlineStr">
        <is>
          <t>Active</t>
        </is>
      </c>
      <c r="AV15" s="158" t="inlineStr">
        <is>
          <t>Shilpa Dhobale</t>
        </is>
      </c>
      <c r="AW15" s="159" t="n">
        <v>45627</v>
      </c>
      <c r="AX15" s="158" t="inlineStr">
        <is>
          <t>Head - Product Excellence</t>
        </is>
      </c>
      <c r="AY15" s="158" t="inlineStr">
        <is>
          <t>Customer Success &amp; Support</t>
        </is>
      </c>
      <c r="AZ15" s="158" t="inlineStr">
        <is>
          <t>Client / Product Support</t>
        </is>
      </c>
      <c r="BA15" s="158" t="inlineStr">
        <is>
          <t>Head - Product Excellence</t>
        </is>
      </c>
      <c r="BB15" s="158" t="inlineStr">
        <is>
          <t>L7 – Head / Sr Director</t>
        </is>
      </c>
      <c r="BC15" s="158" t="inlineStr">
        <is>
          <t>CWA</t>
        </is>
      </c>
      <c r="BD15" s="158" t="inlineStr">
        <is>
          <t>Balachandran K</t>
        </is>
      </c>
      <c r="BE15" s="158" t="inlineStr">
        <is>
          <t>N-1</t>
        </is>
      </c>
      <c r="BF15" s="158" t="inlineStr">
        <is>
          <t>Manager</t>
        </is>
      </c>
      <c r="BG15" s="158" t="inlineStr">
        <is>
          <t>2 years, 0 months, 0 days</t>
        </is>
      </c>
      <c r="BH15" s="158" t="inlineStr">
        <is>
          <t>1 years, 6 months, 19 days</t>
        </is>
      </c>
      <c r="BI15" s="158" t="inlineStr">
        <is>
          <t>3 years, 6 months, 19 days</t>
        </is>
      </c>
      <c r="BJ15" s="158" t="n">
        <v>1.55205479452055</v>
      </c>
      <c r="BK15" s="158" t="inlineStr">
        <is>
          <t>Datatech</t>
        </is>
      </c>
      <c r="BL15" s="158" t="inlineStr">
        <is>
          <t>Datatech</t>
        </is>
      </c>
      <c r="BM15" s="158" t="inlineStr">
        <is>
          <t>Datatech Business Head</t>
        </is>
      </c>
      <c r="BN15" s="158" t="inlineStr">
        <is>
          <t>Client Engagement</t>
        </is>
      </c>
      <c r="BO15" s="158" t="inlineStr">
        <is>
          <t>No</t>
        </is>
      </c>
      <c r="BP15" s="158" t="inlineStr">
        <is>
          <t>Client Engagement</t>
        </is>
      </c>
      <c r="BQ15" s="158" t="inlineStr">
        <is>
          <t>Product Management</t>
        </is>
      </c>
      <c r="BR15" s="158" t="inlineStr">
        <is>
          <t>Technical · BA, PM and QA</t>
        </is>
      </c>
      <c r="BS15" s="158" t="inlineStr">
        <is>
          <t>Turbhe</t>
        </is>
      </c>
      <c r="BT15" s="158" t="n"/>
      <c r="BU15" s="158" t="n"/>
      <c r="BV15" s="158" t="n"/>
      <c r="BW15" s="158" t="n">
        <v>3</v>
      </c>
      <c r="BX15" s="158" t="n"/>
      <c r="BY15" s="158" t="inlineStr">
        <is>
          <t>Business Head</t>
        </is>
      </c>
      <c r="BZ15" s="158" t="inlineStr">
        <is>
          <t>No</t>
        </is>
      </c>
      <c r="CA15" s="158" t="n">
        <v>3</v>
      </c>
      <c r="CB15" s="158" t="n">
        <v>3</v>
      </c>
      <c r="CC15" s="158" t="inlineStr">
        <is>
          <t>Future Leader</t>
        </is>
      </c>
      <c r="CD15" s="158" t="inlineStr">
        <is>
          <t>No</t>
        </is>
      </c>
      <c r="CE15" s="158" t="inlineStr">
        <is>
          <t>No</t>
        </is>
      </c>
      <c r="CF15" s="158" t="inlineStr">
        <is>
          <t>Yes</t>
        </is>
      </c>
      <c r="CG15" s="158" t="inlineStr">
        <is>
          <t>Leaderdership coaching and stakeholder management,</t>
        </is>
      </c>
      <c r="CH15" s="158" t="inlineStr">
        <is>
          <t>leadership coaching</t>
        </is>
      </c>
      <c r="CI15" s="158" t="inlineStr">
        <is>
          <t>All</t>
        </is>
      </c>
    </row>
    <row r="16" ht="64" customHeight="1">
      <c r="A16" s="109" t="inlineStr">
        <is>
          <t>IRISDT0009</t>
        </is>
      </c>
      <c r="B16" s="111" t="inlineStr">
        <is>
          <t>Ankita Pathak</t>
        </is>
      </c>
      <c r="C16" s="111" t="inlineStr">
        <is>
          <t>Marketing</t>
        </is>
      </c>
      <c r="D16" s="114" t="inlineStr">
        <is>
          <t>Manager Marketing</t>
        </is>
      </c>
      <c r="E16" s="114" t="inlineStr">
        <is>
          <t>Marketing Specialist – POD Lead</t>
        </is>
      </c>
      <c r="F16" s="114" t="inlineStr">
        <is>
          <t>L5 – Manager</t>
        </is>
      </c>
      <c r="G16" s="114" t="inlineStr">
        <is>
          <t>B2</t>
        </is>
      </c>
      <c r="H16" s="139" t="inlineStr">
        <is>
          <t>▼ Down · protected</t>
        </is>
      </c>
      <c r="I16" s="111" t="inlineStr">
        <is>
          <t>Marketing &amp; Communications</t>
        </is>
      </c>
      <c r="J16" s="111" t="inlineStr">
        <is>
          <t>Marketing Leadership</t>
        </is>
      </c>
      <c r="K16" s="111" t="inlineStr"/>
      <c r="L16" s="111" t="n">
        <v>20</v>
      </c>
      <c r="M16" s="142" t="inlineStr">
        <is>
          <t>P4 / M3</t>
        </is>
      </c>
      <c r="N16" s="115" t="inlineStr">
        <is>
          <t>Senior / Manager</t>
        </is>
      </c>
      <c r="O16" s="115" t="inlineStr">
        <is>
          <t>4–5</t>
        </is>
      </c>
      <c r="P16" s="115" t="inlineStr">
        <is>
          <t>6–9 yrs</t>
        </is>
      </c>
      <c r="Q16" s="115" t="inlineStr">
        <is>
          <t>7–10 · 6–11</t>
        </is>
      </c>
      <c r="R16" s="115" t="inlineStr">
        <is>
          <t>Senior Executive / Specialist</t>
        </is>
      </c>
      <c r="S16" s="115" t="inlineStr">
        <is>
          <t>IRIS Vs Market Benchmark — CIM proficiency scale: 3–4 · IRIS Vs Competitor Benchmark — SaaS marketing ladder: Marketing Manager</t>
        </is>
      </c>
      <c r="T16" s="115" t="inlineStr">
        <is>
          <t>CIM Global Professional Marketing Framework — proficiency Aware → Active learner → Able → Accomplished → Authoritative</t>
        </is>
      </c>
      <c r="U16" s="115" t="inlineStr">
        <is>
          <t>Core 3 · Future 3 · Functional 4 · Leadership 3</t>
        </is>
      </c>
      <c r="V16" s="157" t="n">
        <v>544</v>
      </c>
      <c r="W16" s="158" t="inlineStr">
        <is>
          <t>IRISDT0009</t>
        </is>
      </c>
      <c r="X16" s="158" t="inlineStr">
        <is>
          <t>Employee</t>
        </is>
      </c>
      <c r="Y16" s="158" t="inlineStr">
        <is>
          <t>Active</t>
        </is>
      </c>
      <c r="Z16" s="158" t="inlineStr">
        <is>
          <t>Ankita Pathak</t>
        </is>
      </c>
      <c r="AA16" s="244" t="n">
        <v>45880</v>
      </c>
      <c r="AB16" s="158" t="inlineStr">
        <is>
          <t>Manager Marketing</t>
        </is>
      </c>
      <c r="AC16" s="158" t="inlineStr">
        <is>
          <t>PGDBM</t>
        </is>
      </c>
      <c r="AD16" s="158" t="inlineStr">
        <is>
          <t>Shilpa Dhobale</t>
        </is>
      </c>
      <c r="AE16" s="158" t="inlineStr">
        <is>
          <t>N-2</t>
        </is>
      </c>
      <c r="AF16" s="158" t="inlineStr">
        <is>
          <t>Manager</t>
        </is>
      </c>
      <c r="AG16" s="158" t="inlineStr">
        <is>
          <t>4 years, 7 months, 0 days</t>
        </is>
      </c>
      <c r="AH16" s="158" t="inlineStr">
        <is>
          <t>1 years, 0 months, 14 days</t>
        </is>
      </c>
      <c r="AI16" s="158" t="inlineStr">
        <is>
          <t>Datatech</t>
        </is>
      </c>
      <c r="AJ16" s="158" t="inlineStr">
        <is>
          <t>Datatech</t>
        </is>
      </c>
      <c r="AK16" s="158" t="inlineStr">
        <is>
          <t>Marketing</t>
        </is>
      </c>
      <c r="AL16" s="158" t="inlineStr">
        <is>
          <t>Marketing</t>
        </is>
      </c>
      <c r="AM16" s="158" t="inlineStr">
        <is>
          <t>No</t>
        </is>
      </c>
      <c r="AN16" s="158" t="inlineStr">
        <is>
          <t>Sales, Marketing &amp; Support</t>
        </is>
      </c>
      <c r="AO16" s="158" t="inlineStr">
        <is>
          <t>Marketing</t>
        </is>
      </c>
      <c r="AP16" s="158" t="inlineStr">
        <is>
          <t>Non-technical</t>
        </is>
      </c>
      <c r="AQ16" s="158" t="n">
        <v>20</v>
      </c>
      <c r="AR16" s="158" t="inlineStr">
        <is>
          <t>Covered</t>
        </is>
      </c>
      <c r="AS16" s="158" t="inlineStr">
        <is>
          <t>IRIS2417</t>
        </is>
      </c>
      <c r="AT16" s="158" t="inlineStr">
        <is>
          <t>Employee</t>
        </is>
      </c>
      <c r="AU16" s="158" t="inlineStr">
        <is>
          <t>Active</t>
        </is>
      </c>
      <c r="AV16" s="158" t="inlineStr">
        <is>
          <t>Ankita Pathak</t>
        </is>
      </c>
      <c r="AW16" s="159" t="n">
        <v>45880</v>
      </c>
      <c r="AX16" s="158" t="inlineStr">
        <is>
          <t>Manager Marketing</t>
        </is>
      </c>
      <c r="AY16" s="158" t="inlineStr">
        <is>
          <t>Marketing &amp; Communications</t>
        </is>
      </c>
      <c r="AZ16" s="158" t="inlineStr">
        <is>
          <t>Demand Generation / Brand</t>
        </is>
      </c>
      <c r="BA16" s="158" t="inlineStr">
        <is>
          <t>Manager Marketing</t>
        </is>
      </c>
      <c r="BB16" s="158" t="inlineStr">
        <is>
          <t>L5 – Manager</t>
        </is>
      </c>
      <c r="BC16" s="158" t="inlineStr">
        <is>
          <t>PGDBM</t>
        </is>
      </c>
      <c r="BD16" s="158" t="inlineStr">
        <is>
          <t>Shilpa Dhobale</t>
        </is>
      </c>
      <c r="BE16" s="158" t="inlineStr">
        <is>
          <t>N-2</t>
        </is>
      </c>
      <c r="BF16" s="158" t="inlineStr">
        <is>
          <t>Manager</t>
        </is>
      </c>
      <c r="BG16" s="158" t="inlineStr">
        <is>
          <t>4 years, 7 months, 0 days</t>
        </is>
      </c>
      <c r="BH16" s="158" t="inlineStr">
        <is>
          <t>0 years, 10 months, 9 days</t>
        </is>
      </c>
      <c r="BI16" s="158" t="inlineStr">
        <is>
          <t>5 years, 5 months, 9 days</t>
        </is>
      </c>
      <c r="BJ16" s="158" t="n">
        <v>0.8579908675799089</v>
      </c>
      <c r="BK16" s="158" t="inlineStr">
        <is>
          <t>Datatech</t>
        </is>
      </c>
      <c r="BL16" s="158" t="inlineStr">
        <is>
          <t>Datatech</t>
        </is>
      </c>
      <c r="BM16" s="158" t="inlineStr">
        <is>
          <t>Marketing</t>
        </is>
      </c>
      <c r="BN16" s="158" t="inlineStr">
        <is>
          <t>Marketing</t>
        </is>
      </c>
      <c r="BO16" s="158" t="inlineStr">
        <is>
          <t>No</t>
        </is>
      </c>
      <c r="BP16" s="158" t="inlineStr">
        <is>
          <t>Sales, Marketing &amp; Support</t>
        </is>
      </c>
      <c r="BQ16" s="158" t="inlineStr">
        <is>
          <t>Marketing</t>
        </is>
      </c>
      <c r="BR16" s="158" t="inlineStr">
        <is>
          <t>Non-technical</t>
        </is>
      </c>
      <c r="BS16" s="158" t="inlineStr">
        <is>
          <t>Turbhe</t>
        </is>
      </c>
      <c r="BT16" s="158" t="n"/>
      <c r="BU16" s="158" t="n"/>
      <c r="BV16" s="158" t="n"/>
      <c r="BW16" s="158" t="n">
        <v>3</v>
      </c>
      <c r="BX16" s="158" t="n"/>
      <c r="BY16" s="158" t="inlineStr">
        <is>
          <t>Manager Marketing</t>
        </is>
      </c>
      <c r="BZ16" s="158" t="inlineStr">
        <is>
          <t>Yes</t>
        </is>
      </c>
      <c r="CA16" s="158" t="n">
        <v>3</v>
      </c>
      <c r="CB16" s="158" t="n">
        <v>3</v>
      </c>
      <c r="CC16" s="158" t="inlineStr">
        <is>
          <t>High Impact / Growth Talent</t>
        </is>
      </c>
      <c r="CD16" s="158" t="inlineStr">
        <is>
          <t>No</t>
        </is>
      </c>
      <c r="CE16" s="158" t="inlineStr">
        <is>
          <t>Yes</t>
        </is>
      </c>
      <c r="CF16" s="158" t="inlineStr">
        <is>
          <t>Yes</t>
        </is>
      </c>
      <c r="CG16" s="158" t="inlineStr">
        <is>
          <t>Performance marketing, Leadership coaching</t>
        </is>
      </c>
      <c r="CH16" s="158" t="n"/>
      <c r="CI16" s="158" t="inlineStr">
        <is>
          <t>All</t>
        </is>
      </c>
    </row>
    <row r="17" ht="64" customHeight="1">
      <c r="A17" s="109" t="inlineStr">
        <is>
          <t>IRISDTC001</t>
        </is>
      </c>
      <c r="B17" s="111" t="inlineStr">
        <is>
          <t>Lalit Subhash Dhamale</t>
        </is>
      </c>
      <c r="C17" s="111" t="inlineStr">
        <is>
          <t>Marketing</t>
        </is>
      </c>
      <c r="D17" s="114" t="inlineStr">
        <is>
          <t>Social Media &amp; ORM Specialist</t>
        </is>
      </c>
      <c r="E17" s="114" t="inlineStr">
        <is>
          <t>Senior Digital Marketing Associate</t>
        </is>
      </c>
      <c r="F17" s="114" t="inlineStr">
        <is>
          <t>Not in current mapping files</t>
        </is>
      </c>
      <c r="G17" s="114" t="inlineStr">
        <is>
          <t>A3</t>
        </is>
      </c>
      <c r="H17" s="143" t="inlineStr">
        <is>
          <t>● Newly mapped</t>
        </is>
      </c>
      <c r="I17" s="111" t="inlineStr">
        <is>
          <t>Marketing &amp; Communications</t>
        </is>
      </c>
      <c r="J17" s="111" t="inlineStr">
        <is>
          <t>Digital Marketing, Web &amp; Social</t>
        </is>
      </c>
      <c r="K17" s="111" t="inlineStr"/>
      <c r="L17" s="111" t="n">
        <v>20</v>
      </c>
      <c r="M17" s="142" t="inlineStr">
        <is>
          <t>P2</t>
        </is>
      </c>
      <c r="N17" s="115" t="inlineStr">
        <is>
          <t>Developing</t>
        </is>
      </c>
      <c r="O17" s="115" t="inlineStr">
        <is>
          <t>3 Apply</t>
        </is>
      </c>
      <c r="P17" s="115" t="inlineStr">
        <is>
          <t>2–4 yrs</t>
        </is>
      </c>
      <c r="Q17" s="115" t="inlineStr">
        <is>
          <t>3–5 · 2–5</t>
        </is>
      </c>
      <c r="R17" s="115" t="inlineStr">
        <is>
          <t>Marketing Executive</t>
        </is>
      </c>
      <c r="S17" s="115" t="inlineStr">
        <is>
          <t>IRIS Vs Market Benchmark — CIM proficiency scale: 2–3 · IRIS Vs Competitor Benchmark — SaaS marketing ladder: Marketing Specialist</t>
        </is>
      </c>
      <c r="T17" s="115" t="inlineStr">
        <is>
          <t>CIM Global Professional Marketing Framework — proficiency Aware → Active learner → Able → Accomplished → Authoritative</t>
        </is>
      </c>
      <c r="U17" s="115" t="inlineStr">
        <is>
          <t>Core 2 · Future 2 · Functional 3 · Leadership not scored</t>
        </is>
      </c>
      <c r="V17" s="157" t="n">
        <v>555</v>
      </c>
      <c r="W17" s="158" t="inlineStr">
        <is>
          <t>IRISDTC001</t>
        </is>
      </c>
      <c r="X17" s="158" t="inlineStr">
        <is>
          <t>On Contract</t>
        </is>
      </c>
      <c r="Y17" s="158" t="inlineStr">
        <is>
          <t>Active</t>
        </is>
      </c>
      <c r="Z17" s="158" t="inlineStr">
        <is>
          <t>Lalit Subhash Dhamale</t>
        </is>
      </c>
      <c r="AA17" s="244" t="n">
        <v>46163</v>
      </c>
      <c r="AB17" s="158" t="inlineStr">
        <is>
          <t>Social Media &amp; ORM Specialist</t>
        </is>
      </c>
      <c r="AC17" s="158" t="inlineStr">
        <is>
          <t>Diploma in Chemical Engineering</t>
        </is>
      </c>
      <c r="AD17" s="158" t="inlineStr">
        <is>
          <t>Ankita Pathak</t>
        </is>
      </c>
      <c r="AE17" s="158" t="inlineStr">
        <is>
          <t>N-3</t>
        </is>
      </c>
      <c r="AF17" s="158" t="inlineStr">
        <is>
          <t>Individual Contributor</t>
        </is>
      </c>
      <c r="AG17" s="158" t="inlineStr">
        <is>
          <t>2 years, 7 months, 0 days</t>
        </is>
      </c>
      <c r="AH17" s="158" t="inlineStr">
        <is>
          <t>0 years, 3 months, 4 days</t>
        </is>
      </c>
      <c r="AI17" s="158" t="inlineStr">
        <is>
          <t>Datatech</t>
        </is>
      </c>
      <c r="AJ17" s="158" t="inlineStr">
        <is>
          <t>Datatech</t>
        </is>
      </c>
      <c r="AK17" s="158" t="inlineStr">
        <is>
          <t>Marketing</t>
        </is>
      </c>
      <c r="AL17" s="158" t="inlineStr">
        <is>
          <t>Marketing</t>
        </is>
      </c>
      <c r="AM17" s="158" t="inlineStr">
        <is>
          <t>No</t>
        </is>
      </c>
      <c r="AN17" s="158" t="inlineStr">
        <is>
          <t>Sales, Marketing &amp; Support</t>
        </is>
      </c>
      <c r="AO17" s="158" t="inlineStr">
        <is>
          <t>Marketing</t>
        </is>
      </c>
      <c r="AP17" s="158" t="inlineStr">
        <is>
          <t>Non-technical</t>
        </is>
      </c>
      <c r="AQ17" s="158" t="n">
        <v>20</v>
      </c>
      <c r="AR17" s="158" t="inlineStr">
        <is>
          <t>Covered</t>
        </is>
      </c>
      <c r="AS17" s="158" t="n"/>
      <c r="AT17" s="158" t="n"/>
      <c r="AU17" s="158" t="n"/>
      <c r="AV17" s="158" t="n"/>
      <c r="AW17" s="158" t="n"/>
      <c r="AX17" s="158" t="n"/>
      <c r="AY17" s="158" t="n"/>
      <c r="AZ17" s="158" t="n"/>
      <c r="BA17" s="158" t="n"/>
      <c r="BB17" s="158" t="n"/>
      <c r="BC17" s="158" t="n"/>
      <c r="BD17" s="158" t="n"/>
      <c r="BE17" s="158" t="n"/>
      <c r="BF17" s="158" t="n"/>
      <c r="BG17" s="158" t="n"/>
      <c r="BH17" s="158" t="n"/>
      <c r="BI17" s="158" t="n"/>
      <c r="BJ17" s="158" t="n"/>
      <c r="BK17" s="158" t="n"/>
      <c r="BL17" s="158" t="n"/>
      <c r="BM17" s="158" t="n"/>
      <c r="BN17" s="158" t="n"/>
      <c r="BO17" s="158" t="n"/>
      <c r="BP17" s="158" t="n"/>
      <c r="BQ17" s="158" t="n"/>
      <c r="BR17" s="158" t="n"/>
      <c r="BS17" s="158" t="n"/>
      <c r="BT17" s="158" t="n"/>
      <c r="BU17" s="158" t="n"/>
      <c r="BV17" s="158" t="n"/>
      <c r="BW17" s="158" t="n"/>
      <c r="BX17" s="158" t="n"/>
      <c r="BY17" s="158" t="n"/>
      <c r="BZ17" s="158" t="n"/>
      <c r="CA17" s="158" t="n"/>
      <c r="CB17" s="158" t="n"/>
      <c r="CC17" s="158" t="n"/>
      <c r="CD17" s="158" t="n"/>
      <c r="CE17" s="158" t="n"/>
      <c r="CF17" s="158" t="n"/>
      <c r="CG17" s="158" t="n"/>
      <c r="CH17" s="158" t="n"/>
      <c r="CI17" s="158" t="n"/>
    </row>
    <row r="18" ht="64" customHeight="1">
      <c r="A18" s="109" t="inlineStr">
        <is>
          <t>IRISDT0007</t>
        </is>
      </c>
      <c r="B18" s="111" t="inlineStr">
        <is>
          <t>Vasundhara Lella</t>
        </is>
      </c>
      <c r="C18" s="111" t="inlineStr">
        <is>
          <t>Marketing</t>
        </is>
      </c>
      <c r="D18" s="114" t="inlineStr">
        <is>
          <t>Content Marketer</t>
        </is>
      </c>
      <c r="E18" s="114" t="inlineStr">
        <is>
          <t>Senior Content Marketing Associate</t>
        </is>
      </c>
      <c r="F18" s="114" t="inlineStr">
        <is>
          <t>L3 – Professional / Associate</t>
        </is>
      </c>
      <c r="G18" s="114" t="inlineStr">
        <is>
          <t>A3</t>
        </is>
      </c>
      <c r="H18" s="141" t="inlineStr">
        <is>
          <t>▲ Up</t>
        </is>
      </c>
      <c r="I18" s="111" t="inlineStr">
        <is>
          <t>Marketing &amp; Communications</t>
        </is>
      </c>
      <c r="J18" s="111" t="inlineStr">
        <is>
          <t>Content Marketing</t>
        </is>
      </c>
      <c r="K18" s="111" t="inlineStr"/>
      <c r="L18" s="111" t="n">
        <v>20</v>
      </c>
      <c r="M18" s="142" t="inlineStr">
        <is>
          <t>P2</t>
        </is>
      </c>
      <c r="N18" s="115" t="inlineStr">
        <is>
          <t>Developing</t>
        </is>
      </c>
      <c r="O18" s="115" t="inlineStr">
        <is>
          <t>3 Apply</t>
        </is>
      </c>
      <c r="P18" s="115" t="inlineStr">
        <is>
          <t>2–4 yrs</t>
        </is>
      </c>
      <c r="Q18" s="115" t="inlineStr">
        <is>
          <t>3–5 · 2–5</t>
        </is>
      </c>
      <c r="R18" s="115" t="inlineStr">
        <is>
          <t>Marketing Executive</t>
        </is>
      </c>
      <c r="S18" s="115" t="inlineStr">
        <is>
          <t>IRIS Vs Market Benchmark — CIM proficiency scale: 2–3 · IRIS Vs Competitor Benchmark — SaaS marketing ladder: Marketing Specialist</t>
        </is>
      </c>
      <c r="T18" s="115" t="inlineStr">
        <is>
          <t>CIM Global Professional Marketing Framework — proficiency Aware → Active learner → Able → Accomplished → Authoritative</t>
        </is>
      </c>
      <c r="U18" s="115" t="inlineStr">
        <is>
          <t>Core 2 · Future 2 · Functional 3 · Leadership not scored</t>
        </is>
      </c>
      <c r="V18" s="157" t="n">
        <v>542</v>
      </c>
      <c r="W18" s="158" t="inlineStr">
        <is>
          <t>IRISDT0007</t>
        </is>
      </c>
      <c r="X18" s="158" t="inlineStr">
        <is>
          <t>Employee</t>
        </is>
      </c>
      <c r="Y18" s="158" t="inlineStr">
        <is>
          <t>Active</t>
        </is>
      </c>
      <c r="Z18" s="158" t="inlineStr">
        <is>
          <t>Vasundhara Lella</t>
        </is>
      </c>
      <c r="AA18" s="244" t="n">
        <v>45873</v>
      </c>
      <c r="AB18" s="158" t="inlineStr">
        <is>
          <t>Content Marketer</t>
        </is>
      </c>
      <c r="AC18" s="158" t="inlineStr">
        <is>
          <t>B.Tech</t>
        </is>
      </c>
      <c r="AD18" s="158" t="inlineStr">
        <is>
          <t>Ankita Pathak</t>
        </is>
      </c>
      <c r="AE18" s="158" t="inlineStr">
        <is>
          <t>N-3</t>
        </is>
      </c>
      <c r="AF18" s="158" t="inlineStr">
        <is>
          <t>Individual Contributor</t>
        </is>
      </c>
      <c r="AG18" s="158" t="inlineStr">
        <is>
          <t>3 years, 3 months, 0 days</t>
        </is>
      </c>
      <c r="AH18" s="158" t="inlineStr">
        <is>
          <t>1 years, 0 months, 21 days</t>
        </is>
      </c>
      <c r="AI18" s="158" t="inlineStr">
        <is>
          <t>Datatech</t>
        </is>
      </c>
      <c r="AJ18" s="158" t="inlineStr">
        <is>
          <t>Datatech</t>
        </is>
      </c>
      <c r="AK18" s="158" t="inlineStr">
        <is>
          <t>Marketing</t>
        </is>
      </c>
      <c r="AL18" s="158" t="inlineStr">
        <is>
          <t>Marketing</t>
        </is>
      </c>
      <c r="AM18" s="158" t="inlineStr">
        <is>
          <t>No</t>
        </is>
      </c>
      <c r="AN18" s="158" t="inlineStr">
        <is>
          <t>Sales, Marketing &amp; Support</t>
        </is>
      </c>
      <c r="AO18" s="158" t="inlineStr">
        <is>
          <t>Marketing</t>
        </is>
      </c>
      <c r="AP18" s="158" t="inlineStr">
        <is>
          <t>Non-technical</t>
        </is>
      </c>
      <c r="AQ18" s="158" t="n">
        <v>20</v>
      </c>
      <c r="AR18" s="158" t="inlineStr">
        <is>
          <t>Covered</t>
        </is>
      </c>
      <c r="AS18" s="158" t="inlineStr">
        <is>
          <t>IRIS2414</t>
        </is>
      </c>
      <c r="AT18" s="158" t="inlineStr">
        <is>
          <t>Employee</t>
        </is>
      </c>
      <c r="AU18" s="158" t="inlineStr">
        <is>
          <t>Active</t>
        </is>
      </c>
      <c r="AV18" s="158" t="inlineStr">
        <is>
          <t>Vasundhara Lella</t>
        </is>
      </c>
      <c r="AW18" s="159" t="n">
        <v>45873</v>
      </c>
      <c r="AX18" s="158" t="inlineStr">
        <is>
          <t>Content Marketer</t>
        </is>
      </c>
      <c r="AY18" s="158" t="inlineStr">
        <is>
          <t>Marketing &amp; Communications</t>
        </is>
      </c>
      <c r="AZ18" s="158" t="inlineStr">
        <is>
          <t>Content Marketing</t>
        </is>
      </c>
      <c r="BA18" s="158" t="inlineStr">
        <is>
          <t>Content Marketer</t>
        </is>
      </c>
      <c r="BB18" s="158" t="inlineStr">
        <is>
          <t>L3 – Professional / Associate</t>
        </is>
      </c>
      <c r="BC18" s="158" t="inlineStr">
        <is>
          <t>B.Tech</t>
        </is>
      </c>
      <c r="BD18" s="158" t="inlineStr">
        <is>
          <t>Ankita Pathak</t>
        </is>
      </c>
      <c r="BE18" s="158" t="inlineStr">
        <is>
          <t>N-3</t>
        </is>
      </c>
      <c r="BF18" s="158" t="inlineStr">
        <is>
          <t>Individual Contributor</t>
        </is>
      </c>
      <c r="BG18" s="158" t="inlineStr">
        <is>
          <t>3 years, 3 months, 0 days</t>
        </is>
      </c>
      <c r="BH18" s="158" t="inlineStr">
        <is>
          <t>0 years, 10 months, 16 days</t>
        </is>
      </c>
      <c r="BI18" s="158" t="inlineStr">
        <is>
          <t>4 years, 1 months, 16 days</t>
        </is>
      </c>
      <c r="BJ18" s="158" t="n"/>
      <c r="BK18" s="158" t="inlineStr">
        <is>
          <t>Datatech</t>
        </is>
      </c>
      <c r="BL18" s="158" t="inlineStr">
        <is>
          <t>Datatech</t>
        </is>
      </c>
      <c r="BM18" s="158" t="inlineStr">
        <is>
          <t>Marketing</t>
        </is>
      </c>
      <c r="BN18" s="158" t="inlineStr">
        <is>
          <t>Marketing</t>
        </is>
      </c>
      <c r="BO18" s="158" t="inlineStr">
        <is>
          <t>No</t>
        </is>
      </c>
      <c r="BP18" s="158" t="inlineStr">
        <is>
          <t>Sales, Marketing &amp; Support</t>
        </is>
      </c>
      <c r="BQ18" s="158" t="inlineStr">
        <is>
          <t>Marketing</t>
        </is>
      </c>
      <c r="BR18" s="158" t="inlineStr">
        <is>
          <t>Non-technical</t>
        </is>
      </c>
      <c r="BS18" s="158" t="inlineStr">
        <is>
          <t>Hyderabad</t>
        </is>
      </c>
      <c r="BT18" s="158" t="n"/>
      <c r="BU18" s="158"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BV18" s="158" t="n"/>
      <c r="BW18" s="158" t="n">
        <v>3</v>
      </c>
      <c r="BX18" s="159" t="n">
        <v>46223</v>
      </c>
      <c r="BY18" s="158" t="inlineStr">
        <is>
          <t>Content &amp; SEO Executive</t>
        </is>
      </c>
      <c r="BZ18" s="158" t="inlineStr">
        <is>
          <t>No</t>
        </is>
      </c>
      <c r="CA18" s="158" t="n">
        <v>3</v>
      </c>
      <c r="CB18" s="158" t="inlineStr">
        <is>
          <t>Medium</t>
        </is>
      </c>
      <c r="CC18" s="158" t="inlineStr">
        <is>
          <t>Performance Risk</t>
        </is>
      </c>
      <c r="CD18" s="158" t="inlineStr">
        <is>
          <t>No</t>
        </is>
      </c>
      <c r="CE18" s="158" t="inlineStr">
        <is>
          <t>No</t>
        </is>
      </c>
      <c r="CF18" s="158" t="inlineStr">
        <is>
          <t>Yes</t>
        </is>
      </c>
      <c r="CG18" s="158" t="inlineStr">
        <is>
          <t>SEMRush certification course
SEO Course</t>
        </is>
      </c>
      <c r="CH18" s="158" t="n"/>
      <c r="CI18" s="158" t="inlineStr">
        <is>
          <t>All</t>
        </is>
      </c>
    </row>
    <row r="19" ht="64" customHeight="1">
      <c r="A19" s="109" t="inlineStr">
        <is>
          <t>IRISDTC006</t>
        </is>
      </c>
      <c r="B19" s="111" t="inlineStr">
        <is>
          <t>Vaishnavi Dhuri</t>
        </is>
      </c>
      <c r="C19" s="111" t="inlineStr">
        <is>
          <t>Marketing</t>
        </is>
      </c>
      <c r="D19" s="114" t="inlineStr">
        <is>
          <t>Graphic Designer and Video Editor</t>
        </is>
      </c>
      <c r="E19" s="114" t="inlineStr">
        <is>
          <t>Designer</t>
        </is>
      </c>
      <c r="F19" s="114" t="inlineStr">
        <is>
          <t>Not in current mapping files</t>
        </is>
      </c>
      <c r="G19" s="114" t="inlineStr">
        <is>
          <t>A2</t>
        </is>
      </c>
      <c r="H19" s="143" t="inlineStr">
        <is>
          <t>● Newly mapped</t>
        </is>
      </c>
      <c r="I19" s="111" t="inlineStr">
        <is>
          <t>Design &amp; Creative</t>
        </is>
      </c>
      <c r="J19" s="111" t="inlineStr">
        <is>
          <t>Brand, Graphic &amp; Video Design</t>
        </is>
      </c>
      <c r="K19" s="145" t="inlineStr">
        <is>
          <t>• Total experience · outside + at IRIS — HR — HRIS
• Confirm prior experience · provisional placement — HR</t>
        </is>
      </c>
      <c r="L19" s="111" t="n">
        <v>20</v>
      </c>
      <c r="M19" s="142" t="inlineStr">
        <is>
          <t>P1–P2</t>
        </is>
      </c>
      <c r="N19" s="115" t="inlineStr">
        <is>
          <t>Entry / Developing</t>
        </is>
      </c>
      <c r="O19" s="115" t="inlineStr">
        <is>
          <t>2 Assist</t>
        </is>
      </c>
      <c r="P19" s="115" t="inlineStr">
        <is>
          <t>0–2 yrs</t>
        </is>
      </c>
      <c r="Q19" s="115" t="inlineStr">
        <is>
          <t>1–3 · 0–3</t>
        </is>
      </c>
      <c r="R19" s="115" t="inlineStr">
        <is>
          <t>Junior Designer / Designer</t>
        </is>
      </c>
      <c r="S19" s="115" t="inlineStr">
        <is>
          <t>IRIS Vs Competitor Benchmark — UX / design ladder: Junior Designer</t>
        </is>
      </c>
      <c r="T19" s="115" t="inlineStr">
        <is>
          <t>UX career ladder Junior → Designer → Senior → Lead → Principal; WCAG accessibility</t>
        </is>
      </c>
      <c r="U19" s="115" t="inlineStr">
        <is>
          <t>Core 2 · Future 2 · Functional 2 · Leadership not scored</t>
        </is>
      </c>
      <c r="V19" s="157" t="n">
        <v>562</v>
      </c>
      <c r="W19" s="158" t="inlineStr">
        <is>
          <t>IRISDTC006</t>
        </is>
      </c>
      <c r="X19" s="158" t="inlineStr">
        <is>
          <t>On Contract</t>
        </is>
      </c>
      <c r="Y19" s="158" t="inlineStr">
        <is>
          <t>Active</t>
        </is>
      </c>
      <c r="Z19" s="158" t="inlineStr">
        <is>
          <t>Vaishnavi Dhuri</t>
        </is>
      </c>
      <c r="AA19" s="244" t="n">
        <v>46252</v>
      </c>
      <c r="AB19" s="158" t="inlineStr">
        <is>
          <t>Graphic Designer and Video Editor</t>
        </is>
      </c>
      <c r="AC19" s="158" t="inlineStr">
        <is>
          <t>Bachelor of Science</t>
        </is>
      </c>
      <c r="AD19" s="158" t="inlineStr">
        <is>
          <t>Ankita Pathak</t>
        </is>
      </c>
      <c r="AE19" s="158" t="inlineStr">
        <is>
          <t>N-3</t>
        </is>
      </c>
      <c r="AF19" s="158" t="inlineStr">
        <is>
          <t>Individual Contributor</t>
        </is>
      </c>
      <c r="AG19" s="158" t="n"/>
      <c r="AH19" s="158" t="n"/>
      <c r="AI19" s="158" t="inlineStr">
        <is>
          <t>Datatech</t>
        </is>
      </c>
      <c r="AJ19" s="158" t="inlineStr">
        <is>
          <t>Datatech</t>
        </is>
      </c>
      <c r="AK19" s="158" t="inlineStr">
        <is>
          <t>Marketing</t>
        </is>
      </c>
      <c r="AL19" s="158" t="inlineStr">
        <is>
          <t>Marketing</t>
        </is>
      </c>
      <c r="AM19" s="158" t="inlineStr">
        <is>
          <t>No</t>
        </is>
      </c>
      <c r="AN19" s="158" t="inlineStr">
        <is>
          <t>Sales, Marketing &amp; Support</t>
        </is>
      </c>
      <c r="AO19" s="158" t="inlineStr">
        <is>
          <t>Marketing</t>
        </is>
      </c>
      <c r="AP19" s="158" t="inlineStr">
        <is>
          <t>Non-technical</t>
        </is>
      </c>
      <c r="AQ19" s="158" t="n">
        <v>20</v>
      </c>
      <c r="AR19" s="158" t="inlineStr">
        <is>
          <t>Covered</t>
        </is>
      </c>
      <c r="AS19" s="158" t="n"/>
      <c r="AT19" s="158" t="n"/>
      <c r="AU19" s="158" t="n"/>
      <c r="AV19" s="158" t="n"/>
      <c r="AW19" s="158" t="n"/>
      <c r="AX19" s="158" t="n"/>
      <c r="AY19" s="158" t="n"/>
      <c r="AZ19" s="158" t="n"/>
      <c r="BA19" s="158" t="n"/>
      <c r="BB19" s="158" t="n"/>
      <c r="BC19" s="158" t="n"/>
      <c r="BD19" s="158" t="n"/>
      <c r="BE19" s="158" t="n"/>
      <c r="BF19" s="158" t="n"/>
      <c r="BG19" s="158" t="n"/>
      <c r="BH19" s="158" t="n"/>
      <c r="BI19" s="158" t="n"/>
      <c r="BJ19" s="158" t="n"/>
      <c r="BK19" s="158" t="n"/>
      <c r="BL19" s="158" t="n"/>
      <c r="BM19" s="158" t="n"/>
      <c r="BN19" s="158" t="n"/>
      <c r="BO19" s="158" t="n"/>
      <c r="BP19" s="158" t="n"/>
      <c r="BQ19" s="158" t="n"/>
      <c r="BR19" s="158" t="n"/>
      <c r="BS19" s="158" t="n"/>
      <c r="BT19" s="158" t="n"/>
      <c r="BU19" s="158" t="n"/>
      <c r="BV19" s="158" t="n"/>
      <c r="BW19" s="158" t="n"/>
      <c r="BX19" s="158" t="n"/>
      <c r="BY19" s="158" t="n"/>
      <c r="BZ19" s="158" t="n"/>
      <c r="CA19" s="158" t="n"/>
      <c r="CB19" s="158" t="n"/>
      <c r="CC19" s="158" t="n"/>
      <c r="CD19" s="158" t="n"/>
      <c r="CE19" s="158" t="n"/>
      <c r="CF19" s="158" t="n"/>
      <c r="CG19" s="158" t="n"/>
      <c r="CH19" s="158" t="n"/>
      <c r="CI19" s="158" t="n"/>
    </row>
    <row r="20" ht="64" customHeight="1">
      <c r="A20" s="109" t="inlineStr">
        <is>
          <t>No Emp ID · in-house consultant</t>
        </is>
      </c>
      <c r="B20" s="111" t="inlineStr">
        <is>
          <t>R Indumathi</t>
        </is>
      </c>
      <c r="C20" s="111" t="inlineStr">
        <is>
          <t>Marketing</t>
        </is>
      </c>
      <c r="D20" s="114" t="inlineStr">
        <is>
          <t>Consultant</t>
        </is>
      </c>
      <c r="E20" s="114" t="inlineStr">
        <is>
          <t>Associate Consultant – Demand Generation, Brand &amp; Events</t>
        </is>
      </c>
      <c r="F20" s="111" t="inlineStr">
        <is>
          <t>—</t>
        </is>
      </c>
      <c r="G20" s="43" t="inlineStr">
        <is>
          <t>X1</t>
        </is>
      </c>
      <c r="H20" s="117" t="inlineStr">
        <is>
          <t>• Same level</t>
        </is>
      </c>
      <c r="I20" s="111" t="inlineStr">
        <is>
          <t>Marketing &amp; Communications</t>
        </is>
      </c>
      <c r="J20" s="111" t="inlineStr">
        <is>
          <t>Marketing · role not recorded</t>
        </is>
      </c>
      <c r="K20" s="111" t="inlineStr"/>
      <c r="L20" s="111" t="n">
        <v>0</v>
      </c>
      <c r="M20" s="142" t="inlineStr">
        <is>
          <t>Contractor</t>
        </is>
      </c>
      <c r="N20" s="115" t="inlineStr">
        <is>
          <t>—</t>
        </is>
      </c>
      <c r="O20" s="115" t="inlineStr">
        <is>
          <t>—</t>
        </is>
      </c>
      <c r="P20" s="115" t="inlineStr">
        <is>
          <t>0–5 yrs</t>
        </is>
      </c>
      <c r="Q20" s="115" t="inlineStr">
        <is>
          <t>—</t>
        </is>
      </c>
      <c r="R20" s="115" t="inlineStr">
        <is>
          <t>Contractor · rate card</t>
        </is>
      </c>
      <c r="S20" s="115" t="inlineStr">
        <is>
          <t>—</t>
        </is>
      </c>
      <c r="T20" s="115" t="inlineStr">
        <is>
          <t>CIM Global Professional Marketing Framework — proficiency Aware → Active learner → Able → Accomplished → Authoritative</t>
        </is>
      </c>
      <c r="U20" s="115" t="inlineStr">
        <is>
          <t>Per statement of work</t>
        </is>
      </c>
      <c r="V20" s="157" t="n">
        <v>583</v>
      </c>
      <c r="W20" s="158" t="n"/>
      <c r="X20" s="158" t="inlineStr">
        <is>
          <t>In-House Consultant</t>
        </is>
      </c>
      <c r="Y20" s="158" t="inlineStr">
        <is>
          <t>Active</t>
        </is>
      </c>
      <c r="Z20" s="158" t="inlineStr">
        <is>
          <t>R Indumathi</t>
        </is>
      </c>
      <c r="AA20" s="244" t="n">
        <v>46174</v>
      </c>
      <c r="AB20" s="158" t="inlineStr">
        <is>
          <t>Consultant</t>
        </is>
      </c>
      <c r="AC20" s="158" t="n"/>
      <c r="AD20" s="158" t="n"/>
      <c r="AE20" s="158" t="n"/>
      <c r="AF20" s="158" t="inlineStr">
        <is>
          <t>Individual Contributor</t>
        </is>
      </c>
      <c r="AG20" s="158" t="n"/>
      <c r="AH20" s="158" t="n"/>
      <c r="AI20" s="158" t="n"/>
      <c r="AJ20" s="158" t="inlineStr">
        <is>
          <t>Datatech</t>
        </is>
      </c>
      <c r="AK20" s="158" t="inlineStr">
        <is>
          <t>Marketing</t>
        </is>
      </c>
      <c r="AL20" s="158" t="inlineStr">
        <is>
          <t>Marketing</t>
        </is>
      </c>
      <c r="AM20" s="158" t="inlineStr">
        <is>
          <t>No</t>
        </is>
      </c>
      <c r="AN20" s="158" t="inlineStr">
        <is>
          <t>Sales, Marketing &amp; Support</t>
        </is>
      </c>
      <c r="AO20" s="158" t="n"/>
      <c r="AP20" s="158" t="inlineStr">
        <is>
          <t>Non-technical</t>
        </is>
      </c>
      <c r="AQ20" s="158" t="n">
        <v>0</v>
      </c>
      <c r="AR20" s="158" t="inlineStr">
        <is>
          <t>E-External Consultant</t>
        </is>
      </c>
      <c r="AS20" s="158" t="n"/>
      <c r="AT20" s="158" t="n"/>
      <c r="AU20" s="158" t="n"/>
      <c r="AV20" s="158" t="n"/>
      <c r="AW20" s="158" t="n"/>
      <c r="AX20" s="158" t="n"/>
      <c r="AY20" s="158" t="n"/>
      <c r="AZ20" s="158" t="n"/>
      <c r="BA20" s="158" t="n"/>
      <c r="BB20" s="158" t="n"/>
      <c r="BC20" s="158" t="n"/>
      <c r="BD20" s="158" t="n"/>
      <c r="BE20" s="158" t="n"/>
      <c r="BF20" s="158" t="n"/>
      <c r="BG20" s="158" t="n"/>
      <c r="BH20" s="158" t="n"/>
      <c r="BI20" s="158" t="n"/>
      <c r="BJ20" s="158" t="n"/>
      <c r="BK20" s="158" t="n"/>
      <c r="BL20" s="158" t="n"/>
      <c r="BM20" s="158" t="n"/>
      <c r="BN20" s="158" t="n"/>
      <c r="BO20" s="158" t="n"/>
      <c r="BP20" s="158" t="n"/>
      <c r="BQ20" s="158" t="n"/>
      <c r="BR20" s="158" t="n"/>
      <c r="BS20" s="158" t="n"/>
      <c r="BT20" s="158" t="n"/>
      <c r="BU20" s="158" t="n"/>
      <c r="BV20" s="158" t="n"/>
      <c r="BW20" s="158" t="n"/>
      <c r="BX20" s="158" t="n"/>
      <c r="BY20" s="158" t="n"/>
      <c r="BZ20" s="158" t="n"/>
      <c r="CA20" s="158" t="n"/>
      <c r="CB20" s="158" t="n"/>
      <c r="CC20" s="158" t="n"/>
      <c r="CD20" s="158" t="n"/>
      <c r="CE20" s="158" t="n"/>
      <c r="CF20" s="158" t="n"/>
      <c r="CG20" s="158" t="n"/>
      <c r="CH20" s="158" t="n"/>
      <c r="CI20" s="158" t="n"/>
    </row>
    <row r="21" ht="64" customHeight="1">
      <c r="A21" s="109" t="inlineStr">
        <is>
          <t>No Emp ID · external consultant</t>
        </is>
      </c>
      <c r="B21" s="111" t="inlineStr">
        <is>
          <t>Arindam Bose</t>
        </is>
      </c>
      <c r="C21" s="111" t="inlineStr">
        <is>
          <t>Not provided · HRIS</t>
        </is>
      </c>
      <c r="D21" s="114" t="inlineStr">
        <is>
          <t>Consultant</t>
        </is>
      </c>
      <c r="E21" s="114" t="inlineStr">
        <is>
          <t>Associate Consultant – Software Development</t>
        </is>
      </c>
      <c r="F21" s="111" t="inlineStr">
        <is>
          <t>—</t>
        </is>
      </c>
      <c r="G21" s="43" t="inlineStr">
        <is>
          <t>X1</t>
        </is>
      </c>
      <c r="H21" s="117" t="inlineStr">
        <is>
          <t>• Same level</t>
        </is>
      </c>
      <c r="I21" s="111" t="inlineStr">
        <is>
          <t>Unassigned</t>
        </is>
      </c>
      <c r="J21" s="111" t="inlineStr">
        <is>
          <t>Role not recorded · external consultant</t>
        </is>
      </c>
      <c r="K21" s="145" t="inlineStr">
        <is>
          <t>• Role and department on record — Business head</t>
        </is>
      </c>
      <c r="L21" s="111" t="n">
        <v>0</v>
      </c>
      <c r="M21" s="142" t="inlineStr">
        <is>
          <t>Contractor</t>
        </is>
      </c>
      <c r="N21" s="115" t="inlineStr">
        <is>
          <t>—</t>
        </is>
      </c>
      <c r="O21" s="115" t="inlineStr">
        <is>
          <t>—</t>
        </is>
      </c>
      <c r="P21" s="115" t="inlineStr">
        <is>
          <t>0–5 yrs</t>
        </is>
      </c>
      <c r="Q21" s="115" t="inlineStr">
        <is>
          <t>—</t>
        </is>
      </c>
      <c r="R21" s="115" t="inlineStr">
        <is>
          <t>Contractor · rate card</t>
        </is>
      </c>
      <c r="S21" s="115" t="inlineStr">
        <is>
          <t>—</t>
        </is>
      </c>
      <c r="T21" s="115" t="inlineStr">
        <is>
          <t>—</t>
        </is>
      </c>
      <c r="U21" s="115" t="inlineStr">
        <is>
          <t>Per statement of work</t>
        </is>
      </c>
      <c r="V21" s="157" t="n">
        <v>585</v>
      </c>
      <c r="W21" s="158" t="n"/>
      <c r="X21" s="158" t="inlineStr">
        <is>
          <t>External Consultant</t>
        </is>
      </c>
      <c r="Y21" s="158" t="inlineStr">
        <is>
          <t>Active</t>
        </is>
      </c>
      <c r="Z21" s="158" t="inlineStr">
        <is>
          <t>Arindam Bose</t>
        </is>
      </c>
      <c r="AA21" s="244" t="n">
        <v>46266</v>
      </c>
      <c r="AB21" s="158" t="inlineStr">
        <is>
          <t>Consultant</t>
        </is>
      </c>
      <c r="AC21" s="158" t="n"/>
      <c r="AD21" s="158" t="n"/>
      <c r="AE21" s="158" t="n"/>
      <c r="AF21" s="158" t="inlineStr">
        <is>
          <t>Individual Contributor</t>
        </is>
      </c>
      <c r="AG21" s="158" t="n"/>
      <c r="AH21" s="158" t="n"/>
      <c r="AI21" s="158" t="n"/>
      <c r="AJ21" s="158" t="inlineStr">
        <is>
          <t>Datatech</t>
        </is>
      </c>
      <c r="AK21" s="158" t="n"/>
      <c r="AL21" s="158" t="n"/>
      <c r="AM21" s="158" t="n"/>
      <c r="AN21" s="158" t="n"/>
      <c r="AO21" s="158" t="n"/>
      <c r="AP21" s="158" t="n"/>
      <c r="AQ21" s="158" t="n">
        <v>0</v>
      </c>
      <c r="AR21" s="158" t="inlineStr">
        <is>
          <t>E-External Consultant</t>
        </is>
      </c>
      <c r="AS21" s="158" t="n"/>
      <c r="AT21" s="158" t="n"/>
      <c r="AU21" s="158" t="n"/>
      <c r="AV21" s="158" t="n"/>
      <c r="AW21" s="158" t="n"/>
      <c r="AX21" s="158" t="n"/>
      <c r="AY21" s="158" t="n"/>
      <c r="AZ21" s="158" t="n"/>
      <c r="BA21" s="158" t="n"/>
      <c r="BB21" s="158" t="n"/>
      <c r="BC21" s="158" t="n"/>
      <c r="BD21" s="158" t="n"/>
      <c r="BE21" s="158" t="n"/>
      <c r="BF21" s="158" t="n"/>
      <c r="BG21" s="158" t="n"/>
      <c r="BH21" s="158" t="n"/>
      <c r="BI21" s="158" t="n"/>
      <c r="BJ21" s="158" t="n"/>
      <c r="BK21" s="158" t="n"/>
      <c r="BL21" s="158" t="n"/>
      <c r="BM21" s="158" t="n"/>
      <c r="BN21" s="158" t="n"/>
      <c r="BO21" s="158" t="n"/>
      <c r="BP21" s="158" t="n"/>
      <c r="BQ21" s="158" t="n"/>
      <c r="BR21" s="158" t="n"/>
      <c r="BS21" s="158" t="n"/>
      <c r="BT21" s="158" t="n"/>
      <c r="BU21" s="158" t="n"/>
      <c r="BV21" s="158" t="n"/>
      <c r="BW21" s="158" t="n"/>
      <c r="BX21" s="158" t="n"/>
      <c r="BY21" s="158" t="n"/>
      <c r="BZ21" s="158" t="n"/>
      <c r="CA21" s="158" t="n"/>
      <c r="CB21" s="158" t="n"/>
      <c r="CC21" s="158" t="n"/>
      <c r="CD21" s="158" t="n"/>
      <c r="CE21" s="158" t="n"/>
      <c r="CF21" s="158" t="n"/>
      <c r="CG21" s="158" t="n"/>
      <c r="CH21" s="158" t="n"/>
      <c r="CI21" s="158" t="n"/>
    </row>
    <row r="22" ht="64" customHeight="1">
      <c r="A22" s="109" t="inlineStr">
        <is>
          <t>No Emp ID · external consultant</t>
        </is>
      </c>
      <c r="B22" s="111" t="inlineStr">
        <is>
          <t>Shweta Vijay</t>
        </is>
      </c>
      <c r="C22" s="111" t="inlineStr">
        <is>
          <t>Not provided · HRIS</t>
        </is>
      </c>
      <c r="D22" s="114" t="inlineStr">
        <is>
          <t>Consultant</t>
        </is>
      </c>
      <c r="E22" s="114" t="inlineStr">
        <is>
          <t>Associate Consultant – Software Development</t>
        </is>
      </c>
      <c r="F22" s="111" t="inlineStr">
        <is>
          <t>—</t>
        </is>
      </c>
      <c r="G22" s="43" t="inlineStr">
        <is>
          <t>X1</t>
        </is>
      </c>
      <c r="H22" s="117" t="inlineStr">
        <is>
          <t>• Same level</t>
        </is>
      </c>
      <c r="I22" s="111" t="inlineStr">
        <is>
          <t>Unassigned</t>
        </is>
      </c>
      <c r="J22" s="111" t="inlineStr">
        <is>
          <t>Role not recorded · external consultant</t>
        </is>
      </c>
      <c r="K22" s="145" t="inlineStr">
        <is>
          <t>• Role and department on record — Business head</t>
        </is>
      </c>
      <c r="L22" s="111" t="n">
        <v>0</v>
      </c>
      <c r="M22" s="142" t="inlineStr">
        <is>
          <t>Contractor</t>
        </is>
      </c>
      <c r="N22" s="115" t="inlineStr">
        <is>
          <t>—</t>
        </is>
      </c>
      <c r="O22" s="115" t="inlineStr">
        <is>
          <t>—</t>
        </is>
      </c>
      <c r="P22" s="115" t="inlineStr">
        <is>
          <t>0–5 yrs</t>
        </is>
      </c>
      <c r="Q22" s="115" t="inlineStr">
        <is>
          <t>—</t>
        </is>
      </c>
      <c r="R22" s="115" t="inlineStr">
        <is>
          <t>Contractor · rate card</t>
        </is>
      </c>
      <c r="S22" s="115" t="inlineStr">
        <is>
          <t>—</t>
        </is>
      </c>
      <c r="T22" s="115" t="inlineStr">
        <is>
          <t>—</t>
        </is>
      </c>
      <c r="U22" s="115" t="inlineStr">
        <is>
          <t>Per statement of work</t>
        </is>
      </c>
      <c r="V22" s="157" t="n">
        <v>586</v>
      </c>
      <c r="W22" s="158" t="n"/>
      <c r="X22" s="158" t="inlineStr">
        <is>
          <t>External Consultant</t>
        </is>
      </c>
      <c r="Y22" s="158" t="inlineStr">
        <is>
          <t>Active</t>
        </is>
      </c>
      <c r="Z22" s="158" t="inlineStr">
        <is>
          <t>Shweta Vijay</t>
        </is>
      </c>
      <c r="AA22" s="244" t="n">
        <v>46266</v>
      </c>
      <c r="AB22" s="158" t="inlineStr">
        <is>
          <t>Consultant</t>
        </is>
      </c>
      <c r="AC22" s="158" t="n"/>
      <c r="AD22" s="158" t="n"/>
      <c r="AE22" s="158" t="n"/>
      <c r="AF22" s="158" t="inlineStr">
        <is>
          <t>Individual Contributor</t>
        </is>
      </c>
      <c r="AG22" s="158" t="n"/>
      <c r="AH22" s="158" t="n"/>
      <c r="AI22" s="158" t="n"/>
      <c r="AJ22" s="158" t="inlineStr">
        <is>
          <t>Datatech</t>
        </is>
      </c>
      <c r="AK22" s="158" t="n"/>
      <c r="AL22" s="158" t="n"/>
      <c r="AM22" s="158" t="n"/>
      <c r="AN22" s="158" t="n"/>
      <c r="AO22" s="158" t="n"/>
      <c r="AP22" s="158" t="n"/>
      <c r="AQ22" s="158" t="n">
        <v>0</v>
      </c>
      <c r="AR22" s="158" t="inlineStr">
        <is>
          <t>E-External Consultant</t>
        </is>
      </c>
      <c r="AS22" s="158" t="n"/>
      <c r="AT22" s="158" t="n"/>
      <c r="AU22" s="158" t="n"/>
      <c r="AV22" s="158" t="n"/>
      <c r="AW22" s="158" t="n"/>
      <c r="AX22" s="158" t="n"/>
      <c r="AY22" s="158" t="n"/>
      <c r="AZ22" s="158" t="n"/>
      <c r="BA22" s="158" t="n"/>
      <c r="BB22" s="158" t="n"/>
      <c r="BC22" s="158" t="n"/>
      <c r="BD22" s="158" t="n"/>
      <c r="BE22" s="158" t="n"/>
      <c r="BF22" s="158" t="n"/>
      <c r="BG22" s="158" t="n"/>
      <c r="BH22" s="158" t="n"/>
      <c r="BI22" s="158" t="n"/>
      <c r="BJ22" s="158" t="n"/>
      <c r="BK22" s="158" t="n"/>
      <c r="BL22" s="158" t="n"/>
      <c r="BM22" s="158" t="n"/>
      <c r="BN22" s="158" t="n"/>
      <c r="BO22" s="158" t="n"/>
      <c r="BP22" s="158" t="n"/>
      <c r="BQ22" s="158" t="n"/>
      <c r="BR22" s="158" t="n"/>
      <c r="BS22" s="158" t="n"/>
      <c r="BT22" s="158" t="n"/>
      <c r="BU22" s="158" t="n"/>
      <c r="BV22" s="158" t="n"/>
      <c r="BW22" s="158" t="n"/>
      <c r="BX22" s="158" t="n"/>
      <c r="BY22" s="158" t="n"/>
      <c r="BZ22" s="158" t="n"/>
      <c r="CA22" s="158" t="n"/>
      <c r="CB22" s="158" t="n"/>
      <c r="CC22" s="158" t="n"/>
      <c r="CD22" s="158" t="n"/>
      <c r="CE22" s="158" t="n"/>
      <c r="CF22" s="158" t="n"/>
      <c r="CG22" s="158" t="n"/>
      <c r="CH22" s="158" t="n"/>
      <c r="CI22" s="158" t="n"/>
    </row>
    <row r="23" ht="64" customHeight="1">
      <c r="A23" s="109" t="inlineStr">
        <is>
          <t>IRISDT0008</t>
        </is>
      </c>
      <c r="B23" s="111" t="inlineStr">
        <is>
          <t>Nilesh Majumdar</t>
        </is>
      </c>
      <c r="C23" s="111" t="inlineStr">
        <is>
          <t>Product Management</t>
        </is>
      </c>
      <c r="D23" s="114" t="inlineStr">
        <is>
          <t>Senior Product Manager</t>
        </is>
      </c>
      <c r="E23" s="114" t="inlineStr">
        <is>
          <t>Product Manager</t>
        </is>
      </c>
      <c r="F23" s="111" t="inlineStr">
        <is>
          <t>L5 – Manager</t>
        </is>
      </c>
      <c r="G23" s="27" t="inlineStr">
        <is>
          <t>B2</t>
        </is>
      </c>
      <c r="H23" s="117" t="inlineStr">
        <is>
          <t>• Same level</t>
        </is>
      </c>
      <c r="I23" s="111" t="inlineStr">
        <is>
          <t>Product Management</t>
        </is>
      </c>
      <c r="J23" s="111" t="inlineStr">
        <is>
          <t>Product Management</t>
        </is>
      </c>
      <c r="K23" s="145" t="inlineStr">
        <is>
          <t>• Confirm structure behind the senior title · org chart — Business head</t>
        </is>
      </c>
      <c r="L23" s="111" t="n">
        <v>20</v>
      </c>
      <c r="M23" s="142" t="inlineStr">
        <is>
          <t>P4 / M3</t>
        </is>
      </c>
      <c r="N23" s="115" t="inlineStr">
        <is>
          <t>Senior / Manager</t>
        </is>
      </c>
      <c r="O23" s="115" t="inlineStr">
        <is>
          <t>4–5</t>
        </is>
      </c>
      <c r="P23" s="115" t="inlineStr">
        <is>
          <t>6–9 yrs</t>
        </is>
      </c>
      <c r="Q23" s="115" t="inlineStr">
        <is>
          <t>7–10 · 6–11</t>
        </is>
      </c>
      <c r="R23" s="115" t="inlineStr">
        <is>
          <t>Manager</t>
        </is>
      </c>
      <c r="S23" s="115" t="inlineStr">
        <is>
          <t>IRIS Vs Competitor Benchmark — SaaS product ladder: Senior PM</t>
        </is>
      </c>
      <c r="T23" s="115" t="inlineStr">
        <is>
          <t>Pragmatic Institute Framework · 37 activities, 7 categories; AIPMM</t>
        </is>
      </c>
      <c r="U23" s="115" t="inlineStr">
        <is>
          <t>Core 3 · Future 3 · Functional 4 · Leadership 3</t>
        </is>
      </c>
      <c r="V23" s="157" t="n">
        <v>543</v>
      </c>
      <c r="W23" s="158" t="inlineStr">
        <is>
          <t>IRISDT0008</t>
        </is>
      </c>
      <c r="X23" s="158" t="inlineStr">
        <is>
          <t>Employee</t>
        </is>
      </c>
      <c r="Y23" s="158" t="inlineStr">
        <is>
          <t>Active</t>
        </is>
      </c>
      <c r="Z23" s="158" t="inlineStr">
        <is>
          <t>Nilesh Majumdar</t>
        </is>
      </c>
      <c r="AA23" s="244" t="n">
        <v>45873</v>
      </c>
      <c r="AB23" s="158" t="inlineStr">
        <is>
          <t>Senior Product Manager</t>
        </is>
      </c>
      <c r="AC23" s="158" t="inlineStr">
        <is>
          <t>MBA</t>
        </is>
      </c>
      <c r="AD23" s="158" t="inlineStr">
        <is>
          <t>Shilpa Dhobale</t>
        </is>
      </c>
      <c r="AE23" s="158" t="inlineStr">
        <is>
          <t>N-2</t>
        </is>
      </c>
      <c r="AF23" s="158" t="inlineStr">
        <is>
          <t>Manager</t>
        </is>
      </c>
      <c r="AG23" s="158" t="inlineStr">
        <is>
          <t>6 years, 0 months, 0 days</t>
        </is>
      </c>
      <c r="AH23" s="158" t="inlineStr">
        <is>
          <t>1 years, 0 months, 21 days</t>
        </is>
      </c>
      <c r="AI23" s="158" t="inlineStr">
        <is>
          <t>Datatech</t>
        </is>
      </c>
      <c r="AJ23" s="158" t="inlineStr">
        <is>
          <t>Datatech</t>
        </is>
      </c>
      <c r="AK23" s="158" t="inlineStr">
        <is>
          <t>Product Management</t>
        </is>
      </c>
      <c r="AL23" s="158" t="inlineStr">
        <is>
          <t>Client Engagement</t>
        </is>
      </c>
      <c r="AM23" s="158" t="inlineStr">
        <is>
          <t>No</t>
        </is>
      </c>
      <c r="AN23" s="158" t="inlineStr">
        <is>
          <t>Client Engagement</t>
        </is>
      </c>
      <c r="AO23" s="158" t="inlineStr">
        <is>
          <t>Product Management</t>
        </is>
      </c>
      <c r="AP23" s="158" t="inlineStr">
        <is>
          <t>Technical · BA, PM and QA</t>
        </is>
      </c>
      <c r="AQ23" s="158" t="n">
        <v>20</v>
      </c>
      <c r="AR23" s="158" t="inlineStr">
        <is>
          <t>Covered</t>
        </is>
      </c>
      <c r="AS23" s="158" t="inlineStr">
        <is>
          <t>IRIS2415</t>
        </is>
      </c>
      <c r="AT23" s="158" t="inlineStr">
        <is>
          <t>Employee</t>
        </is>
      </c>
      <c r="AU23" s="158" t="inlineStr">
        <is>
          <t>Active</t>
        </is>
      </c>
      <c r="AV23" s="158" t="inlineStr">
        <is>
          <t>Nilesh Majumdar</t>
        </is>
      </c>
      <c r="AW23" s="159" t="n">
        <v>45873</v>
      </c>
      <c r="AX23" s="158" t="inlineStr">
        <is>
          <t>Senior Product Manager</t>
        </is>
      </c>
      <c r="AY23" s="158" t="inlineStr">
        <is>
          <t>Product Management</t>
        </is>
      </c>
      <c r="AZ23" s="158" t="inlineStr">
        <is>
          <t>Product Management</t>
        </is>
      </c>
      <c r="BA23" s="158" t="inlineStr">
        <is>
          <t>Senior Product Manager</t>
        </is>
      </c>
      <c r="BB23" s="158" t="inlineStr">
        <is>
          <t>L5 – Manager</t>
        </is>
      </c>
      <c r="BC23" s="158" t="inlineStr">
        <is>
          <t>MBA</t>
        </is>
      </c>
      <c r="BD23" s="158" t="inlineStr">
        <is>
          <t>Shilpa Dhobale</t>
        </is>
      </c>
      <c r="BE23" s="158" t="inlineStr">
        <is>
          <t>N-2</t>
        </is>
      </c>
      <c r="BF23" s="158" t="inlineStr">
        <is>
          <t>Manager</t>
        </is>
      </c>
      <c r="BG23" s="158" t="inlineStr">
        <is>
          <t>6 years, 0 months, 0 days</t>
        </is>
      </c>
      <c r="BH23" s="158" t="inlineStr">
        <is>
          <t>0 years, 10 months, 16 days</t>
        </is>
      </c>
      <c r="BI23" s="158" t="inlineStr">
        <is>
          <t>6 years, 10 months, 16 days</t>
        </is>
      </c>
      <c r="BJ23" s="158" t="n">
        <v>0.87716894977169</v>
      </c>
      <c r="BK23" s="158" t="inlineStr">
        <is>
          <t>Datatech</t>
        </is>
      </c>
      <c r="BL23" s="158" t="inlineStr">
        <is>
          <t>Datatech</t>
        </is>
      </c>
      <c r="BM23" s="158" t="inlineStr">
        <is>
          <t>Product Management</t>
        </is>
      </c>
      <c r="BN23" s="158" t="inlineStr">
        <is>
          <t>Client Engagement</t>
        </is>
      </c>
      <c r="BO23" s="158" t="inlineStr">
        <is>
          <t>No</t>
        </is>
      </c>
      <c r="BP23" s="158" t="inlineStr">
        <is>
          <t>Client Engagement</t>
        </is>
      </c>
      <c r="BQ23" s="158" t="inlineStr">
        <is>
          <t>Product Management</t>
        </is>
      </c>
      <c r="BR23" s="158" t="inlineStr">
        <is>
          <t>Technical · BA, PM and QA</t>
        </is>
      </c>
      <c r="BS23" s="158" t="inlineStr">
        <is>
          <t>Turbhe. Shifting to Kolkata for some time for personal reasons</t>
        </is>
      </c>
      <c r="BT23" s="158" t="n"/>
      <c r="BU23" s="158" t="n"/>
      <c r="BV23" s="158" t="n"/>
      <c r="BW23" s="158" t="n">
        <v>3</v>
      </c>
      <c r="BX23" s="158" t="n"/>
      <c r="BY23" s="158" t="inlineStr">
        <is>
          <t>Senior Product Manager</t>
        </is>
      </c>
      <c r="BZ23" s="158" t="inlineStr">
        <is>
          <t>No</t>
        </is>
      </c>
      <c r="CA23" s="158" t="n">
        <v>3</v>
      </c>
      <c r="CB23" s="158" t="n">
        <v>3</v>
      </c>
      <c r="CC23" s="158" t="inlineStr">
        <is>
          <t>Future Leader</t>
        </is>
      </c>
      <c r="CD23" s="158" t="inlineStr">
        <is>
          <t>No</t>
        </is>
      </c>
      <c r="CE23" s="158" t="inlineStr">
        <is>
          <t>Yes</t>
        </is>
      </c>
      <c r="CF23" s="158" t="inlineStr">
        <is>
          <t>Yes</t>
        </is>
      </c>
      <c r="CG23" s="158" t="n"/>
      <c r="CH23" s="158" t="n"/>
      <c r="CI23" s="158" t="inlineStr">
        <is>
          <t>All</t>
        </is>
      </c>
    </row>
    <row r="24" ht="64" customHeight="1">
      <c r="A24" s="109" t="inlineStr">
        <is>
          <t>IRISDT0010</t>
        </is>
      </c>
      <c r="B24" s="111" t="inlineStr">
        <is>
          <t>Piyush Raj</t>
        </is>
      </c>
      <c r="C24" s="111" t="inlineStr">
        <is>
          <t>Product Management</t>
        </is>
      </c>
      <c r="D24" s="111" t="inlineStr">
        <is>
          <t>Product Manager</t>
        </is>
      </c>
      <c r="E24" s="111" t="inlineStr">
        <is>
          <t>Product Manager</t>
        </is>
      </c>
      <c r="F24" s="111" t="inlineStr">
        <is>
          <t>L5 – Manager</t>
        </is>
      </c>
      <c r="G24" s="27" t="inlineStr">
        <is>
          <t>B2</t>
        </is>
      </c>
      <c r="H24" s="117" t="inlineStr">
        <is>
          <t>• Same level</t>
        </is>
      </c>
      <c r="I24" s="111" t="inlineStr">
        <is>
          <t>Product Management</t>
        </is>
      </c>
      <c r="J24" s="111" t="inlineStr">
        <is>
          <t>Product Management</t>
        </is>
      </c>
      <c r="K24" s="111" t="inlineStr"/>
      <c r="L24" s="111" t="n">
        <v>20</v>
      </c>
      <c r="M24" s="142" t="inlineStr">
        <is>
          <t>P4 / M3</t>
        </is>
      </c>
      <c r="N24" s="115" t="inlineStr">
        <is>
          <t>Senior / Manager</t>
        </is>
      </c>
      <c r="O24" s="115" t="inlineStr">
        <is>
          <t>4–5</t>
        </is>
      </c>
      <c r="P24" s="115" t="inlineStr">
        <is>
          <t>6–9 yrs</t>
        </is>
      </c>
      <c r="Q24" s="115" t="inlineStr">
        <is>
          <t>7–10 · 6–11</t>
        </is>
      </c>
      <c r="R24" s="115" t="inlineStr">
        <is>
          <t>Senior Product Manager</t>
        </is>
      </c>
      <c r="S24" s="115" t="inlineStr">
        <is>
          <t>IRIS Vs Competitor Benchmark — SaaS product ladder: Senior PM</t>
        </is>
      </c>
      <c r="T24" s="115" t="inlineStr">
        <is>
          <t>Pragmatic Institute Framework · 37 activities, 7 categories; AIPMM</t>
        </is>
      </c>
      <c r="U24" s="115" t="inlineStr">
        <is>
          <t>Core 3 · Future 3 · Functional 4 · Leadership 2</t>
        </is>
      </c>
      <c r="V24" s="157" t="n">
        <v>545</v>
      </c>
      <c r="W24" s="158" t="inlineStr">
        <is>
          <t>IRISDT0010</t>
        </is>
      </c>
      <c r="X24" s="158" t="inlineStr">
        <is>
          <t>Employee</t>
        </is>
      </c>
      <c r="Y24" s="158" t="inlineStr">
        <is>
          <t>Active</t>
        </is>
      </c>
      <c r="Z24" s="158" t="inlineStr">
        <is>
          <t>Piyush Raj</t>
        </is>
      </c>
      <c r="AA24" s="244" t="n">
        <v>45894</v>
      </c>
      <c r="AB24" s="158" t="inlineStr">
        <is>
          <t>Product Manager</t>
        </is>
      </c>
      <c r="AC24" s="158" t="inlineStr">
        <is>
          <t>PGDM</t>
        </is>
      </c>
      <c r="AD24" s="158" t="inlineStr">
        <is>
          <t>Nilesh Majumdar</t>
        </is>
      </c>
      <c r="AE24" s="158" t="inlineStr">
        <is>
          <t>N-3</t>
        </is>
      </c>
      <c r="AF24" s="158" t="inlineStr">
        <is>
          <t>Individual Contributor</t>
        </is>
      </c>
      <c r="AG24" s="158" t="inlineStr">
        <is>
          <t>7 years, 0 months, 0 days</t>
        </is>
      </c>
      <c r="AH24" s="158" t="inlineStr">
        <is>
          <t>1 years, 0 months, 0 days</t>
        </is>
      </c>
      <c r="AI24" s="158" t="inlineStr">
        <is>
          <t>Datatech</t>
        </is>
      </c>
      <c r="AJ24" s="158" t="inlineStr">
        <is>
          <t>Datatech</t>
        </is>
      </c>
      <c r="AK24" s="158" t="inlineStr">
        <is>
          <t>Product Management</t>
        </is>
      </c>
      <c r="AL24" s="158" t="inlineStr">
        <is>
          <t>Client Engagement</t>
        </is>
      </c>
      <c r="AM24" s="158" t="inlineStr">
        <is>
          <t>No</t>
        </is>
      </c>
      <c r="AN24" s="158" t="inlineStr">
        <is>
          <t>Client Engagement</t>
        </is>
      </c>
      <c r="AO24" s="158" t="inlineStr">
        <is>
          <t>Product Management</t>
        </is>
      </c>
      <c r="AP24" s="158" t="inlineStr">
        <is>
          <t>Technical · BA, PM and QA</t>
        </is>
      </c>
      <c r="AQ24" s="158" t="n">
        <v>20</v>
      </c>
      <c r="AR24" s="158" t="inlineStr">
        <is>
          <t>Covered</t>
        </is>
      </c>
      <c r="AS24" s="158" t="inlineStr">
        <is>
          <t>IRIS2425</t>
        </is>
      </c>
      <c r="AT24" s="158" t="inlineStr">
        <is>
          <t>Employee</t>
        </is>
      </c>
      <c r="AU24" s="158" t="inlineStr">
        <is>
          <t>Active</t>
        </is>
      </c>
      <c r="AV24" s="158" t="inlineStr">
        <is>
          <t>Piyush Raj</t>
        </is>
      </c>
      <c r="AW24" s="159" t="n">
        <v>45894</v>
      </c>
      <c r="AX24" s="158" t="inlineStr">
        <is>
          <t>Product Manager</t>
        </is>
      </c>
      <c r="AY24" s="158" t="inlineStr">
        <is>
          <t>Product Management</t>
        </is>
      </c>
      <c r="AZ24" s="158" t="inlineStr">
        <is>
          <t>Product Management</t>
        </is>
      </c>
      <c r="BA24" s="158" t="inlineStr">
        <is>
          <t>Product Manager</t>
        </is>
      </c>
      <c r="BB24" s="158" t="inlineStr">
        <is>
          <t>L5 – Manager</t>
        </is>
      </c>
      <c r="BC24" s="158" t="inlineStr">
        <is>
          <t>PGDM</t>
        </is>
      </c>
      <c r="BD24" s="158" t="inlineStr">
        <is>
          <t>Nilesh Majumdar</t>
        </is>
      </c>
      <c r="BE24" s="158" t="inlineStr">
        <is>
          <t>N-3</t>
        </is>
      </c>
      <c r="BF24" s="158" t="inlineStr">
        <is>
          <t>Individual Contributor</t>
        </is>
      </c>
      <c r="BG24" s="158" t="inlineStr">
        <is>
          <t>7 years, 0 months, 0 days</t>
        </is>
      </c>
      <c r="BH24" s="158" t="inlineStr">
        <is>
          <t>0 years, 9 months, 26 days</t>
        </is>
      </c>
      <c r="BI24" s="158" t="inlineStr">
        <is>
          <t>7 years, 9 months, 26 days</t>
        </is>
      </c>
      <c r="BJ24" s="158" t="n"/>
      <c r="BK24" s="158" t="inlineStr">
        <is>
          <t>Datatech</t>
        </is>
      </c>
      <c r="BL24" s="158" t="inlineStr">
        <is>
          <t>Datatech</t>
        </is>
      </c>
      <c r="BM24" s="158" t="inlineStr">
        <is>
          <t>Product Management</t>
        </is>
      </c>
      <c r="BN24" s="158" t="inlineStr">
        <is>
          <t>Client Engagement</t>
        </is>
      </c>
      <c r="BO24" s="158" t="inlineStr">
        <is>
          <t>No</t>
        </is>
      </c>
      <c r="BP24" s="158" t="inlineStr">
        <is>
          <t>Client Engagement</t>
        </is>
      </c>
      <c r="BQ24" s="158" t="inlineStr">
        <is>
          <t>Product Management</t>
        </is>
      </c>
      <c r="BR24" s="158" t="inlineStr">
        <is>
          <t>Technical · BA, PM and QA</t>
        </is>
      </c>
      <c r="BS24" s="158" t="inlineStr">
        <is>
          <t>Turbhe. Shifting to remote for health reasons</t>
        </is>
      </c>
      <c r="BT24" s="158"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BU24" s="158"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BV24" s="158"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BW24" s="158" t="n">
        <v>4</v>
      </c>
      <c r="BX24" s="159" t="n">
        <v>46205</v>
      </c>
      <c r="BY24" s="158" t="inlineStr">
        <is>
          <t>Product Manager</t>
        </is>
      </c>
      <c r="BZ24" s="158" t="inlineStr">
        <is>
          <t>No</t>
        </is>
      </c>
      <c r="CA24" s="158" t="n">
        <v>4</v>
      </c>
      <c r="CB24" s="158" t="inlineStr">
        <is>
          <t>High</t>
        </is>
      </c>
      <c r="CC24" s="158" t="inlineStr">
        <is>
          <t>High Impact / Growth Talent</t>
        </is>
      </c>
      <c r="CD24" s="158" t="inlineStr">
        <is>
          <t>No</t>
        </is>
      </c>
      <c r="CE24" s="158" t="inlineStr">
        <is>
          <t>Yes</t>
        </is>
      </c>
      <c r="CF24" s="158" t="inlineStr">
        <is>
          <t>Yes</t>
        </is>
      </c>
      <c r="CG24" s="158" t="inlineStr">
        <is>
          <t>Data Analysis</t>
        </is>
      </c>
      <c r="CH24" s="158" t="n"/>
      <c r="CI24" s="158" t="inlineStr">
        <is>
          <t>Peridot App</t>
        </is>
      </c>
    </row>
    <row r="25" ht="64" customHeight="1">
      <c r="A25" s="109" t="inlineStr">
        <is>
          <t>IRISDT0023</t>
        </is>
      </c>
      <c r="B25" s="111" t="inlineStr">
        <is>
          <t>Sachinam Sawant</t>
        </is>
      </c>
      <c r="C25" s="111" t="inlineStr">
        <is>
          <t>Product Management</t>
        </is>
      </c>
      <c r="D25" s="114" t="inlineStr">
        <is>
          <t>Regulatory &amp; Policy Lead</t>
        </is>
      </c>
      <c r="E25" s="114" t="inlineStr">
        <is>
          <t>Product Manager</t>
        </is>
      </c>
      <c r="F25" s="114" t="inlineStr">
        <is>
          <t>Not in current mapping files</t>
        </is>
      </c>
      <c r="G25" s="114" t="inlineStr">
        <is>
          <t>B2</t>
        </is>
      </c>
      <c r="H25" s="143" t="inlineStr">
        <is>
          <t>● Newly mapped</t>
        </is>
      </c>
      <c r="I25" s="111" t="inlineStr">
        <is>
          <t>Product Management</t>
        </is>
      </c>
      <c r="J25" s="111" t="inlineStr">
        <is>
          <t>Product Management</t>
        </is>
      </c>
      <c r="K25" s="145" t="inlineStr">
        <is>
          <t>• Total experience · outside + at IRIS — HR — HRIS
• Confirm prior experience · provisional placement — HR</t>
        </is>
      </c>
      <c r="L25" s="111" t="n">
        <v>20</v>
      </c>
      <c r="M25" s="142" t="inlineStr">
        <is>
          <t>P4 / M3</t>
        </is>
      </c>
      <c r="N25" s="115" t="inlineStr">
        <is>
          <t>Senior / Manager</t>
        </is>
      </c>
      <c r="O25" s="115" t="inlineStr">
        <is>
          <t>4–5</t>
        </is>
      </c>
      <c r="P25" s="115" t="inlineStr">
        <is>
          <t>6–9 yrs</t>
        </is>
      </c>
      <c r="Q25" s="115" t="inlineStr">
        <is>
          <t>7–10 · 6–11</t>
        </is>
      </c>
      <c r="R25" s="115" t="inlineStr">
        <is>
          <t>Senior Product Manager</t>
        </is>
      </c>
      <c r="S25" s="115" t="inlineStr">
        <is>
          <t>IRIS Vs Competitor Benchmark — SaaS product ladder: Senior PM</t>
        </is>
      </c>
      <c r="T25" s="115" t="inlineStr">
        <is>
          <t>Pragmatic Institute Framework · 37 activities, 7 categories; AIPMM</t>
        </is>
      </c>
      <c r="U25" s="115" t="inlineStr">
        <is>
          <t>Core 3 · Future 3 · Functional 4 · Leadership 2</t>
        </is>
      </c>
      <c r="V25" s="157" t="n">
        <v>563</v>
      </c>
      <c r="W25" s="158" t="inlineStr">
        <is>
          <t>IRISDT0023</t>
        </is>
      </c>
      <c r="X25" s="158" t="inlineStr">
        <is>
          <t>Employee</t>
        </is>
      </c>
      <c r="Y25" s="158" t="inlineStr">
        <is>
          <t>Active</t>
        </is>
      </c>
      <c r="Z25" s="158" t="inlineStr">
        <is>
          <t>Sachinam Sawant</t>
        </is>
      </c>
      <c r="AA25" s="244" t="n">
        <v>46254</v>
      </c>
      <c r="AB25" s="158" t="inlineStr">
        <is>
          <t>Regulatory &amp; Policy Lead</t>
        </is>
      </c>
      <c r="AC25" s="158" t="inlineStr">
        <is>
          <t>CA</t>
        </is>
      </c>
      <c r="AD25" s="158" t="inlineStr">
        <is>
          <t>Shilpa Dhobale</t>
        </is>
      </c>
      <c r="AE25" s="158" t="inlineStr">
        <is>
          <t>N-2</t>
        </is>
      </c>
      <c r="AF25" s="158" t="inlineStr">
        <is>
          <t>Individual Contributor</t>
        </is>
      </c>
      <c r="AG25" s="158" t="n"/>
      <c r="AH25" s="158" t="inlineStr">
        <is>
          <t>0 years, 0 months, 5 days</t>
        </is>
      </c>
      <c r="AI25" s="158" t="inlineStr">
        <is>
          <t>Datatech</t>
        </is>
      </c>
      <c r="AJ25" s="158" t="inlineStr">
        <is>
          <t>Datatech</t>
        </is>
      </c>
      <c r="AK25" s="158" t="inlineStr">
        <is>
          <t>Product Management</t>
        </is>
      </c>
      <c r="AL25" s="158" t="inlineStr">
        <is>
          <t>Client Engagement</t>
        </is>
      </c>
      <c r="AM25" s="158" t="inlineStr">
        <is>
          <t>No</t>
        </is>
      </c>
      <c r="AN25" s="158" t="inlineStr">
        <is>
          <t>Client Engagement</t>
        </is>
      </c>
      <c r="AO25" s="158" t="inlineStr">
        <is>
          <t>Product Management</t>
        </is>
      </c>
      <c r="AP25" s="158" t="inlineStr">
        <is>
          <t>Technical · BA, PM and QA</t>
        </is>
      </c>
      <c r="AQ25" s="158" t="n">
        <v>20</v>
      </c>
      <c r="AR25" s="158" t="inlineStr">
        <is>
          <t>Covered</t>
        </is>
      </c>
      <c r="AS25" s="158" t="n"/>
      <c r="AT25" s="158" t="n"/>
      <c r="AU25" s="158" t="n"/>
      <c r="AV25" s="158" t="n"/>
      <c r="AW25" s="158" t="n"/>
      <c r="AX25" s="158" t="n"/>
      <c r="AY25" s="158" t="n"/>
      <c r="AZ25" s="158" t="n"/>
      <c r="BA25" s="158" t="n"/>
      <c r="BB25" s="158" t="n"/>
      <c r="BC25" s="158" t="n"/>
      <c r="BD25" s="158" t="n"/>
      <c r="BE25" s="158" t="n"/>
      <c r="BF25" s="158" t="n"/>
      <c r="BG25" s="158" t="n"/>
      <c r="BH25" s="158" t="n"/>
      <c r="BI25" s="158" t="n"/>
      <c r="BJ25" s="158" t="n"/>
      <c r="BK25" s="158" t="n"/>
      <c r="BL25" s="158" t="n"/>
      <c r="BM25" s="158" t="n"/>
      <c r="BN25" s="158" t="n"/>
      <c r="BO25" s="158" t="n"/>
      <c r="BP25" s="158" t="n"/>
      <c r="BQ25" s="158" t="n"/>
      <c r="BR25" s="158" t="n"/>
      <c r="BS25" s="158" t="n"/>
      <c r="BT25" s="158" t="n"/>
      <c r="BU25" s="158" t="n"/>
      <c r="BV25" s="158" t="n"/>
      <c r="BW25" s="158" t="n"/>
      <c r="BX25" s="158" t="n"/>
      <c r="BY25" s="158" t="n"/>
      <c r="BZ25" s="158" t="n"/>
      <c r="CA25" s="158" t="n"/>
      <c r="CB25" s="158" t="n"/>
      <c r="CC25" s="158" t="n"/>
      <c r="CD25" s="158" t="n"/>
      <c r="CE25" s="158" t="n"/>
      <c r="CF25" s="158" t="n"/>
      <c r="CG25" s="158" t="n"/>
      <c r="CH25" s="158" t="n"/>
      <c r="CI25" s="158" t="n"/>
    </row>
    <row r="26" ht="64" customHeight="1">
      <c r="A26" s="109" t="inlineStr">
        <is>
          <t>IRISDT0024</t>
        </is>
      </c>
      <c r="B26" s="111" t="inlineStr">
        <is>
          <t>Ayushi Maurya</t>
        </is>
      </c>
      <c r="C26" s="111" t="inlineStr">
        <is>
          <t>Product Management</t>
        </is>
      </c>
      <c r="D26" s="114" t="inlineStr">
        <is>
          <t>Product Manager</t>
        </is>
      </c>
      <c r="E26" s="114" t="inlineStr">
        <is>
          <t>Associate Product Manager</t>
        </is>
      </c>
      <c r="F26" s="114" t="inlineStr">
        <is>
          <t>Not in current mapping files</t>
        </is>
      </c>
      <c r="G26" s="114" t="inlineStr">
        <is>
          <t>B1</t>
        </is>
      </c>
      <c r="H26" s="143" t="inlineStr">
        <is>
          <t>● Newly mapped</t>
        </is>
      </c>
      <c r="I26" s="111" t="inlineStr">
        <is>
          <t>Product Management</t>
        </is>
      </c>
      <c r="J26" s="111" t="inlineStr">
        <is>
          <t>Product Management</t>
        </is>
      </c>
      <c r="K26" s="145" t="inlineStr">
        <is>
          <t>• Total experience · outside + at IRIS — HR — HRIS
• Confirm prior experience · provisional placement — HR</t>
        </is>
      </c>
      <c r="L26" s="111" t="n">
        <v>20</v>
      </c>
      <c r="M26" s="142" t="inlineStr">
        <is>
          <t>P3 / M2</t>
        </is>
      </c>
      <c r="N26" s="115" t="inlineStr">
        <is>
          <t>Career / · Team Lead</t>
        </is>
      </c>
      <c r="O26" s="115" t="inlineStr">
        <is>
          <t>4 Enable</t>
        </is>
      </c>
      <c r="P26" s="115" t="inlineStr">
        <is>
          <t>4–7 yrs</t>
        </is>
      </c>
      <c r="Q26" s="115" t="inlineStr">
        <is>
          <t>5–8 · 4–8</t>
        </is>
      </c>
      <c r="R26" s="115" t="inlineStr">
        <is>
          <t>Product Manager</t>
        </is>
      </c>
      <c r="S26" s="115" t="inlineStr">
        <is>
          <t>IRIS Vs Competitor Benchmark — SaaS product ladder: Product Manager</t>
        </is>
      </c>
      <c r="T26" s="115" t="inlineStr">
        <is>
          <t>Pragmatic Institute Framework · 37 activities, 7 categories; AIPMM</t>
        </is>
      </c>
      <c r="U26" s="115" t="inlineStr">
        <is>
          <t>Core 3 · Future 3 · Functional 3 · Leadership 1</t>
        </is>
      </c>
      <c r="V26" s="157" t="n">
        <v>564</v>
      </c>
      <c r="W26" s="158" t="inlineStr">
        <is>
          <t>IRISDT0024</t>
        </is>
      </c>
      <c r="X26" s="158" t="inlineStr">
        <is>
          <t>Employee</t>
        </is>
      </c>
      <c r="Y26" s="158" t="inlineStr">
        <is>
          <t>Active</t>
        </is>
      </c>
      <c r="Z26" s="158" t="inlineStr">
        <is>
          <t>Ayushi Maurya</t>
        </is>
      </c>
      <c r="AA26" s="244" t="n">
        <v>46268</v>
      </c>
      <c r="AB26" s="158" t="inlineStr">
        <is>
          <t>Product Manager</t>
        </is>
      </c>
      <c r="AC26" s="158" t="inlineStr">
        <is>
          <t>M.Tech</t>
        </is>
      </c>
      <c r="AD26" s="158" t="inlineStr">
        <is>
          <t>Nilesh Majumdar</t>
        </is>
      </c>
      <c r="AE26" s="158" t="inlineStr">
        <is>
          <t>N-3</t>
        </is>
      </c>
      <c r="AF26" s="158" t="inlineStr">
        <is>
          <t>Individual Contributor</t>
        </is>
      </c>
      <c r="AG26" s="158" t="n"/>
      <c r="AH26" s="158" t="n"/>
      <c r="AI26" s="158" t="inlineStr">
        <is>
          <t>Datatech</t>
        </is>
      </c>
      <c r="AJ26" s="158" t="inlineStr">
        <is>
          <t>Datatech</t>
        </is>
      </c>
      <c r="AK26" s="158" t="inlineStr">
        <is>
          <t>Product Management</t>
        </is>
      </c>
      <c r="AL26" s="158" t="inlineStr">
        <is>
          <t>Client Engagement</t>
        </is>
      </c>
      <c r="AM26" s="158" t="inlineStr">
        <is>
          <t>No</t>
        </is>
      </c>
      <c r="AN26" s="158" t="inlineStr">
        <is>
          <t>Client Engagement</t>
        </is>
      </c>
      <c r="AO26" s="158" t="inlineStr">
        <is>
          <t>Product Management</t>
        </is>
      </c>
      <c r="AP26" s="158" t="inlineStr">
        <is>
          <t>Technical · BA, PM and QA</t>
        </is>
      </c>
      <c r="AQ26" s="158" t="n">
        <v>20</v>
      </c>
      <c r="AR26" s="158" t="inlineStr">
        <is>
          <t>Covered</t>
        </is>
      </c>
      <c r="AS26" s="158" t="n"/>
      <c r="AT26" s="158" t="n"/>
      <c r="AU26" s="158" t="n"/>
      <c r="AV26" s="158" t="n"/>
      <c r="AW26" s="158" t="n"/>
      <c r="AX26" s="158" t="n"/>
      <c r="AY26" s="158" t="n"/>
      <c r="AZ26" s="158" t="n"/>
      <c r="BA26" s="158" t="n"/>
      <c r="BB26" s="158" t="n"/>
      <c r="BC26" s="158" t="n"/>
      <c r="BD26" s="158" t="n"/>
      <c r="BE26" s="158" t="n"/>
      <c r="BF26" s="158" t="n"/>
      <c r="BG26" s="158" t="n"/>
      <c r="BH26" s="158" t="n"/>
      <c r="BI26" s="158" t="n"/>
      <c r="BJ26" s="158" t="n"/>
      <c r="BK26" s="158" t="n"/>
      <c r="BL26" s="158" t="n"/>
      <c r="BM26" s="158" t="n"/>
      <c r="BN26" s="158" t="n"/>
      <c r="BO26" s="158" t="n"/>
      <c r="BP26" s="158" t="n"/>
      <c r="BQ26" s="158" t="n"/>
      <c r="BR26" s="158" t="n"/>
      <c r="BS26" s="158" t="n"/>
      <c r="BT26" s="158" t="n"/>
      <c r="BU26" s="158" t="n"/>
      <c r="BV26" s="158" t="n"/>
      <c r="BW26" s="158" t="n"/>
      <c r="BX26" s="158" t="n"/>
      <c r="BY26" s="158" t="n"/>
      <c r="BZ26" s="158" t="n"/>
      <c r="CA26" s="158" t="n"/>
      <c r="CB26" s="158" t="n"/>
      <c r="CC26" s="158" t="n"/>
      <c r="CD26" s="158" t="n"/>
      <c r="CE26" s="158" t="n"/>
      <c r="CF26" s="158" t="n"/>
      <c r="CG26" s="158" t="n"/>
      <c r="CH26" s="158" t="n"/>
      <c r="CI26" s="158" t="n"/>
    </row>
    <row r="27" ht="64" customHeight="1">
      <c r="A27" s="109" t="inlineStr">
        <is>
          <t>IRISDT0021</t>
        </is>
      </c>
      <c r="B27" s="111" t="inlineStr">
        <is>
          <t>Gaurav Bansal</t>
        </is>
      </c>
      <c r="C27" s="111" t="inlineStr">
        <is>
          <t>Product Management</t>
        </is>
      </c>
      <c r="D27" s="114" t="inlineStr">
        <is>
          <t>Product Manager</t>
        </is>
      </c>
      <c r="E27" s="114" t="inlineStr">
        <is>
          <t>Associate Product Manager</t>
        </is>
      </c>
      <c r="F27" s="114" t="inlineStr">
        <is>
          <t>Not in current mapping files</t>
        </is>
      </c>
      <c r="G27" s="114" t="inlineStr">
        <is>
          <t>B1</t>
        </is>
      </c>
      <c r="H27" s="143" t="inlineStr">
        <is>
          <t>● Newly mapped</t>
        </is>
      </c>
      <c r="I27" s="111" t="inlineStr">
        <is>
          <t>Product Management</t>
        </is>
      </c>
      <c r="J27" s="111" t="inlineStr">
        <is>
          <t>Product Management</t>
        </is>
      </c>
      <c r="K27" s="111" t="inlineStr"/>
      <c r="L27" s="111" t="n">
        <v>20</v>
      </c>
      <c r="M27" s="142" t="inlineStr">
        <is>
          <t>P3 / M2</t>
        </is>
      </c>
      <c r="N27" s="115" t="inlineStr">
        <is>
          <t>Career / · Team Lead</t>
        </is>
      </c>
      <c r="O27" s="115" t="inlineStr">
        <is>
          <t>4 Enable</t>
        </is>
      </c>
      <c r="P27" s="115" t="inlineStr">
        <is>
          <t>4–7 yrs</t>
        </is>
      </c>
      <c r="Q27" s="115" t="inlineStr">
        <is>
          <t>5–8 · 4–8</t>
        </is>
      </c>
      <c r="R27" s="115" t="inlineStr">
        <is>
          <t>Product Manager</t>
        </is>
      </c>
      <c r="S27" s="115" t="inlineStr">
        <is>
          <t>IRIS Vs Competitor Benchmark — SaaS product ladder: Product Manager</t>
        </is>
      </c>
      <c r="T27" s="115" t="inlineStr">
        <is>
          <t>Pragmatic Institute Framework · 37 activities, 7 categories; AIPMM</t>
        </is>
      </c>
      <c r="U27" s="115" t="inlineStr">
        <is>
          <t>Core 3 · Future 3 · Functional 3 · Leadership 1</t>
        </is>
      </c>
      <c r="V27" s="157" t="n">
        <v>559</v>
      </c>
      <c r="W27" s="158" t="inlineStr">
        <is>
          <t>IRISDT0021</t>
        </is>
      </c>
      <c r="X27" s="158" t="inlineStr">
        <is>
          <t>Employee</t>
        </is>
      </c>
      <c r="Y27" s="158" t="inlineStr">
        <is>
          <t>Active</t>
        </is>
      </c>
      <c r="Z27" s="158" t="inlineStr">
        <is>
          <t>Gaurav Bansal</t>
        </is>
      </c>
      <c r="AA27" s="244" t="n">
        <v>46212</v>
      </c>
      <c r="AB27" s="158" t="inlineStr">
        <is>
          <t>Product Manager</t>
        </is>
      </c>
      <c r="AC27" s="158" t="inlineStr">
        <is>
          <t>B.Tech</t>
        </is>
      </c>
      <c r="AD27" s="158" t="inlineStr">
        <is>
          <t>Nilesh Majumdar</t>
        </is>
      </c>
      <c r="AE27" s="158" t="inlineStr">
        <is>
          <t>N-3</t>
        </is>
      </c>
      <c r="AF27" s="158" t="inlineStr">
        <is>
          <t>Individual Contributor</t>
        </is>
      </c>
      <c r="AG27" s="158" t="inlineStr">
        <is>
          <t>2 years, 2 months, 0 days</t>
        </is>
      </c>
      <c r="AH27" s="158" t="inlineStr">
        <is>
          <t>0 years, 1 months, 16 days</t>
        </is>
      </c>
      <c r="AI27" s="158" t="inlineStr">
        <is>
          <t>Datatech</t>
        </is>
      </c>
      <c r="AJ27" s="158" t="inlineStr">
        <is>
          <t>Datatech</t>
        </is>
      </c>
      <c r="AK27" s="158" t="inlineStr">
        <is>
          <t>Product Management</t>
        </is>
      </c>
      <c r="AL27" s="158" t="inlineStr">
        <is>
          <t>Client Engagement</t>
        </is>
      </c>
      <c r="AM27" s="158" t="inlineStr">
        <is>
          <t>No</t>
        </is>
      </c>
      <c r="AN27" s="158" t="inlineStr">
        <is>
          <t>Client Engagement</t>
        </is>
      </c>
      <c r="AO27" s="158" t="inlineStr">
        <is>
          <t>Product Management</t>
        </is>
      </c>
      <c r="AP27" s="158" t="inlineStr">
        <is>
          <t>Technical · BA, PM and QA</t>
        </is>
      </c>
      <c r="AQ27" s="158" t="n">
        <v>20</v>
      </c>
      <c r="AR27" s="158" t="inlineStr">
        <is>
          <t>Covered</t>
        </is>
      </c>
      <c r="AS27" s="158" t="n"/>
      <c r="AT27" s="158" t="inlineStr">
        <is>
          <t>Employee</t>
        </is>
      </c>
      <c r="AU27" s="158" t="inlineStr">
        <is>
          <t>Active</t>
        </is>
      </c>
      <c r="AV27" s="158" t="inlineStr">
        <is>
          <t>Gaurav Bansal</t>
        </is>
      </c>
      <c r="AW27" s="158" t="n"/>
      <c r="AX27" s="158" t="inlineStr">
        <is>
          <t>Product Manager</t>
        </is>
      </c>
      <c r="AY27" s="158" t="n"/>
      <c r="AZ27" s="158" t="n"/>
      <c r="BA27" s="158" t="n"/>
      <c r="BB27" s="158" t="n"/>
      <c r="BC27" s="158" t="n"/>
      <c r="BD27" s="158" t="inlineStr">
        <is>
          <t>Nilesh Majumdar</t>
        </is>
      </c>
      <c r="BE27" s="158" t="n"/>
      <c r="BF27" s="158" t="n"/>
      <c r="BG27" s="158" t="n"/>
      <c r="BH27" s="158" t="n"/>
      <c r="BI27" s="158" t="n"/>
      <c r="BJ27" s="158" t="n"/>
      <c r="BK27" s="158" t="inlineStr">
        <is>
          <t>Datatech</t>
        </is>
      </c>
      <c r="BL27" s="158" t="inlineStr">
        <is>
          <t>Datatech</t>
        </is>
      </c>
      <c r="BM27" s="158" t="inlineStr">
        <is>
          <t>Product Management</t>
        </is>
      </c>
      <c r="BN27" s="158" t="inlineStr">
        <is>
          <t>Client Engagement</t>
        </is>
      </c>
      <c r="BO27" s="158" t="inlineStr">
        <is>
          <t>No</t>
        </is>
      </c>
      <c r="BP27" s="158" t="inlineStr">
        <is>
          <t>Client Engagement</t>
        </is>
      </c>
      <c r="BQ27" s="158" t="inlineStr">
        <is>
          <t>Product Management</t>
        </is>
      </c>
      <c r="BR27" s="158" t="inlineStr">
        <is>
          <t>Technical · BA, PM and QA</t>
        </is>
      </c>
      <c r="BS27" s="158" t="inlineStr">
        <is>
          <t>Bengaluru</t>
        </is>
      </c>
      <c r="BT27" s="158" t="n"/>
      <c r="BU27" s="158" t="n"/>
      <c r="BV27" s="158" t="n"/>
      <c r="BW27" s="158" t="n"/>
      <c r="BX27" s="158" t="n"/>
      <c r="BY27" s="158" t="n"/>
      <c r="BZ27" s="158" t="n"/>
      <c r="CA27" s="158" t="n"/>
      <c r="CB27" s="158" t="n"/>
      <c r="CC27" s="158" t="n"/>
      <c r="CD27" s="158" t="n"/>
      <c r="CE27" s="158" t="inlineStr">
        <is>
          <t>No</t>
        </is>
      </c>
      <c r="CF27" s="158" t="n"/>
      <c r="CG27" s="158" t="n"/>
      <c r="CH27" s="158" t="n"/>
      <c r="CI27" s="158" t="inlineStr">
        <is>
          <t>All</t>
        </is>
      </c>
    </row>
    <row r="28" ht="64" customHeight="1">
      <c r="A28" s="109" t="inlineStr">
        <is>
          <t>IRISDTC005</t>
        </is>
      </c>
      <c r="B28" s="111" t="inlineStr">
        <is>
          <t>Smita Londhe</t>
        </is>
      </c>
      <c r="C28" s="111" t="inlineStr">
        <is>
          <t>Quality Assurance</t>
        </is>
      </c>
      <c r="D28" s="114" t="inlineStr">
        <is>
          <t>QA Engineer</t>
        </is>
      </c>
      <c r="E28" s="114" t="inlineStr">
        <is>
          <t>Senior QA Automation Engineer</t>
        </is>
      </c>
      <c r="F28" s="114" t="inlineStr">
        <is>
          <t>Not in current mapping files</t>
        </is>
      </c>
      <c r="G28" s="114" t="inlineStr">
        <is>
          <t>A3</t>
        </is>
      </c>
      <c r="H28" s="143" t="inlineStr">
        <is>
          <t>● Newly mapped</t>
        </is>
      </c>
      <c r="I28" s="111" t="inlineStr">
        <is>
          <t>Quality Assurance</t>
        </is>
      </c>
      <c r="J28" s="111" t="inlineStr">
        <is>
          <t>Test Automation</t>
        </is>
      </c>
      <c r="K28" s="145" t="inlineStr">
        <is>
          <t>• Correct the experience record — HR</t>
        </is>
      </c>
      <c r="L28" s="111" t="n">
        <v>20</v>
      </c>
      <c r="M28" s="142" t="inlineStr">
        <is>
          <t>P2</t>
        </is>
      </c>
      <c r="N28" s="115" t="inlineStr">
        <is>
          <t>Developing</t>
        </is>
      </c>
      <c r="O28" s="115" t="inlineStr">
        <is>
          <t>3 Apply</t>
        </is>
      </c>
      <c r="P28" s="115" t="inlineStr">
        <is>
          <t>2–4 yrs</t>
        </is>
      </c>
      <c r="Q28" s="115" t="inlineStr">
        <is>
          <t>3–5 · 2–5</t>
        </is>
      </c>
      <c r="R28" s="115" t="inlineStr">
        <is>
          <t>QA Engineer</t>
        </is>
      </c>
      <c r="S28" s="115" t="inlineStr">
        <is>
          <r>
            <rPr>
              <rFont val="Calibri"/>
              <b val="1"/>
              <sz val="10"/>
            </rPr>
            <t>Workiva:</t>
          </r>
          <r>
            <rPr>
              <rFont val="Calibri"/>
              <sz val="10"/>
            </rPr>
            <t xml:space="preserve"> SE · Broadridge India: SE · Nasdaq / AxiomSL: SE · IRIS Vs Market Benchmark — ISTQB certification pathway: Foundation</t>
          </r>
        </is>
      </c>
      <c r="T28" s="115" t="inlineStr">
        <is>
          <t>ISTQB Foundation → Advanced → Expert; SFIA testing</t>
        </is>
      </c>
      <c r="U28" s="115" t="inlineStr">
        <is>
          <t>Core 2 · Future 2 · Functional 3 · Leadership not scored</t>
        </is>
      </c>
      <c r="V28" s="157" t="n">
        <v>560</v>
      </c>
      <c r="W28" s="158" t="inlineStr">
        <is>
          <t>IRISDTC005</t>
        </is>
      </c>
      <c r="X28" s="158" t="inlineStr">
        <is>
          <t>On Contract</t>
        </is>
      </c>
      <c r="Y28" s="158" t="inlineStr">
        <is>
          <t>Active</t>
        </is>
      </c>
      <c r="Z28" s="158" t="inlineStr">
        <is>
          <t>Smita Londhe</t>
        </is>
      </c>
      <c r="AA28" s="244" t="n">
        <v>46237</v>
      </c>
      <c r="AB28" s="158" t="inlineStr">
        <is>
          <t>QA Engineer</t>
        </is>
      </c>
      <c r="AC28" s="158" t="inlineStr">
        <is>
          <t>M.E</t>
        </is>
      </c>
      <c r="AD28" s="158" t="inlineStr">
        <is>
          <t>Shilpa Dhobale</t>
        </is>
      </c>
      <c r="AE28" s="158" t="inlineStr">
        <is>
          <t>N-2</t>
        </is>
      </c>
      <c r="AF28" s="158" t="inlineStr">
        <is>
          <t>Individual Contributor</t>
        </is>
      </c>
      <c r="AG28" s="158" t="inlineStr">
        <is>
          <t>3 years, 7 months, 0 days</t>
        </is>
      </c>
      <c r="AH28" s="158" t="inlineStr">
        <is>
          <t>0 years, 0 months, 22 days</t>
        </is>
      </c>
      <c r="AI28" s="158" t="inlineStr">
        <is>
          <t>Datatech</t>
        </is>
      </c>
      <c r="AJ28" s="158" t="inlineStr">
        <is>
          <t>Datatech</t>
        </is>
      </c>
      <c r="AK28" s="158" t="inlineStr">
        <is>
          <t>Quality Assurance</t>
        </is>
      </c>
      <c r="AL28" s="158" t="inlineStr">
        <is>
          <t>Quality Assurance</t>
        </is>
      </c>
      <c r="AM28" s="158" t="inlineStr">
        <is>
          <t>No</t>
        </is>
      </c>
      <c r="AN28" s="158" t="inlineStr">
        <is>
          <t>Product/Project</t>
        </is>
      </c>
      <c r="AO28" s="158" t="inlineStr">
        <is>
          <t>Software Testing</t>
        </is>
      </c>
      <c r="AP28" s="158" t="inlineStr">
        <is>
          <t>Technical · BA, PM and QA</t>
        </is>
      </c>
      <c r="AQ28" s="158" t="n">
        <v>20</v>
      </c>
      <c r="AR28" s="158" t="inlineStr">
        <is>
          <t>Covered</t>
        </is>
      </c>
      <c r="AS28" s="158" t="n"/>
      <c r="AT28" s="158" t="n"/>
      <c r="AU28" s="158" t="n"/>
      <c r="AV28" s="158" t="n"/>
      <c r="AW28" s="158" t="n"/>
      <c r="AX28" s="158" t="n"/>
      <c r="AY28" s="158" t="n"/>
      <c r="AZ28" s="158" t="n"/>
      <c r="BA28" s="158" t="n"/>
      <c r="BB28" s="158" t="n"/>
      <c r="BC28" s="158" t="n"/>
      <c r="BD28" s="158" t="n"/>
      <c r="BE28" s="158" t="n"/>
      <c r="BF28" s="158" t="n"/>
      <c r="BG28" s="158" t="n"/>
      <c r="BH28" s="158" t="n"/>
      <c r="BI28" s="158" t="n"/>
      <c r="BJ28" s="158" t="n"/>
      <c r="BK28" s="158" t="n"/>
      <c r="BL28" s="158" t="n"/>
      <c r="BM28" s="158" t="n"/>
      <c r="BN28" s="158" t="n"/>
      <c r="BO28" s="158" t="n"/>
      <c r="BP28" s="158" t="n"/>
      <c r="BQ28" s="158" t="n"/>
      <c r="BR28" s="158" t="n"/>
      <c r="BS28" s="158" t="n"/>
      <c r="BT28" s="158" t="n"/>
      <c r="BU28" s="158" t="n"/>
      <c r="BV28" s="158" t="n"/>
      <c r="BW28" s="158" t="n"/>
      <c r="BX28" s="158" t="n"/>
      <c r="BY28" s="158" t="n"/>
      <c r="BZ28" s="158" t="n"/>
      <c r="CA28" s="158" t="n"/>
      <c r="CB28" s="158" t="n"/>
      <c r="CC28" s="158" t="n"/>
      <c r="CD28" s="158" t="n"/>
      <c r="CE28" s="158" t="n"/>
      <c r="CF28" s="158" t="n"/>
      <c r="CG28" s="158" t="n"/>
      <c r="CH28" s="158" t="n"/>
      <c r="CI28" s="158" t="n"/>
    </row>
    <row r="29" ht="64" customHeight="1">
      <c r="A29" s="109" t="inlineStr">
        <is>
          <t>IRISDT0014</t>
        </is>
      </c>
      <c r="B29" s="111" t="inlineStr">
        <is>
          <t>Supriya Patil</t>
        </is>
      </c>
      <c r="C29" s="111" t="inlineStr">
        <is>
          <t>Quality Assurance</t>
        </is>
      </c>
      <c r="D29" s="114" t="inlineStr">
        <is>
          <t>QA Engineer</t>
        </is>
      </c>
      <c r="E29" s="114" t="inlineStr">
        <is>
          <t>Senior QA Engineer</t>
        </is>
      </c>
      <c r="F29" s="114" t="inlineStr">
        <is>
          <t>L3 – Professional / Associate</t>
        </is>
      </c>
      <c r="G29" s="114" t="inlineStr">
        <is>
          <t>A3</t>
        </is>
      </c>
      <c r="H29" s="141" t="inlineStr">
        <is>
          <t>▲ Up</t>
        </is>
      </c>
      <c r="I29" s="111" t="inlineStr">
        <is>
          <t>Quality Assurance</t>
        </is>
      </c>
      <c r="J29" s="111" t="inlineStr">
        <is>
          <t>Functional &amp; Domain Testing</t>
        </is>
      </c>
      <c r="K29" s="111" t="inlineStr"/>
      <c r="L29" s="111" t="n">
        <v>20</v>
      </c>
      <c r="M29" s="142" t="inlineStr">
        <is>
          <t>P2</t>
        </is>
      </c>
      <c r="N29" s="115" t="inlineStr">
        <is>
          <t>Developing</t>
        </is>
      </c>
      <c r="O29" s="115" t="inlineStr">
        <is>
          <t>3 Apply</t>
        </is>
      </c>
      <c r="P29" s="115" t="inlineStr">
        <is>
          <t>2–4 yrs</t>
        </is>
      </c>
      <c r="Q29" s="115" t="inlineStr">
        <is>
          <t>3–5 · 2–5</t>
        </is>
      </c>
      <c r="R29" s="115" t="inlineStr">
        <is>
          <t>QA Engineer</t>
        </is>
      </c>
      <c r="S29" s="115" t="inlineStr">
        <is>
          <r>
            <rPr>
              <rFont val="Calibri"/>
              <b val="1"/>
              <sz val="10"/>
            </rPr>
            <t>Workiva:</t>
          </r>
          <r>
            <rPr>
              <rFont val="Calibri"/>
              <sz val="10"/>
            </rPr>
            <t xml:space="preserve"> SE · Broadridge India: SE · Nasdaq / AxiomSL: SE · IRIS Vs Market Benchmark — ISTQB certification pathway: Foundation</t>
          </r>
        </is>
      </c>
      <c r="T29" s="115" t="inlineStr">
        <is>
          <t>ISTQB Foundation → Advanced → Expert; SFIA testing</t>
        </is>
      </c>
      <c r="U29" s="115" t="inlineStr">
        <is>
          <t>Core 2 · Future 2 · Functional 3 · Leadership not scored</t>
        </is>
      </c>
      <c r="V29" s="157" t="n">
        <v>550</v>
      </c>
      <c r="W29" s="158" t="inlineStr">
        <is>
          <t>IRISDT0014</t>
        </is>
      </c>
      <c r="X29" s="158" t="inlineStr">
        <is>
          <t>Employee</t>
        </is>
      </c>
      <c r="Y29" s="158" t="inlineStr">
        <is>
          <t>Active</t>
        </is>
      </c>
      <c r="Z29" s="158" t="inlineStr">
        <is>
          <t>Supriya Patil</t>
        </is>
      </c>
      <c r="AA29" s="244" t="n">
        <v>46055</v>
      </c>
      <c r="AB29" s="158" t="inlineStr">
        <is>
          <t>QA Engineer</t>
        </is>
      </c>
      <c r="AC29" s="158" t="inlineStr">
        <is>
          <t>B.E</t>
        </is>
      </c>
      <c r="AD29" s="158" t="inlineStr">
        <is>
          <t>Nilesh Majumdar</t>
        </is>
      </c>
      <c r="AE29" s="158" t="inlineStr">
        <is>
          <t>N-3</t>
        </is>
      </c>
      <c r="AF29" s="158" t="inlineStr">
        <is>
          <t>Individual Contributor</t>
        </is>
      </c>
      <c r="AG29" s="158" t="inlineStr">
        <is>
          <t>6 years, 8 months, 0 days</t>
        </is>
      </c>
      <c r="AH29" s="158" t="inlineStr">
        <is>
          <t>0 years, 6 months, 23 days</t>
        </is>
      </c>
      <c r="AI29" s="158" t="inlineStr">
        <is>
          <t>Datatech</t>
        </is>
      </c>
      <c r="AJ29" s="158" t="inlineStr">
        <is>
          <t>Datatech</t>
        </is>
      </c>
      <c r="AK29" s="158" t="inlineStr">
        <is>
          <t>Quality Assurance</t>
        </is>
      </c>
      <c r="AL29" s="158" t="inlineStr">
        <is>
          <t>Quality Assurance</t>
        </is>
      </c>
      <c r="AM29" s="158" t="inlineStr">
        <is>
          <t>No</t>
        </is>
      </c>
      <c r="AN29" s="158" t="inlineStr">
        <is>
          <t>Product/Project</t>
        </is>
      </c>
      <c r="AO29" s="158" t="inlineStr">
        <is>
          <t>Software Testing</t>
        </is>
      </c>
      <c r="AP29" s="158" t="inlineStr">
        <is>
          <t>Technical · BA, PM and QA</t>
        </is>
      </c>
      <c r="AQ29" s="158" t="n">
        <v>20</v>
      </c>
      <c r="AR29" s="158" t="inlineStr">
        <is>
          <t>Covered</t>
        </is>
      </c>
      <c r="AS29" s="158" t="inlineStr">
        <is>
          <t>IRIS2467</t>
        </is>
      </c>
      <c r="AT29" s="158" t="inlineStr">
        <is>
          <t>Employee</t>
        </is>
      </c>
      <c r="AU29" s="158" t="inlineStr">
        <is>
          <t>Active</t>
        </is>
      </c>
      <c r="AV29" s="158" t="inlineStr">
        <is>
          <t>Supriya Patil</t>
        </is>
      </c>
      <c r="AW29" s="159" t="n">
        <v>46055</v>
      </c>
      <c r="AX29" s="158" t="inlineStr">
        <is>
          <t>QA Engineer</t>
        </is>
      </c>
      <c r="AY29" s="158" t="inlineStr">
        <is>
          <t>Quality Assurance</t>
        </is>
      </c>
      <c r="AZ29" s="158" t="inlineStr">
        <is>
          <t>Quality Engineering</t>
        </is>
      </c>
      <c r="BA29" s="158" t="inlineStr">
        <is>
          <t>QA Engineer</t>
        </is>
      </c>
      <c r="BB29" s="158" t="inlineStr">
        <is>
          <t>L3 – Professional / Associate</t>
        </is>
      </c>
      <c r="BC29" s="158" t="inlineStr">
        <is>
          <t>B.E</t>
        </is>
      </c>
      <c r="BD29" s="158" t="inlineStr">
        <is>
          <t>Nilesh Majumdar</t>
        </is>
      </c>
      <c r="BE29" s="158" t="inlineStr">
        <is>
          <t>N-3</t>
        </is>
      </c>
      <c r="BF29" s="158" t="inlineStr">
        <is>
          <t>Individual Contributor</t>
        </is>
      </c>
      <c r="BG29" s="158" t="inlineStr">
        <is>
          <t>6 years, 8 months, 0 days</t>
        </is>
      </c>
      <c r="BH29" s="158" t="inlineStr">
        <is>
          <t>0 years, 4 months, 18 days</t>
        </is>
      </c>
      <c r="BI29" s="158" t="inlineStr">
        <is>
          <t>7 years, 0 months, 18 days</t>
        </is>
      </c>
      <c r="BJ29" s="158" t="n"/>
      <c r="BK29" s="158" t="inlineStr">
        <is>
          <t>Datatech</t>
        </is>
      </c>
      <c r="BL29" s="158" t="inlineStr">
        <is>
          <t>Datatech</t>
        </is>
      </c>
      <c r="BM29" s="158" t="inlineStr">
        <is>
          <t>Quality Assurance</t>
        </is>
      </c>
      <c r="BN29" s="158" t="inlineStr">
        <is>
          <t>Quality Assurance</t>
        </is>
      </c>
      <c r="BO29" s="158" t="inlineStr">
        <is>
          <t>No</t>
        </is>
      </c>
      <c r="BP29" s="158" t="inlineStr">
        <is>
          <t>Product/Project</t>
        </is>
      </c>
      <c r="BQ29" s="158" t="inlineStr">
        <is>
          <t>Software Testing</t>
        </is>
      </c>
      <c r="BR29" s="158" t="inlineStr">
        <is>
          <t>Technical · BA, PM and QA</t>
        </is>
      </c>
      <c r="BS29" s="158" t="inlineStr">
        <is>
          <t>Turbhe</t>
        </is>
      </c>
      <c r="BT29" s="158" t="n"/>
      <c r="BU29" s="158"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BV29" s="158"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BW29" s="158" t="n">
        <v>3</v>
      </c>
      <c r="BX29" s="158" t="inlineStr">
        <is>
          <t>Aprl 2026</t>
        </is>
      </c>
      <c r="BY29" s="158" t="inlineStr">
        <is>
          <t>QA Engineer</t>
        </is>
      </c>
      <c r="BZ29" s="158" t="inlineStr">
        <is>
          <t>No</t>
        </is>
      </c>
      <c r="CA29" s="158" t="n">
        <v>3</v>
      </c>
      <c r="CB29" s="158" t="inlineStr">
        <is>
          <t>Medium</t>
        </is>
      </c>
      <c r="CC29" s="158" t="inlineStr">
        <is>
          <t>Core Contributor</t>
        </is>
      </c>
      <c r="CD29" s="158" t="inlineStr">
        <is>
          <t>No</t>
        </is>
      </c>
      <c r="CE29" s="158" t="inlineStr">
        <is>
          <t>No</t>
        </is>
      </c>
      <c r="CF29" s="158" t="inlineStr">
        <is>
          <t>Yes</t>
        </is>
      </c>
      <c r="CG29" s="158" t="inlineStr">
        <is>
          <t>AI for testing and automation</t>
        </is>
      </c>
      <c r="CH29" s="158" t="n"/>
      <c r="CI29" s="158" t="inlineStr">
        <is>
          <t>All</t>
        </is>
      </c>
    </row>
    <row r="30" ht="64" customHeight="1">
      <c r="A30" s="109" t="inlineStr">
        <is>
          <t>IRISDT0019</t>
        </is>
      </c>
      <c r="B30" s="111" t="inlineStr">
        <is>
          <t>Abhishek Gite</t>
        </is>
      </c>
      <c r="C30" s="111" t="inlineStr">
        <is>
          <t>Sales</t>
        </is>
      </c>
      <c r="D30" s="114" t="inlineStr">
        <is>
          <t>Head - Sales and Alliances</t>
        </is>
      </c>
      <c r="E30" s="114" t="inlineStr">
        <is>
          <t>Principal – Sales</t>
        </is>
      </c>
      <c r="F30" s="114" t="inlineStr">
        <is>
          <t>Not in current mapping files</t>
        </is>
      </c>
      <c r="G30" s="114" t="inlineStr">
        <is>
          <t>C1</t>
        </is>
      </c>
      <c r="H30" s="143" t="inlineStr">
        <is>
          <t>● Newly mapped</t>
        </is>
      </c>
      <c r="I30" s="111" t="inlineStr">
        <is>
          <t>Sales &amp; Business Development</t>
        </is>
      </c>
      <c r="J30" s="111" t="inlineStr">
        <is>
          <t>Sales Leadership</t>
        </is>
      </c>
      <c r="K30" s="145" t="inlineStr">
        <is>
          <t>• Survey response or KRAs describing the work · nothing on file — Employee + manager
• Confirm structure behind the senior title · org chart — Business head</t>
        </is>
      </c>
      <c r="L30" s="111" t="n">
        <v>0</v>
      </c>
      <c r="M30" s="142" t="inlineStr">
        <is>
          <t>P6 / M5</t>
        </is>
      </c>
      <c r="N30" s="115" t="inlineStr">
        <is>
          <t>Principal / Director</t>
        </is>
      </c>
      <c r="O30" s="115" t="inlineStr">
        <is>
          <t>5–6</t>
        </is>
      </c>
      <c r="P30" s="115" t="inlineStr">
        <is>
          <t>10–14 yrs</t>
        </is>
      </c>
      <c r="Q30" s="115" t="inlineStr">
        <is>
          <t>12–16 · 12–18</t>
        </is>
      </c>
      <c r="R30" s="115" t="inlineStr">
        <is>
          <t>—</t>
        </is>
      </c>
      <c r="S30" s="115" t="inlineStr">
        <is>
          <t>IRIS Vs Competitor Benchmark — SaaS sales ladder — IC: Strategic / Principal AE · IRIS Vs Competitor Benchmark — SaaS sales ladder — management: Regional Sales Head</t>
        </is>
      </c>
      <c r="T30" s="115" t="inlineStr">
        <is>
          <t>SaaS sales ladder · SDR → AE → Enterprise AE → VP / CRO; MEDDICC-style qualification</t>
        </is>
      </c>
      <c r="U30" s="115" t="inlineStr">
        <is>
          <t>Core 4 · Future 4 · Functional 4 · Leadership 4</t>
        </is>
      </c>
      <c r="V30" s="157" t="n">
        <v>556</v>
      </c>
      <c r="W30" s="158" t="inlineStr">
        <is>
          <t>IRISDT0019</t>
        </is>
      </c>
      <c r="X30" s="158" t="inlineStr">
        <is>
          <t>Employee</t>
        </is>
      </c>
      <c r="Y30" s="158" t="inlineStr">
        <is>
          <t>Active</t>
        </is>
      </c>
      <c r="Z30" s="158" t="inlineStr">
        <is>
          <t>Abhishek Gite</t>
        </is>
      </c>
      <c r="AA30" s="244" t="n">
        <v>46174</v>
      </c>
      <c r="AB30" s="158" t="inlineStr">
        <is>
          <t>Head - Sales and Alliances</t>
        </is>
      </c>
      <c r="AC30" s="158" t="inlineStr">
        <is>
          <t>MBA</t>
        </is>
      </c>
      <c r="AD30" s="158" t="inlineStr">
        <is>
          <t>Shilpa Dhobale</t>
        </is>
      </c>
      <c r="AE30" s="158" t="inlineStr">
        <is>
          <t>N-2</t>
        </is>
      </c>
      <c r="AF30" s="158" t="inlineStr">
        <is>
          <t>Individual Contributor</t>
        </is>
      </c>
      <c r="AG30" s="158" t="inlineStr">
        <is>
          <t>24 years, 0 months, 0 days</t>
        </is>
      </c>
      <c r="AH30" s="158" t="inlineStr">
        <is>
          <t>0 years, 2 months, 24 days</t>
        </is>
      </c>
      <c r="AI30" s="158" t="inlineStr">
        <is>
          <t>Datatech</t>
        </is>
      </c>
      <c r="AJ30" s="158" t="inlineStr">
        <is>
          <t>Datatech</t>
        </is>
      </c>
      <c r="AK30" s="158" t="inlineStr">
        <is>
          <t>Sales</t>
        </is>
      </c>
      <c r="AL30" s="158" t="inlineStr">
        <is>
          <t>Sales</t>
        </is>
      </c>
      <c r="AM30" s="158" t="inlineStr">
        <is>
          <t>No</t>
        </is>
      </c>
      <c r="AN30" s="158" t="inlineStr">
        <is>
          <t>Sales, Marketing &amp; Support</t>
        </is>
      </c>
      <c r="AO30" s="158" t="inlineStr">
        <is>
          <t>Sales</t>
        </is>
      </c>
      <c r="AP30" s="158" t="inlineStr">
        <is>
          <t>Non-technical</t>
        </is>
      </c>
      <c r="AQ30" s="158" t="n">
        <v>0</v>
      </c>
      <c r="AR30" s="158" t="inlineStr">
        <is>
          <t>E-Top management</t>
        </is>
      </c>
      <c r="AS30" s="158" t="n"/>
      <c r="AT30" s="158" t="inlineStr">
        <is>
          <t>Employee</t>
        </is>
      </c>
      <c r="AU30" s="158" t="inlineStr">
        <is>
          <t>Active</t>
        </is>
      </c>
      <c r="AV30" s="158" t="inlineStr">
        <is>
          <t>Abhishek Gite</t>
        </is>
      </c>
      <c r="AW30" s="158" t="n"/>
      <c r="AX30" s="158" t="inlineStr">
        <is>
          <t>Head - Sales and Alliances</t>
        </is>
      </c>
      <c r="AY30" s="158" t="n"/>
      <c r="AZ30" s="158" t="n"/>
      <c r="BA30" s="158" t="n"/>
      <c r="BB30" s="158" t="n"/>
      <c r="BC30" s="158" t="n"/>
      <c r="BD30" s="158" t="inlineStr">
        <is>
          <t>Shilpa Dhobale</t>
        </is>
      </c>
      <c r="BE30" s="158" t="n"/>
      <c r="BF30" s="158" t="n"/>
      <c r="BG30" s="158" t="n"/>
      <c r="BH30" s="158" t="n"/>
      <c r="BI30" s="158" t="n"/>
      <c r="BJ30" s="158" t="n"/>
      <c r="BK30" s="158" t="inlineStr">
        <is>
          <t>Datatech</t>
        </is>
      </c>
      <c r="BL30" s="158" t="inlineStr">
        <is>
          <t>Datatech</t>
        </is>
      </c>
      <c r="BM30" s="158" t="inlineStr">
        <is>
          <t>Sales</t>
        </is>
      </c>
      <c r="BN30" s="158" t="inlineStr">
        <is>
          <t>Sales</t>
        </is>
      </c>
      <c r="BO30" s="158" t="inlineStr">
        <is>
          <t>No</t>
        </is>
      </c>
      <c r="BP30" s="158" t="inlineStr">
        <is>
          <t>Sales, Marketing &amp; Support</t>
        </is>
      </c>
      <c r="BQ30" s="158" t="inlineStr">
        <is>
          <t>Sales</t>
        </is>
      </c>
      <c r="BR30" s="158" t="inlineStr">
        <is>
          <t>Non-technical</t>
        </is>
      </c>
      <c r="BS30" s="158" t="inlineStr">
        <is>
          <t>Turbhe</t>
        </is>
      </c>
      <c r="BT30" s="158" t="n"/>
      <c r="BU30" s="158" t="n"/>
      <c r="BV30" s="158" t="n"/>
      <c r="BW30" s="158" t="n">
        <v>3</v>
      </c>
      <c r="BX30" s="158" t="n"/>
      <c r="BY30" s="158" t="inlineStr">
        <is>
          <t>Head - Sales and Alliances</t>
        </is>
      </c>
      <c r="BZ30" s="158" t="inlineStr">
        <is>
          <t>No</t>
        </is>
      </c>
      <c r="CA30" s="158" t="n"/>
      <c r="CB30" s="158" t="n"/>
      <c r="CC30" s="158" t="inlineStr">
        <is>
          <t>Core Contributor</t>
        </is>
      </c>
      <c r="CD30" s="158" t="inlineStr">
        <is>
          <t>No</t>
        </is>
      </c>
      <c r="CE30" s="158" t="inlineStr">
        <is>
          <t>No</t>
        </is>
      </c>
      <c r="CF30" s="158" t="n"/>
      <c r="CG30" s="158" t="n"/>
      <c r="CH30" s="158" t="n"/>
      <c r="CI30" s="158" t="n"/>
    </row>
    <row r="31" ht="64" customHeight="1">
      <c r="A31" s="109" t="inlineStr">
        <is>
          <t>IRISDT0006</t>
        </is>
      </c>
      <c r="B31" s="111" t="inlineStr">
        <is>
          <t>Sanghamitra Saxena</t>
        </is>
      </c>
      <c r="C31" s="111" t="inlineStr">
        <is>
          <t>Technology</t>
        </is>
      </c>
      <c r="D31" s="111" t="inlineStr">
        <is>
          <t>Solution Architect</t>
        </is>
      </c>
      <c r="E31" s="111" t="inlineStr">
        <is>
          <t>Solution Architect</t>
        </is>
      </c>
      <c r="F31" s="114" t="inlineStr">
        <is>
          <t>L3 – Professional / Associate</t>
        </is>
      </c>
      <c r="G31" s="114" t="inlineStr">
        <is>
          <t>C1</t>
        </is>
      </c>
      <c r="H31" s="141" t="inlineStr">
        <is>
          <t>▲ Up</t>
        </is>
      </c>
      <c r="I31" s="111" t="inlineStr">
        <is>
          <t>Engineering &amp; Architecture</t>
        </is>
      </c>
      <c r="J31" s="111" t="inlineStr">
        <is>
          <t>Solution &amp; Technical Architecture</t>
        </is>
      </c>
      <c r="K31" s="145" t="inlineStr">
        <is>
          <t>• Survey response or KRAs describing the work · nothing on file — Employee + manager</t>
        </is>
      </c>
      <c r="L31" s="111" t="n">
        <v>0</v>
      </c>
      <c r="M31" s="142" t="inlineStr">
        <is>
          <t>P6 / M5</t>
        </is>
      </c>
      <c r="N31" s="115" t="inlineStr">
        <is>
          <t>Principal / Director</t>
        </is>
      </c>
      <c r="O31" s="115" t="inlineStr">
        <is>
          <t>5–6</t>
        </is>
      </c>
      <c r="P31" s="115" t="inlineStr">
        <is>
          <t>10–14 yrs</t>
        </is>
      </c>
      <c r="Q31" s="115" t="inlineStr">
        <is>
          <t>12–16 · 12–18</t>
        </is>
      </c>
      <c r="R31" s="115" t="inlineStr">
        <is>
          <t>Chief / Enterprise Architect</t>
        </is>
      </c>
      <c r="S31" s="115" t="inlineStr">
        <is>
          <r>
            <rPr>
              <rFont val="Calibri"/>
              <b val="1"/>
              <sz val="10"/>
            </rPr>
            <t>Nasdaq / AxiomSL:</t>
          </r>
          <r>
            <rPr>
              <rFont val="Calibri"/>
              <sz val="10"/>
            </rPr>
            <t xml:space="preserve"> Principal SE · Salesforce: PMTS · Atlassian: P60 Principal · 10+ yrs · Freshworks: Senior Staff SE · IRIS Vs Competitor Benchmark — engineering managers: Senior EM / Director</t>
          </r>
        </is>
      </c>
      <c r="T31" s="115" t="inlineStr">
        <is>
          <t>SFIA 9 · solution architecture; TOGAF; AWS / Azure architect certifications</t>
        </is>
      </c>
      <c r="U31" s="115" t="inlineStr">
        <is>
          <t>Core 4 · Future 4 · Functional 4 · Leadership 4</t>
        </is>
      </c>
      <c r="V31" s="157" t="n">
        <v>541</v>
      </c>
      <c r="W31" s="158" t="inlineStr">
        <is>
          <t>IRISDT0006</t>
        </is>
      </c>
      <c r="X31" s="158" t="inlineStr">
        <is>
          <t>Employee</t>
        </is>
      </c>
      <c r="Y31" s="158" t="inlineStr">
        <is>
          <t>Active</t>
        </is>
      </c>
      <c r="Z31" s="158" t="inlineStr">
        <is>
          <t>Sanghamitra Saxena</t>
        </is>
      </c>
      <c r="AA31" s="244" t="n">
        <v>45848</v>
      </c>
      <c r="AB31" s="158" t="inlineStr">
        <is>
          <t>Solution Architect</t>
        </is>
      </c>
      <c r="AC31" s="158" t="inlineStr">
        <is>
          <t>M.Tech</t>
        </is>
      </c>
      <c r="AD31" s="158" t="inlineStr">
        <is>
          <t>Shilpa Dhobale</t>
        </is>
      </c>
      <c r="AE31" s="158" t="inlineStr">
        <is>
          <t>N-2</t>
        </is>
      </c>
      <c r="AF31" s="158" t="inlineStr">
        <is>
          <t>Individual Contributor</t>
        </is>
      </c>
      <c r="AG31" s="158" t="inlineStr">
        <is>
          <t>11 years, 4 months, 0 days</t>
        </is>
      </c>
      <c r="AH31" s="158" t="inlineStr">
        <is>
          <t>1 years, 1 months, 15 days</t>
        </is>
      </c>
      <c r="AI31" s="158" t="inlineStr">
        <is>
          <t>Datatech</t>
        </is>
      </c>
      <c r="AJ31" s="158" t="inlineStr">
        <is>
          <t>Datatech</t>
        </is>
      </c>
      <c r="AK31" s="158" t="inlineStr">
        <is>
          <t>Technology</t>
        </is>
      </c>
      <c r="AL31" s="158" t="inlineStr">
        <is>
          <t>Development</t>
        </is>
      </c>
      <c r="AM31" s="158" t="inlineStr">
        <is>
          <t>Yes</t>
        </is>
      </c>
      <c r="AN31" s="158" t="inlineStr">
        <is>
          <t>Product/Project</t>
        </is>
      </c>
      <c r="AO31" s="158" t="inlineStr">
        <is>
          <t>Python</t>
        </is>
      </c>
      <c r="AP31" s="158" t="inlineStr">
        <is>
          <t>Technical - Developer</t>
        </is>
      </c>
      <c r="AQ31" s="158" t="n">
        <v>0</v>
      </c>
      <c r="AR31" s="158" t="inlineStr">
        <is>
          <t>Excluded</t>
        </is>
      </c>
      <c r="AS31" s="158" t="inlineStr">
        <is>
          <t>IRIS2403</t>
        </is>
      </c>
      <c r="AT31" s="158" t="inlineStr">
        <is>
          <t>Employee</t>
        </is>
      </c>
      <c r="AU31" s="158" t="inlineStr">
        <is>
          <t>Active</t>
        </is>
      </c>
      <c r="AV31" s="158" t="inlineStr">
        <is>
          <t>Sanghamitra Saxena</t>
        </is>
      </c>
      <c r="AW31" s="159" t="n">
        <v>45848</v>
      </c>
      <c r="AX31" s="158" t="inlineStr">
        <is>
          <t>Solution Architect</t>
        </is>
      </c>
      <c r="AY31" s="158" t="inlineStr">
        <is>
          <t>Engineering &amp; Architecture</t>
        </is>
      </c>
      <c r="AZ31" s="158" t="inlineStr">
        <is>
          <t>Solution / Software Architecture</t>
        </is>
      </c>
      <c r="BA31" s="158" t="inlineStr">
        <is>
          <t>Solution Architect</t>
        </is>
      </c>
      <c r="BB31" s="158" t="inlineStr">
        <is>
          <t>L3 – Professional / Associate</t>
        </is>
      </c>
      <c r="BC31" s="158" t="inlineStr">
        <is>
          <t>M.Tech</t>
        </is>
      </c>
      <c r="BD31" s="158" t="inlineStr">
        <is>
          <t>Shilpa Dhobale</t>
        </is>
      </c>
      <c r="BE31" s="158" t="inlineStr">
        <is>
          <t>N-2</t>
        </is>
      </c>
      <c r="BF31" s="158" t="inlineStr">
        <is>
          <t>Individual Contributor</t>
        </is>
      </c>
      <c r="BG31" s="158" t="inlineStr">
        <is>
          <t>11 years, 4 months, 0 days</t>
        </is>
      </c>
      <c r="BH31" s="158" t="inlineStr">
        <is>
          <t>0 years, 11 months, 10 days</t>
        </is>
      </c>
      <c r="BI31" s="158" t="inlineStr">
        <is>
          <t>12 years, 3 months, 10 days</t>
        </is>
      </c>
      <c r="BJ31" s="158" t="n">
        <v>0.0136986301369863</v>
      </c>
      <c r="BK31" s="158" t="inlineStr">
        <is>
          <t>Datatech</t>
        </is>
      </c>
      <c r="BL31" s="158" t="inlineStr">
        <is>
          <t>Datatech</t>
        </is>
      </c>
      <c r="BM31" s="158" t="inlineStr">
        <is>
          <t>Technology</t>
        </is>
      </c>
      <c r="BN31" s="158" t="inlineStr">
        <is>
          <t>Development</t>
        </is>
      </c>
      <c r="BO31" s="158" t="inlineStr">
        <is>
          <t>Yes</t>
        </is>
      </c>
      <c r="BP31" s="158" t="inlineStr">
        <is>
          <t>Product/Project</t>
        </is>
      </c>
      <c r="BQ31" s="158" t="inlineStr">
        <is>
          <t>Python</t>
        </is>
      </c>
      <c r="BR31" s="158" t="inlineStr">
        <is>
          <t>Technical - Developer</t>
        </is>
      </c>
      <c r="BS31" s="158" t="inlineStr">
        <is>
          <t>Hyderabad</t>
        </is>
      </c>
      <c r="BT31" s="158" t="n"/>
      <c r="BU31" s="158" t="n"/>
      <c r="BV31" s="158" t="n"/>
      <c r="BW31" s="158" t="n">
        <v>3</v>
      </c>
      <c r="BX31" s="158" t="n"/>
      <c r="BY31" s="158" t="inlineStr">
        <is>
          <t>Solution Architect</t>
        </is>
      </c>
      <c r="BZ31" s="158" t="inlineStr">
        <is>
          <t>No</t>
        </is>
      </c>
      <c r="CA31" s="158" t="n">
        <v>3</v>
      </c>
      <c r="CB31" s="158" t="n">
        <v>3</v>
      </c>
      <c r="CC31" s="158" t="inlineStr">
        <is>
          <t>Future Leader</t>
        </is>
      </c>
      <c r="CD31" s="158" t="inlineStr">
        <is>
          <t>No</t>
        </is>
      </c>
      <c r="CE31" s="158" t="inlineStr">
        <is>
          <t>No</t>
        </is>
      </c>
      <c r="CF31" s="158" t="inlineStr">
        <is>
          <t>Yes</t>
        </is>
      </c>
      <c r="CG31" s="158" t="n"/>
      <c r="CH31" s="158" t="n"/>
      <c r="CI31" s="158" t="inlineStr">
        <is>
          <t>All</t>
        </is>
      </c>
    </row>
    <row r="32" ht="64" customHeight="1">
      <c r="A32" s="109" t="inlineStr">
        <is>
          <t>IRISDTC002</t>
        </is>
      </c>
      <c r="B32" s="111" t="inlineStr">
        <is>
          <t>Akshay Shetty</t>
        </is>
      </c>
      <c r="C32" s="111" t="inlineStr">
        <is>
          <t>Technology</t>
        </is>
      </c>
      <c r="D32" s="114" t="inlineStr">
        <is>
          <t>Consultant -Lead Developer</t>
        </is>
      </c>
      <c r="E32" s="114" t="inlineStr">
        <is>
          <t>Senior Technical Specialist – POD Lead</t>
        </is>
      </c>
      <c r="F32" s="114" t="inlineStr">
        <is>
          <t>L5 – Lead · IC</t>
        </is>
      </c>
      <c r="G32" s="114" t="inlineStr">
        <is>
          <t>B2</t>
        </is>
      </c>
      <c r="H32" s="139" t="inlineStr">
        <is>
          <t>▼ Down · protected</t>
        </is>
      </c>
      <c r="I32" s="111" t="inlineStr">
        <is>
          <t>Engineering &amp; Development</t>
        </is>
      </c>
      <c r="J32" s="111" t="inlineStr">
        <is>
          <t>Backend Development</t>
        </is>
      </c>
      <c r="K32" s="111" t="inlineStr"/>
      <c r="L32" s="111" t="n">
        <v>0</v>
      </c>
      <c r="M32" s="142" t="inlineStr">
        <is>
          <t>P4 / M3</t>
        </is>
      </c>
      <c r="N32" s="115" t="inlineStr">
        <is>
          <t>Senior / Manager</t>
        </is>
      </c>
      <c r="O32" s="115" t="inlineStr">
        <is>
          <t>4–5</t>
        </is>
      </c>
      <c r="P32" s="115" t="inlineStr">
        <is>
          <t>6–9 yrs</t>
        </is>
      </c>
      <c r="Q32" s="115" t="inlineStr">
        <is>
          <t>7–10 · 6–11</t>
        </is>
      </c>
      <c r="R32" s="115" t="inlineStr">
        <is>
          <t>Lead / Staff Engineer</t>
        </is>
      </c>
      <c r="S32" s="115" t="inlineStr">
        <is>
          <r>
            <rPr>
              <rFont val="Calibri"/>
              <b val="1"/>
              <sz val="10"/>
            </rPr>
            <t>Workiva:</t>
          </r>
          <r>
            <rPr>
              <rFont val="Calibri"/>
              <sz val="10"/>
            </rPr>
            <t xml:space="preserve"> Senior SE · Broadridge India: Lead SE · Nasdaq / AxiomSL: Senior SE · Salesforce: SMTS · Atlassian: P50 Senior · 6–12 yrs · Freshworks: Lead SE</t>
          </r>
        </is>
      </c>
      <c r="T32" s="115" t="inlineStr">
        <is>
          <t>SFIA 9 · software development, programming; OWASP secure coding; cloud vendor certifications</t>
        </is>
      </c>
      <c r="U32" s="115" t="inlineStr">
        <is>
          <t>Core 3 · Future 3 · Functional 4 · Leadership 3</t>
        </is>
      </c>
      <c r="V32" s="157" t="n">
        <v>547</v>
      </c>
      <c r="W32" s="158" t="inlineStr">
        <is>
          <t>IRISDTC002</t>
        </is>
      </c>
      <c r="X32" s="158" t="inlineStr">
        <is>
          <t>On Contract</t>
        </is>
      </c>
      <c r="Y32" s="158" t="inlineStr">
        <is>
          <t>Active</t>
        </is>
      </c>
      <c r="Z32" s="158" t="inlineStr">
        <is>
          <t>Akshay Shetty</t>
        </is>
      </c>
      <c r="AA32" s="244" t="n">
        <v>45974</v>
      </c>
      <c r="AB32" s="158" t="inlineStr">
        <is>
          <t>Consultant -Lead Developer</t>
        </is>
      </c>
      <c r="AC32" s="158" t="inlineStr">
        <is>
          <t>M.Sc</t>
        </is>
      </c>
      <c r="AD32" s="158" t="inlineStr">
        <is>
          <t>Shilpa Dhobale</t>
        </is>
      </c>
      <c r="AE32" s="158" t="inlineStr">
        <is>
          <t>N-2</t>
        </is>
      </c>
      <c r="AF32" s="158" t="inlineStr">
        <is>
          <t>Manager</t>
        </is>
      </c>
      <c r="AG32" s="158" t="inlineStr">
        <is>
          <t>9 years, 3 months, 0 days</t>
        </is>
      </c>
      <c r="AH32" s="158" t="inlineStr">
        <is>
          <t>0 years, 9 months, 12 days</t>
        </is>
      </c>
      <c r="AI32" s="158" t="inlineStr">
        <is>
          <t>Datatech</t>
        </is>
      </c>
      <c r="AJ32" s="158" t="inlineStr">
        <is>
          <t>Datatech</t>
        </is>
      </c>
      <c r="AK32" s="158" t="inlineStr">
        <is>
          <t>Technology</t>
        </is>
      </c>
      <c r="AL32" s="158" t="inlineStr">
        <is>
          <t>Development</t>
        </is>
      </c>
      <c r="AM32" s="158" t="inlineStr">
        <is>
          <t>Yes</t>
        </is>
      </c>
      <c r="AN32" s="158" t="inlineStr">
        <is>
          <t>Product/Project</t>
        </is>
      </c>
      <c r="AO32" s="158" t="inlineStr">
        <is>
          <t>Python</t>
        </is>
      </c>
      <c r="AP32" s="158" t="inlineStr">
        <is>
          <t>Technical - Developer</t>
        </is>
      </c>
      <c r="AQ32" s="158" t="n">
        <v>0</v>
      </c>
      <c r="AR32" s="158" t="inlineStr">
        <is>
          <t>Excluded</t>
        </is>
      </c>
      <c r="AS32" s="158" t="inlineStr">
        <is>
          <t>IRISC319</t>
        </is>
      </c>
      <c r="AT32" s="158" t="inlineStr">
        <is>
          <t>On Contract</t>
        </is>
      </c>
      <c r="AU32" s="158" t="inlineStr">
        <is>
          <t>Active</t>
        </is>
      </c>
      <c r="AV32" s="158" t="inlineStr">
        <is>
          <t>Akshay Shetty</t>
        </is>
      </c>
      <c r="AW32" s="159" t="n">
        <v>45974</v>
      </c>
      <c r="AX32" s="158" t="inlineStr">
        <is>
          <t>Consultant -Lead Developer</t>
        </is>
      </c>
      <c r="AY32" s="158" t="inlineStr">
        <is>
          <t>Engineering &amp; Development</t>
        </is>
      </c>
      <c r="AZ32" s="158" t="inlineStr">
        <is>
          <t>Backend Engineering · Python</t>
        </is>
      </c>
      <c r="BA32" s="158" t="inlineStr">
        <is>
          <t>Consultant -Lead Developer</t>
        </is>
      </c>
      <c r="BB32" s="158" t="inlineStr">
        <is>
          <t>L5 – Lead · IC</t>
        </is>
      </c>
      <c r="BC32" s="158" t="inlineStr">
        <is>
          <t>M.Sc</t>
        </is>
      </c>
      <c r="BD32" s="158" t="inlineStr">
        <is>
          <t>Shilpa Dhobale</t>
        </is>
      </c>
      <c r="BE32" s="158" t="inlineStr">
        <is>
          <t>N-2</t>
        </is>
      </c>
      <c r="BF32" s="158" t="inlineStr">
        <is>
          <t>Manager</t>
        </is>
      </c>
      <c r="BG32" s="158" t="inlineStr">
        <is>
          <t>9 years, 3 months, 0 days</t>
        </is>
      </c>
      <c r="BH32" s="158" t="inlineStr">
        <is>
          <t>0 years, 7 months, 7 days</t>
        </is>
      </c>
      <c r="BI32" s="158" t="inlineStr">
        <is>
          <t>9 years, 10 months, 7 days</t>
        </is>
      </c>
      <c r="BJ32" s="158" t="n">
        <v>0.602511415525114</v>
      </c>
      <c r="BK32" s="158" t="inlineStr">
        <is>
          <t>Datatech</t>
        </is>
      </c>
      <c r="BL32" s="158" t="inlineStr">
        <is>
          <t>Datatech</t>
        </is>
      </c>
      <c r="BM32" s="158" t="inlineStr">
        <is>
          <t>Technology</t>
        </is>
      </c>
      <c r="BN32" s="158" t="inlineStr">
        <is>
          <t>Development</t>
        </is>
      </c>
      <c r="BO32" s="158" t="inlineStr">
        <is>
          <t>Yes</t>
        </is>
      </c>
      <c r="BP32" s="158" t="inlineStr">
        <is>
          <t>Product/Project</t>
        </is>
      </c>
      <c r="BQ32" s="158" t="inlineStr">
        <is>
          <t>Python</t>
        </is>
      </c>
      <c r="BR32" s="158" t="inlineStr">
        <is>
          <t>Technical - Developer</t>
        </is>
      </c>
      <c r="BS32" s="158" t="inlineStr">
        <is>
          <t>Turbhe + Hybrid</t>
        </is>
      </c>
      <c r="BT32" s="158" t="n"/>
      <c r="BU32" s="158"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BV32" s="158"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BW32" s="158" t="n">
        <v>2</v>
      </c>
      <c r="BX32" s="158" t="n"/>
      <c r="BY32" s="158" t="inlineStr">
        <is>
          <t>Consultant -Lead Developer</t>
        </is>
      </c>
      <c r="BZ32" s="158" t="inlineStr">
        <is>
          <t>No</t>
        </is>
      </c>
      <c r="CA32" s="158" t="n">
        <v>2</v>
      </c>
      <c r="CB32" s="158" t="inlineStr">
        <is>
          <t>Low</t>
        </is>
      </c>
      <c r="CC32" s="158" t="inlineStr">
        <is>
          <t>Performance Risk</t>
        </is>
      </c>
      <c r="CD32" s="158" t="inlineStr">
        <is>
          <t>No</t>
        </is>
      </c>
      <c r="CE32" s="158" t="inlineStr">
        <is>
          <t>No</t>
        </is>
      </c>
      <c r="CF32" s="158" t="inlineStr">
        <is>
          <t>No</t>
        </is>
      </c>
      <c r="CG32" s="158" t="inlineStr">
        <is>
          <t>Optimal use of AI
System Design Thinking
Flutter
Product Knowledge</t>
        </is>
      </c>
      <c r="CH32" s="158" t="n"/>
      <c r="CI32" s="158" t="inlineStr">
        <is>
          <t>Peridot App + backend</t>
        </is>
      </c>
    </row>
    <row r="33" ht="64" customHeight="1">
      <c r="A33" s="109" t="inlineStr">
        <is>
          <t>IRISDT0020</t>
        </is>
      </c>
      <c r="B33" s="111" t="inlineStr">
        <is>
          <t>Utkarsh Sagar Bafana</t>
        </is>
      </c>
      <c r="C33" s="111" t="inlineStr">
        <is>
          <t>Technology</t>
        </is>
      </c>
      <c r="D33" s="114" t="inlineStr">
        <is>
          <t>UX Designer</t>
        </is>
      </c>
      <c r="E33" s="114" t="inlineStr">
        <is>
          <t>Senior Product Designer</t>
        </is>
      </c>
      <c r="F33" s="114" t="inlineStr">
        <is>
          <t>Not in current mapping files</t>
        </is>
      </c>
      <c r="G33" s="114" t="inlineStr">
        <is>
          <t>A3</t>
        </is>
      </c>
      <c r="H33" s="143" t="inlineStr">
        <is>
          <t>● Newly mapped</t>
        </is>
      </c>
      <c r="I33" s="111" t="inlineStr">
        <is>
          <t>Design &amp; Creative</t>
        </is>
      </c>
      <c r="J33" s="111" t="inlineStr">
        <is>
          <t>UX / UI Design</t>
        </is>
      </c>
      <c r="K33" s="111" t="inlineStr"/>
      <c r="L33" s="111" t="n">
        <v>20</v>
      </c>
      <c r="M33" s="142" t="inlineStr">
        <is>
          <t>P2</t>
        </is>
      </c>
      <c r="N33" s="115" t="inlineStr">
        <is>
          <t>Developing</t>
        </is>
      </c>
      <c r="O33" s="115" t="inlineStr">
        <is>
          <t>3 Apply</t>
        </is>
      </c>
      <c r="P33" s="115" t="inlineStr">
        <is>
          <t>2–4 yrs</t>
        </is>
      </c>
      <c r="Q33" s="115" t="inlineStr">
        <is>
          <t>3–5 · 2–5</t>
        </is>
      </c>
      <c r="R33" s="115" t="inlineStr">
        <is>
          <t>Designer</t>
        </is>
      </c>
      <c r="S33" s="115" t="inlineStr">
        <is>
          <t>IRIS Vs Competitor Benchmark — UX / design ladder: Designer</t>
        </is>
      </c>
      <c r="T33" s="115" t="inlineStr">
        <is>
          <t>UX career ladder Junior → Designer → Senior → Lead → Principal; WCAG accessibility</t>
        </is>
      </c>
      <c r="U33" s="115" t="inlineStr">
        <is>
          <t>Core 2 · Future 2 · Functional 3 · Leadership not scored</t>
        </is>
      </c>
      <c r="V33" s="157" t="n">
        <v>558</v>
      </c>
      <c r="W33" s="158" t="inlineStr">
        <is>
          <t>IRISDT0020</t>
        </is>
      </c>
      <c r="X33" s="158" t="inlineStr">
        <is>
          <t>Employee</t>
        </is>
      </c>
      <c r="Y33" s="158" t="inlineStr">
        <is>
          <t>Active</t>
        </is>
      </c>
      <c r="Z33" s="158" t="inlineStr">
        <is>
          <t>Utkarsh Sagar Bafana</t>
        </is>
      </c>
      <c r="AA33" s="244" t="n">
        <v>46209</v>
      </c>
      <c r="AB33" s="158" t="inlineStr">
        <is>
          <t>UX Designer</t>
        </is>
      </c>
      <c r="AC33" s="158" t="inlineStr">
        <is>
          <t>Bachelors of Vocational Studies</t>
        </is>
      </c>
      <c r="AD33" s="158" t="inlineStr">
        <is>
          <t>Nilesh Majumdar</t>
        </is>
      </c>
      <c r="AE33" s="158" t="inlineStr">
        <is>
          <t>N-3</t>
        </is>
      </c>
      <c r="AF33" s="158" t="inlineStr">
        <is>
          <t>Individual Contributor</t>
        </is>
      </c>
      <c r="AG33" s="158" t="inlineStr">
        <is>
          <t>4 years, 5 months, 4 days</t>
        </is>
      </c>
      <c r="AH33" s="158" t="inlineStr">
        <is>
          <t>0 years, 1 months, 19 days</t>
        </is>
      </c>
      <c r="AI33" s="158" t="inlineStr">
        <is>
          <t>Datatech</t>
        </is>
      </c>
      <c r="AJ33" s="158" t="inlineStr">
        <is>
          <t>Datatech</t>
        </is>
      </c>
      <c r="AK33" s="158" t="inlineStr">
        <is>
          <t>Technology</t>
        </is>
      </c>
      <c r="AL33" s="158" t="inlineStr">
        <is>
          <t>Development</t>
        </is>
      </c>
      <c r="AM33" s="158" t="inlineStr">
        <is>
          <t>Yes</t>
        </is>
      </c>
      <c r="AN33" s="158" t="inlineStr">
        <is>
          <t>Product/Project</t>
        </is>
      </c>
      <c r="AO33" s="158" t="inlineStr">
        <is>
          <t>UX Designer</t>
        </is>
      </c>
      <c r="AP33" s="158" t="inlineStr">
        <is>
          <t>Technical - Developer</t>
        </is>
      </c>
      <c r="AQ33" s="158" t="n">
        <v>20</v>
      </c>
      <c r="AR33" s="158" t="inlineStr">
        <is>
          <t>Covered</t>
        </is>
      </c>
      <c r="AS33" s="158" t="n"/>
      <c r="AT33" s="158" t="n"/>
      <c r="AU33" s="158" t="n"/>
      <c r="AV33" s="158" t="n"/>
      <c r="AW33" s="158" t="n"/>
      <c r="AX33" s="158" t="n"/>
      <c r="AY33" s="158" t="n"/>
      <c r="AZ33" s="158" t="n"/>
      <c r="BA33" s="158" t="n"/>
      <c r="BB33" s="158" t="n"/>
      <c r="BC33" s="158" t="n"/>
      <c r="BD33" s="158" t="n"/>
      <c r="BE33" s="158" t="n"/>
      <c r="BF33" s="158" t="n"/>
      <c r="BG33" s="158" t="n"/>
      <c r="BH33" s="158" t="n"/>
      <c r="BI33" s="158" t="n"/>
      <c r="BJ33" s="158" t="n"/>
      <c r="BK33" s="158" t="n"/>
      <c r="BL33" s="158" t="n"/>
      <c r="BM33" s="158" t="n"/>
      <c r="BN33" s="158" t="n"/>
      <c r="BO33" s="158" t="n"/>
      <c r="BP33" s="158" t="n"/>
      <c r="BQ33" s="158" t="n"/>
      <c r="BR33" s="158" t="n"/>
      <c r="BS33" s="158" t="n"/>
      <c r="BT33" s="158" t="n"/>
      <c r="BU33" s="158" t="n"/>
      <c r="BV33" s="158" t="n"/>
      <c r="BW33" s="158" t="n"/>
      <c r="BX33" s="158" t="n"/>
      <c r="BY33" s="158" t="n"/>
      <c r="BZ33" s="158" t="n"/>
      <c r="CA33" s="158" t="n"/>
      <c r="CB33" s="158" t="n"/>
      <c r="CC33" s="158" t="n"/>
      <c r="CD33" s="158" t="n"/>
      <c r="CE33" s="158" t="n"/>
      <c r="CF33" s="158" t="n"/>
      <c r="CG33" s="158" t="n"/>
      <c r="CH33" s="158" t="n"/>
      <c r="CI33" s="158" t="n"/>
    </row>
    <row r="34" ht="64" customHeight="1">
      <c r="A34" s="109" t="inlineStr">
        <is>
          <t>IRISDT0002</t>
        </is>
      </c>
      <c r="B34" s="111" t="inlineStr">
        <is>
          <t>Niraj Santosh Patil</t>
        </is>
      </c>
      <c r="C34" s="111" t="inlineStr">
        <is>
          <t>Technology</t>
        </is>
      </c>
      <c r="D34" s="114" t="inlineStr">
        <is>
          <t>Junior Software Engineer</t>
        </is>
      </c>
      <c r="E34" s="114" t="inlineStr">
        <is>
          <t>Senior Software Engineer</t>
        </is>
      </c>
      <c r="F34" s="114" t="inlineStr">
        <is>
          <t>L2 – Trainee</t>
        </is>
      </c>
      <c r="G34" s="114" t="inlineStr">
        <is>
          <t>A3</t>
        </is>
      </c>
      <c r="H34" s="141" t="inlineStr">
        <is>
          <t>▲ Up</t>
        </is>
      </c>
      <c r="I34" s="111" t="inlineStr">
        <is>
          <t>Engineering &amp; Development</t>
        </is>
      </c>
      <c r="J34" s="111" t="inlineStr">
        <is>
          <t>Backend Development</t>
        </is>
      </c>
      <c r="K34" s="111" t="inlineStr"/>
      <c r="L34" s="111" t="n">
        <v>20</v>
      </c>
      <c r="M34" s="142" t="inlineStr">
        <is>
          <t>P2</t>
        </is>
      </c>
      <c r="N34" s="115" t="inlineStr">
        <is>
          <t>Developing</t>
        </is>
      </c>
      <c r="O34" s="115" t="inlineStr">
        <is>
          <t>3 Apply</t>
        </is>
      </c>
      <c r="P34" s="115" t="inlineStr">
        <is>
          <t>2–4 yrs</t>
        </is>
      </c>
      <c r="Q34" s="115" t="inlineStr">
        <is>
          <t>3–5 · 2–5</t>
        </is>
      </c>
      <c r="R34" s="115" t="inlineStr">
        <is>
          <t>Software Engineer</t>
        </is>
      </c>
      <c r="S34" s="115" t="inlineStr">
        <is>
          <r>
            <rPr>
              <rFont val="Calibri"/>
              <b val="1"/>
              <sz val="10"/>
            </rPr>
            <t>Workiva:</t>
          </r>
          <r>
            <rPr>
              <rFont val="Calibri"/>
              <sz val="10"/>
            </rPr>
            <t xml:space="preserve"> SE · Broadridge India: SE · Nasdaq / AxiomSL: SE · Salesforce: MTS · Atlassian: P40 · 3–7 yrs · Freshworks: Senior SE</t>
          </r>
        </is>
      </c>
      <c r="T34" s="115" t="inlineStr">
        <is>
          <t>SFIA 9 · software development, programming; OWASP secure coding; cloud vendor certifications</t>
        </is>
      </c>
      <c r="U34" s="115" t="inlineStr">
        <is>
          <t>Core 2 · Future 2 · Functional 3 · Leadership not scored</t>
        </is>
      </c>
      <c r="V34" s="157" t="n">
        <v>537</v>
      </c>
      <c r="W34" s="158" t="inlineStr">
        <is>
          <t>IRISDT0002</t>
        </is>
      </c>
      <c r="X34" s="158" t="inlineStr">
        <is>
          <t>Employee</t>
        </is>
      </c>
      <c r="Y34" s="158" t="inlineStr">
        <is>
          <t>Active</t>
        </is>
      </c>
      <c r="Z34" s="158" t="inlineStr">
        <is>
          <t>Niraj Santosh Patil</t>
        </is>
      </c>
      <c r="AA34" s="244" t="n">
        <v>45446</v>
      </c>
      <c r="AB34" s="158" t="inlineStr">
        <is>
          <t>Junior Software Engineer</t>
        </is>
      </c>
      <c r="AC34" s="158" t="inlineStr">
        <is>
          <t>B.Tech</t>
        </is>
      </c>
      <c r="AD34" s="158" t="inlineStr">
        <is>
          <t>Akshay Shetty</t>
        </is>
      </c>
      <c r="AE34" s="158" t="inlineStr">
        <is>
          <t>N-3</t>
        </is>
      </c>
      <c r="AF34" s="158" t="inlineStr">
        <is>
          <t>Individual Contributor</t>
        </is>
      </c>
      <c r="AG34" s="158" t="inlineStr">
        <is>
          <t>0 years, 0 months, 0 days</t>
        </is>
      </c>
      <c r="AH34" s="158" t="inlineStr">
        <is>
          <t>2 years, 2 months, 22 days</t>
        </is>
      </c>
      <c r="AI34" s="158" t="inlineStr">
        <is>
          <t>Datatech</t>
        </is>
      </c>
      <c r="AJ34" s="158" t="inlineStr">
        <is>
          <t>Datatech</t>
        </is>
      </c>
      <c r="AK34" s="158" t="inlineStr">
        <is>
          <t>Technology</t>
        </is>
      </c>
      <c r="AL34" s="158" t="inlineStr">
        <is>
          <t>Development</t>
        </is>
      </c>
      <c r="AM34" s="158" t="inlineStr">
        <is>
          <t>Yes</t>
        </is>
      </c>
      <c r="AN34" s="158" t="inlineStr">
        <is>
          <t>Product/Project</t>
        </is>
      </c>
      <c r="AO34" s="158" t="inlineStr">
        <is>
          <t>Java</t>
        </is>
      </c>
      <c r="AP34" s="158" t="inlineStr">
        <is>
          <t>Technical - Developer</t>
        </is>
      </c>
      <c r="AQ34" s="158" t="n">
        <v>20</v>
      </c>
      <c r="AR34" s="158" t="inlineStr">
        <is>
          <t>Covered</t>
        </is>
      </c>
      <c r="AS34" s="158" t="inlineStr">
        <is>
          <t>IRIS2266</t>
        </is>
      </c>
      <c r="AT34" s="158" t="inlineStr">
        <is>
          <t>Employee</t>
        </is>
      </c>
      <c r="AU34" s="158" t="inlineStr">
        <is>
          <t>Active</t>
        </is>
      </c>
      <c r="AV34" s="158" t="inlineStr">
        <is>
          <t>Niraj Santosh Patil</t>
        </is>
      </c>
      <c r="AW34" s="159" t="n">
        <v>45446</v>
      </c>
      <c r="AX34" s="158" t="inlineStr">
        <is>
          <t>Trainee Software Engineer</t>
        </is>
      </c>
      <c r="AY34" s="158" t="inlineStr">
        <is>
          <t>Engineering &amp; Development</t>
        </is>
      </c>
      <c r="AZ34" s="158" t="inlineStr">
        <is>
          <t>Backend Engineering · Java</t>
        </is>
      </c>
      <c r="BA34" s="158" t="inlineStr">
        <is>
          <t>Trainee Software Engineer</t>
        </is>
      </c>
      <c r="BB34" s="158" t="inlineStr">
        <is>
          <t>L2 – Trainee</t>
        </is>
      </c>
      <c r="BC34" s="158" t="inlineStr">
        <is>
          <t>B.Tech</t>
        </is>
      </c>
      <c r="BD34" s="158" t="inlineStr">
        <is>
          <t>Akshay Shetty</t>
        </is>
      </c>
      <c r="BE34" s="158" t="inlineStr">
        <is>
          <t>N-3</t>
        </is>
      </c>
      <c r="BF34" s="158" t="inlineStr">
        <is>
          <t>Individual Contributor</t>
        </is>
      </c>
      <c r="BG34" s="158" t="inlineStr">
        <is>
          <t>0 years, 0 months, 0 days</t>
        </is>
      </c>
      <c r="BH34" s="158" t="inlineStr">
        <is>
          <t>2 years, 0 months, 17 days</t>
        </is>
      </c>
      <c r="BI34" s="158" t="inlineStr">
        <is>
          <t>2 years, 0 months, 17 days</t>
        </is>
      </c>
      <c r="BJ34" s="158" t="n"/>
      <c r="BK34" s="158" t="inlineStr">
        <is>
          <t>Datatech</t>
        </is>
      </c>
      <c r="BL34" s="158" t="inlineStr">
        <is>
          <t>Datatech</t>
        </is>
      </c>
      <c r="BM34" s="158" t="inlineStr">
        <is>
          <t>Technology</t>
        </is>
      </c>
      <c r="BN34" s="158" t="inlineStr">
        <is>
          <t>Development</t>
        </is>
      </c>
      <c r="BO34" s="158" t="inlineStr">
        <is>
          <t>Yes</t>
        </is>
      </c>
      <c r="BP34" s="158" t="inlineStr">
        <is>
          <t>Product/Project</t>
        </is>
      </c>
      <c r="BQ34" s="158" t="inlineStr">
        <is>
          <t>Java</t>
        </is>
      </c>
      <c r="BR34" s="158" t="inlineStr">
        <is>
          <t>Technical - Developer</t>
        </is>
      </c>
      <c r="BS34" s="158" t="inlineStr">
        <is>
          <t>Turbhe</t>
        </is>
      </c>
      <c r="BT34" s="158" t="n"/>
      <c r="BU34" s="158"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V34" s="158"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W34" s="158" t="n">
        <v>2</v>
      </c>
      <c r="BX34" s="158" t="n"/>
      <c r="BY34" s="158" t="inlineStr">
        <is>
          <t>Trainee Software Engineer</t>
        </is>
      </c>
      <c r="BZ34" s="158" t="inlineStr">
        <is>
          <t>No</t>
        </is>
      </c>
      <c r="CA34" s="158" t="n">
        <v>2</v>
      </c>
      <c r="CB34" s="158" t="inlineStr">
        <is>
          <t>Low</t>
        </is>
      </c>
      <c r="CC34" s="158" t="inlineStr">
        <is>
          <t>Performance Risk</t>
        </is>
      </c>
      <c r="CD34" s="158" t="inlineStr">
        <is>
          <t>No</t>
        </is>
      </c>
      <c r="CE34" s="158" t="inlineStr">
        <is>
          <t>No</t>
        </is>
      </c>
      <c r="CF34" s="158" t="inlineStr">
        <is>
          <t>Yes</t>
        </is>
      </c>
      <c r="CG34" s="158" t="inlineStr">
        <is>
          <t>Optimal use of AI
System Design Thinking
Flutter, Django
Product Knowledge</t>
        </is>
      </c>
      <c r="CH34" s="158" t="n"/>
      <c r="CI34" s="158" t="inlineStr">
        <is>
          <t>Peridot App + backend</t>
        </is>
      </c>
    </row>
    <row r="35" ht="64" customHeight="1">
      <c r="A35" s="109" t="inlineStr">
        <is>
          <t>IRISDT0018</t>
        </is>
      </c>
      <c r="B35" s="111" t="inlineStr">
        <is>
          <t>Shivam Dhumal</t>
        </is>
      </c>
      <c r="C35" s="111" t="inlineStr">
        <is>
          <t>Technology</t>
        </is>
      </c>
      <c r="D35" s="114" t="inlineStr">
        <is>
          <t>Software Engineer</t>
        </is>
      </c>
      <c r="E35" s="114" t="inlineStr">
        <is>
          <t>Senior Software Engineer</t>
        </is>
      </c>
      <c r="F35" s="114" t="inlineStr">
        <is>
          <t>L3 – Professional / Associate</t>
        </is>
      </c>
      <c r="G35" s="114" t="inlineStr">
        <is>
          <t>A3</t>
        </is>
      </c>
      <c r="H35" s="141" t="inlineStr">
        <is>
          <t>▲ Up</t>
        </is>
      </c>
      <c r="I35" s="111" t="inlineStr">
        <is>
          <t>Engineering &amp; Development</t>
        </is>
      </c>
      <c r="J35" s="111" t="inlineStr">
        <is>
          <t>Backend Development</t>
        </is>
      </c>
      <c r="K35" s="111" t="inlineStr"/>
      <c r="L35" s="111" t="n">
        <v>20</v>
      </c>
      <c r="M35" s="142" t="inlineStr">
        <is>
          <t>P2</t>
        </is>
      </c>
      <c r="N35" s="115" t="inlineStr">
        <is>
          <t>Developing</t>
        </is>
      </c>
      <c r="O35" s="115" t="inlineStr">
        <is>
          <t>3 Apply</t>
        </is>
      </c>
      <c r="P35" s="115" t="inlineStr">
        <is>
          <t>2–4 yrs</t>
        </is>
      </c>
      <c r="Q35" s="115" t="inlineStr">
        <is>
          <t>3–5 · 2–5</t>
        </is>
      </c>
      <c r="R35" s="115" t="inlineStr">
        <is>
          <t>Software Engineer</t>
        </is>
      </c>
      <c r="S35" s="115" t="inlineStr">
        <is>
          <r>
            <rPr>
              <rFont val="Calibri"/>
              <b val="1"/>
              <sz val="10"/>
            </rPr>
            <t>Workiva:</t>
          </r>
          <r>
            <rPr>
              <rFont val="Calibri"/>
              <sz val="10"/>
            </rPr>
            <t xml:space="preserve"> SE · Broadridge India: SE · Nasdaq / AxiomSL: SE · Salesforce: MTS · Atlassian: P40 · 3–7 yrs · Freshworks: Senior SE</t>
          </r>
        </is>
      </c>
      <c r="T35" s="115" t="inlineStr">
        <is>
          <t>SFIA 9 · software development, programming; OWASP secure coding; cloud vendor certifications</t>
        </is>
      </c>
      <c r="U35" s="115" t="inlineStr">
        <is>
          <t>Core 2 · Future 2 · Functional 3 · Leadership not scored</t>
        </is>
      </c>
      <c r="V35" s="157" t="n">
        <v>553</v>
      </c>
      <c r="W35" s="158" t="inlineStr">
        <is>
          <t>IRISDT0018</t>
        </is>
      </c>
      <c r="X35" s="158" t="inlineStr">
        <is>
          <t>Employee</t>
        </is>
      </c>
      <c r="Y35" s="158" t="inlineStr">
        <is>
          <t>Active</t>
        </is>
      </c>
      <c r="Z35" s="158" t="inlineStr">
        <is>
          <t>Shivam Dhumal</t>
        </is>
      </c>
      <c r="AA35" s="244" t="n">
        <v>46114</v>
      </c>
      <c r="AB35" s="158" t="inlineStr">
        <is>
          <t>Software Engineer</t>
        </is>
      </c>
      <c r="AC35" s="158" t="inlineStr">
        <is>
          <t>B.Tech</t>
        </is>
      </c>
      <c r="AD35" s="158" t="inlineStr">
        <is>
          <t>Shilpa Dhobale</t>
        </is>
      </c>
      <c r="AE35" s="158" t="inlineStr">
        <is>
          <t>N-2</t>
        </is>
      </c>
      <c r="AF35" s="158" t="inlineStr">
        <is>
          <t>Individual Contributor</t>
        </is>
      </c>
      <c r="AG35" s="158" t="inlineStr">
        <is>
          <t>4 years, 1 months, 0 days</t>
        </is>
      </c>
      <c r="AH35" s="158" t="inlineStr">
        <is>
          <t>0 years, 4 months, 23 days</t>
        </is>
      </c>
      <c r="AI35" s="158" t="inlineStr">
        <is>
          <t>Datatech</t>
        </is>
      </c>
      <c r="AJ35" s="158" t="inlineStr">
        <is>
          <t>Datatech</t>
        </is>
      </c>
      <c r="AK35" s="158" t="inlineStr">
        <is>
          <t>Technology</t>
        </is>
      </c>
      <c r="AL35" s="158" t="inlineStr">
        <is>
          <t>Development</t>
        </is>
      </c>
      <c r="AM35" s="158" t="inlineStr">
        <is>
          <t>Yes</t>
        </is>
      </c>
      <c r="AN35" s="158" t="inlineStr">
        <is>
          <t>Product/Project</t>
        </is>
      </c>
      <c r="AO35" s="158" t="inlineStr">
        <is>
          <t>Python</t>
        </is>
      </c>
      <c r="AP35" s="158" t="inlineStr">
        <is>
          <t>Technical - Developer</t>
        </is>
      </c>
      <c r="AQ35" s="158" t="n">
        <v>20</v>
      </c>
      <c r="AR35" s="158" t="inlineStr">
        <is>
          <t>Covered</t>
        </is>
      </c>
      <c r="AS35" s="158" t="inlineStr">
        <is>
          <t>IRIS2503</t>
        </is>
      </c>
      <c r="AT35" s="158" t="inlineStr">
        <is>
          <t>Employee</t>
        </is>
      </c>
      <c r="AU35" s="158" t="inlineStr">
        <is>
          <t>Active</t>
        </is>
      </c>
      <c r="AV35" s="158" t="inlineStr">
        <is>
          <t>Shivam Dhumal</t>
        </is>
      </c>
      <c r="AW35" s="159" t="n">
        <v>46114</v>
      </c>
      <c r="AX35" s="158" t="inlineStr">
        <is>
          <t>Software Engineer</t>
        </is>
      </c>
      <c r="AY35" s="158" t="inlineStr">
        <is>
          <t>Engineering &amp; Development</t>
        </is>
      </c>
      <c r="AZ35" s="158" t="inlineStr">
        <is>
          <t>Backend Engineering · Python</t>
        </is>
      </c>
      <c r="BA35" s="158" t="inlineStr">
        <is>
          <t>Software Engineer</t>
        </is>
      </c>
      <c r="BB35" s="158" t="inlineStr">
        <is>
          <t>L3 – Professional / Associate</t>
        </is>
      </c>
      <c r="BC35" s="158" t="inlineStr">
        <is>
          <t>B.Tech</t>
        </is>
      </c>
      <c r="BD35" s="158" t="inlineStr">
        <is>
          <t>Shilpa Dhobale</t>
        </is>
      </c>
      <c r="BE35" s="158" t="inlineStr">
        <is>
          <t>N-2</t>
        </is>
      </c>
      <c r="BF35" s="158" t="inlineStr">
        <is>
          <t>Individual Contributor</t>
        </is>
      </c>
      <c r="BG35" s="158" t="inlineStr">
        <is>
          <t>4 years, 1 months, 0 days</t>
        </is>
      </c>
      <c r="BH35" s="158" t="inlineStr">
        <is>
          <t>0 years, 2 months, 18 days</t>
        </is>
      </c>
      <c r="BI35" s="158" t="inlineStr">
        <is>
          <t>4 years, 3 months, 18 days</t>
        </is>
      </c>
      <c r="BJ35" s="158" t="n"/>
      <c r="BK35" s="158" t="inlineStr">
        <is>
          <t>Datatech</t>
        </is>
      </c>
      <c r="BL35" s="158" t="inlineStr">
        <is>
          <t>Datatech</t>
        </is>
      </c>
      <c r="BM35" s="158" t="inlineStr">
        <is>
          <t>Technology</t>
        </is>
      </c>
      <c r="BN35" s="158" t="inlineStr">
        <is>
          <t>Development</t>
        </is>
      </c>
      <c r="BO35" s="158" t="inlineStr">
        <is>
          <t>Yes</t>
        </is>
      </c>
      <c r="BP35" s="158" t="inlineStr">
        <is>
          <t>Product/Project</t>
        </is>
      </c>
      <c r="BQ35" s="158" t="inlineStr">
        <is>
          <t>Python</t>
        </is>
      </c>
      <c r="BR35" s="158" t="inlineStr">
        <is>
          <t>Technical - Developer</t>
        </is>
      </c>
      <c r="BS35" s="158" t="inlineStr">
        <is>
          <t>Turbhe</t>
        </is>
      </c>
      <c r="BT35" s="158" t="n"/>
      <c r="BU35" s="158"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V35" s="158"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W35" s="158" t="n">
        <v>3</v>
      </c>
      <c r="BX35" s="158" t="n"/>
      <c r="BY35" s="158" t="inlineStr">
        <is>
          <t>Software Engineer</t>
        </is>
      </c>
      <c r="BZ35" s="158" t="inlineStr">
        <is>
          <t>No</t>
        </is>
      </c>
      <c r="CA35" s="158" t="n">
        <v>3</v>
      </c>
      <c r="CB35" s="158" t="inlineStr">
        <is>
          <t>Medium</t>
        </is>
      </c>
      <c r="CC35" s="158" t="inlineStr">
        <is>
          <t>Emerging Talent</t>
        </is>
      </c>
      <c r="CD35" s="158" t="inlineStr">
        <is>
          <t>No</t>
        </is>
      </c>
      <c r="CE35" s="158" t="inlineStr">
        <is>
          <t>Yes</t>
        </is>
      </c>
      <c r="CF35" s="158" t="inlineStr">
        <is>
          <t>Yes</t>
        </is>
      </c>
      <c r="CG35" s="158" t="inlineStr">
        <is>
          <t>Solution Architecture and System Design</t>
        </is>
      </c>
      <c r="CH35" s="158" t="n"/>
      <c r="CI35" s="158" t="inlineStr">
        <is>
          <t>Peridot Backend</t>
        </is>
      </c>
    </row>
    <row r="36" ht="64" customHeight="1">
      <c r="A36" s="109" t="inlineStr">
        <is>
          <t>IRISDT0004</t>
        </is>
      </c>
      <c r="B36" s="111" t="inlineStr">
        <is>
          <t>Krishnadev Arya</t>
        </is>
      </c>
      <c r="C36" s="111" t="inlineStr">
        <is>
          <t>Technology</t>
        </is>
      </c>
      <c r="D36" s="114" t="inlineStr">
        <is>
          <t>Junior Software Engineer</t>
        </is>
      </c>
      <c r="E36" s="114" t="inlineStr">
        <is>
          <t>Software Engineer</t>
        </is>
      </c>
      <c r="F36" s="111" t="inlineStr">
        <is>
          <t>L3 – Professional / Associate</t>
        </is>
      </c>
      <c r="G36" s="24" t="inlineStr">
        <is>
          <t>A2</t>
        </is>
      </c>
      <c r="H36" s="117" t="inlineStr">
        <is>
          <t>• Same level</t>
        </is>
      </c>
      <c r="I36" s="111" t="inlineStr">
        <is>
          <t>Engineering &amp; Development</t>
        </is>
      </c>
      <c r="J36" s="111" t="inlineStr">
        <is>
          <t>Backend Development</t>
        </is>
      </c>
      <c r="K36" s="111" t="inlineStr"/>
      <c r="L36" s="111" t="n">
        <v>20</v>
      </c>
      <c r="M36" s="142" t="inlineStr">
        <is>
          <t>P1–P2</t>
        </is>
      </c>
      <c r="N36" s="115" t="inlineStr">
        <is>
          <t>Entry / Developing</t>
        </is>
      </c>
      <c r="O36" s="115" t="inlineStr">
        <is>
          <t>2 Assist</t>
        </is>
      </c>
      <c r="P36" s="115" t="inlineStr">
        <is>
          <t>0–2 yrs</t>
        </is>
      </c>
      <c r="Q36" s="115" t="inlineStr">
        <is>
          <t>1–3 · 0–3</t>
        </is>
      </c>
      <c r="R36" s="115" t="inlineStr">
        <is>
          <t>Associate Software Engineer / Software Engineer</t>
        </is>
      </c>
      <c r="S36" s="115" t="inlineStr">
        <is>
          <r>
            <rPr>
              <rFont val="Calibri"/>
              <b val="1"/>
              <sz val="10"/>
            </rPr>
            <t>Workiva:</t>
          </r>
          <r>
            <rPr>
              <rFont val="Calibri"/>
              <sz val="10"/>
            </rPr>
            <t xml:space="preserve"> Associate SE · Broadridge India: SE · Nasdaq / AxiomSL: SE · Salesforce: AMTS · Atlassian: P30 Junior · 0–2 yrs · Freshworks: SE</t>
          </r>
        </is>
      </c>
      <c r="T36" s="115" t="inlineStr">
        <is>
          <t>SFIA 9 · software development, programming; OWASP secure coding; cloud vendor certifications</t>
        </is>
      </c>
      <c r="U36" s="115" t="inlineStr">
        <is>
          <t>Core 2 · Future 2 · Functional 2 · Leadership not scored</t>
        </is>
      </c>
      <c r="V36" s="157" t="n">
        <v>540</v>
      </c>
      <c r="W36" s="158" t="inlineStr">
        <is>
          <t>IRISDT0004</t>
        </is>
      </c>
      <c r="X36" s="158" t="inlineStr">
        <is>
          <t>Employee</t>
        </is>
      </c>
      <c r="Y36" s="158" t="inlineStr">
        <is>
          <t>Active</t>
        </is>
      </c>
      <c r="Z36" s="158" t="inlineStr">
        <is>
          <t>Krishnadev Arya</t>
        </is>
      </c>
      <c r="AA36" s="244" t="n">
        <v>45666</v>
      </c>
      <c r="AB36" s="158" t="inlineStr">
        <is>
          <t>Junior Software Engineer</t>
        </is>
      </c>
      <c r="AC36" s="158" t="inlineStr">
        <is>
          <t>B.E</t>
        </is>
      </c>
      <c r="AD36" s="158" t="inlineStr">
        <is>
          <t>Akshay Shetty</t>
        </is>
      </c>
      <c r="AE36" s="158" t="inlineStr">
        <is>
          <t>N-3</t>
        </is>
      </c>
      <c r="AF36" s="158" t="inlineStr">
        <is>
          <t>Individual Contributor</t>
        </is>
      </c>
      <c r="AG36" s="158" t="inlineStr">
        <is>
          <t>0 years, 0 months, 0 days</t>
        </is>
      </c>
      <c r="AH36" s="158" t="inlineStr">
        <is>
          <t>1 years, 7 months, 16 days</t>
        </is>
      </c>
      <c r="AI36" s="158" t="inlineStr">
        <is>
          <t>Datatech</t>
        </is>
      </c>
      <c r="AJ36" s="158" t="inlineStr">
        <is>
          <t>Datatech</t>
        </is>
      </c>
      <c r="AK36" s="158" t="inlineStr">
        <is>
          <t>Technology</t>
        </is>
      </c>
      <c r="AL36" s="158" t="inlineStr">
        <is>
          <t>Development</t>
        </is>
      </c>
      <c r="AM36" s="158" t="inlineStr">
        <is>
          <t>Yes</t>
        </is>
      </c>
      <c r="AN36" s="158" t="inlineStr">
        <is>
          <t>Product/Project</t>
        </is>
      </c>
      <c r="AO36" s="158" t="inlineStr">
        <is>
          <t>Java</t>
        </is>
      </c>
      <c r="AP36" s="158" t="inlineStr">
        <is>
          <t>Technical - Developer</t>
        </is>
      </c>
      <c r="AQ36" s="158" t="n">
        <v>20</v>
      </c>
      <c r="AR36" s="158" t="inlineStr">
        <is>
          <t>Covered</t>
        </is>
      </c>
      <c r="AS36" s="158" t="inlineStr">
        <is>
          <t>IRIS2332</t>
        </is>
      </c>
      <c r="AT36" s="158" t="inlineStr">
        <is>
          <t>Employee</t>
        </is>
      </c>
      <c r="AU36" s="158" t="inlineStr">
        <is>
          <t>Active</t>
        </is>
      </c>
      <c r="AV36" s="158" t="inlineStr">
        <is>
          <t>Krishnadev Arya</t>
        </is>
      </c>
      <c r="AW36" s="159" t="n">
        <v>45666</v>
      </c>
      <c r="AX36" s="158" t="inlineStr">
        <is>
          <t>Junior Software Engineer</t>
        </is>
      </c>
      <c r="AY36" s="158" t="inlineStr">
        <is>
          <t>Engineering &amp; Development</t>
        </is>
      </c>
      <c r="AZ36" s="158" t="inlineStr">
        <is>
          <t>Backend Engineering · Java</t>
        </is>
      </c>
      <c r="BA36" s="158" t="inlineStr">
        <is>
          <t>Junior Software Engineer</t>
        </is>
      </c>
      <c r="BB36" s="158" t="inlineStr">
        <is>
          <t>L3 – Professional / Associate</t>
        </is>
      </c>
      <c r="BC36" s="158" t="inlineStr">
        <is>
          <t>B.E</t>
        </is>
      </c>
      <c r="BD36" s="158" t="inlineStr">
        <is>
          <t>Akshay Shetty</t>
        </is>
      </c>
      <c r="BE36" s="158" t="inlineStr">
        <is>
          <t>N-3</t>
        </is>
      </c>
      <c r="BF36" s="158" t="inlineStr">
        <is>
          <t>Individual Contributor</t>
        </is>
      </c>
      <c r="BG36" s="158" t="inlineStr">
        <is>
          <t>0 years, 0 months, 0 days</t>
        </is>
      </c>
      <c r="BH36" s="158" t="inlineStr">
        <is>
          <t>1 years, 5 months, 11 days</t>
        </is>
      </c>
      <c r="BI36" s="158" t="inlineStr">
        <is>
          <t>1 years, 5 months, 11 days</t>
        </is>
      </c>
      <c r="BJ36" s="158" t="n"/>
      <c r="BK36" s="158" t="inlineStr">
        <is>
          <t>Datatech</t>
        </is>
      </c>
      <c r="BL36" s="158" t="inlineStr">
        <is>
          <t>Datatech</t>
        </is>
      </c>
      <c r="BM36" s="158" t="inlineStr">
        <is>
          <t>Technology</t>
        </is>
      </c>
      <c r="BN36" s="158" t="inlineStr">
        <is>
          <t>Development</t>
        </is>
      </c>
      <c r="BO36" s="158" t="inlineStr">
        <is>
          <t>Yes</t>
        </is>
      </c>
      <c r="BP36" s="158" t="inlineStr">
        <is>
          <t>Product/Project</t>
        </is>
      </c>
      <c r="BQ36" s="158" t="inlineStr">
        <is>
          <t>Java</t>
        </is>
      </c>
      <c r="BR36" s="158" t="inlineStr">
        <is>
          <t>Technical - Developer</t>
        </is>
      </c>
      <c r="BS36" s="158" t="inlineStr">
        <is>
          <t>Turbhe</t>
        </is>
      </c>
      <c r="BT36" s="158" t="n"/>
      <c r="BU36" s="158"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V36" s="158"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W36" s="158" t="n">
        <v>2</v>
      </c>
      <c r="BX36" s="158" t="n"/>
      <c r="BY36" s="158" t="inlineStr">
        <is>
          <t>Junior Software Engineer</t>
        </is>
      </c>
      <c r="BZ36" s="158" t="inlineStr">
        <is>
          <t>No</t>
        </is>
      </c>
      <c r="CA36" s="158" t="n">
        <v>2</v>
      </c>
      <c r="CB36" s="158" t="inlineStr">
        <is>
          <t>Low</t>
        </is>
      </c>
      <c r="CC36" s="158" t="inlineStr">
        <is>
          <t>Performance Risk</t>
        </is>
      </c>
      <c r="CD36" s="158" t="inlineStr">
        <is>
          <t>No</t>
        </is>
      </c>
      <c r="CE36" s="158" t="inlineStr">
        <is>
          <t>No</t>
        </is>
      </c>
      <c r="CF36" s="158" t="inlineStr">
        <is>
          <t>Yes</t>
        </is>
      </c>
      <c r="CG36" s="158" t="inlineStr">
        <is>
          <t>Optimal use of AI
System Design Thinking
Flutter, Django
Product Knowledge</t>
        </is>
      </c>
      <c r="CH36" s="158" t="n"/>
      <c r="CI36" s="158" t="inlineStr">
        <is>
          <t>Peridot App + backend</t>
        </is>
      </c>
    </row>
    <row r="37" ht="64" customHeight="1">
      <c r="A37" s="109" t="inlineStr">
        <is>
          <t>IRISDTN001</t>
        </is>
      </c>
      <c r="B37" s="111" t="inlineStr">
        <is>
          <t>Riyanka Dey</t>
        </is>
      </c>
      <c r="C37" s="111" t="inlineStr">
        <is>
          <t>Technology</t>
        </is>
      </c>
      <c r="D37" s="114" t="inlineStr">
        <is>
          <t>Intern</t>
        </is>
      </c>
      <c r="E37" s="114" t="inlineStr">
        <is>
          <t>Intern – Product Operations &amp; Research</t>
        </is>
      </c>
      <c r="F37" s="114" t="inlineStr">
        <is>
          <t>Not in current mapping files</t>
        </is>
      </c>
      <c r="G37" s="114" t="inlineStr">
        <is>
          <t>A1</t>
        </is>
      </c>
      <c r="H37" s="143" t="inlineStr">
        <is>
          <t>● Newly mapped</t>
        </is>
      </c>
      <c r="I37" s="111" t="inlineStr">
        <is>
          <t>Product Management</t>
        </is>
      </c>
      <c r="J37" s="111" t="inlineStr">
        <is>
          <t>Product Operations &amp; Research</t>
        </is>
      </c>
      <c r="K37" s="111" t="inlineStr"/>
      <c r="L37" s="111" t="n">
        <v>20</v>
      </c>
      <c r="M37" s="142" t="inlineStr">
        <is>
          <t>Entry / P1 · intern</t>
        </is>
      </c>
      <c r="N37" s="115" t="inlineStr">
        <is>
          <t>Entry</t>
        </is>
      </c>
      <c r="O37" s="115" t="inlineStr">
        <is>
          <t>1 Follow</t>
        </is>
      </c>
      <c r="P37" s="115" t="inlineStr">
        <is>
          <t>0 yrs · fresher / intern</t>
        </is>
      </c>
      <c r="Q37" s="115" t="inlineStr">
        <is>
          <t>—</t>
        </is>
      </c>
      <c r="R37" s="115" t="inlineStr">
        <is>
          <t>Product Analyst</t>
        </is>
      </c>
      <c r="S37" s="115" t="inlineStr">
        <is>
          <t>—</t>
        </is>
      </c>
      <c r="T37" s="115" t="inlineStr">
        <is>
          <t>Pragmatic Institute Framework · 37 activities, 7 categories; AIPMM</t>
        </is>
      </c>
      <c r="U37" s="115" t="inlineStr">
        <is>
          <t>Core 1 · Future 1 · Functional 1 · Leadership not scored</t>
        </is>
      </c>
      <c r="V37" s="157" t="n">
        <v>561</v>
      </c>
      <c r="W37" s="158" t="inlineStr">
        <is>
          <t>IRISDTN001</t>
        </is>
      </c>
      <c r="X37" s="158" t="inlineStr">
        <is>
          <t>Intern</t>
        </is>
      </c>
      <c r="Y37" s="158" t="inlineStr">
        <is>
          <t>Active</t>
        </is>
      </c>
      <c r="Z37" s="158" t="inlineStr">
        <is>
          <t>Riyanka Dey</t>
        </is>
      </c>
      <c r="AA37" s="244" t="n">
        <v>46240</v>
      </c>
      <c r="AB37" s="158" t="inlineStr">
        <is>
          <t>Intern</t>
        </is>
      </c>
      <c r="AC37" s="158" t="inlineStr">
        <is>
          <t>B.E</t>
        </is>
      </c>
      <c r="AD37" s="158" t="inlineStr">
        <is>
          <t>Nilesh Majumdar</t>
        </is>
      </c>
      <c r="AE37" s="158" t="inlineStr">
        <is>
          <t>N-3</t>
        </is>
      </c>
      <c r="AF37" s="158" t="inlineStr">
        <is>
          <t>Individual Contributor</t>
        </is>
      </c>
      <c r="AG37" s="158" t="inlineStr">
        <is>
          <t>0 years, 6 months, 0 days</t>
        </is>
      </c>
      <c r="AH37" s="158" t="inlineStr">
        <is>
          <t>0 years, 0 months, 19 days</t>
        </is>
      </c>
      <c r="AI37" s="158" t="inlineStr">
        <is>
          <t>Datatech</t>
        </is>
      </c>
      <c r="AJ37" s="158" t="inlineStr">
        <is>
          <t>Datatech</t>
        </is>
      </c>
      <c r="AK37" s="158" t="inlineStr">
        <is>
          <t>Technology</t>
        </is>
      </c>
      <c r="AL37" s="158" t="inlineStr">
        <is>
          <t>Development</t>
        </is>
      </c>
      <c r="AM37" s="158" t="n"/>
      <c r="AN37" s="158" t="n"/>
      <c r="AO37" s="158" t="inlineStr">
        <is>
          <t>Data Analyst</t>
        </is>
      </c>
      <c r="AP37" s="158" t="n"/>
      <c r="AQ37" s="158" t="n">
        <v>20</v>
      </c>
      <c r="AR37" s="158" t="inlineStr">
        <is>
          <t>Covered</t>
        </is>
      </c>
      <c r="AS37" s="158" t="n"/>
      <c r="AT37" s="158" t="n"/>
      <c r="AU37" s="158" t="n"/>
      <c r="AV37" s="158" t="n"/>
      <c r="AW37" s="158" t="n"/>
      <c r="AX37" s="158" t="n"/>
      <c r="AY37" s="158" t="n"/>
      <c r="AZ37" s="158" t="n"/>
      <c r="BA37" s="158" t="n"/>
      <c r="BB37" s="158" t="n"/>
      <c r="BC37" s="158" t="n"/>
      <c r="BD37" s="158" t="n"/>
      <c r="BE37" s="158" t="n"/>
      <c r="BF37" s="158" t="n"/>
      <c r="BG37" s="158" t="n"/>
      <c r="BH37" s="158" t="n"/>
      <c r="BI37" s="158" t="n"/>
      <c r="BJ37" s="158" t="n"/>
      <c r="BK37" s="158" t="n"/>
      <c r="BL37" s="158" t="n"/>
      <c r="BM37" s="158" t="n"/>
      <c r="BN37" s="158" t="n"/>
      <c r="BO37" s="158" t="n"/>
      <c r="BP37" s="158" t="n"/>
      <c r="BQ37" s="158" t="n"/>
      <c r="BR37" s="158" t="n"/>
      <c r="BS37" s="158" t="n"/>
      <c r="BT37" s="158" t="n"/>
      <c r="BU37" s="158" t="n"/>
      <c r="BV37" s="158" t="n"/>
      <c r="BW37" s="158" t="n"/>
      <c r="BX37" s="158" t="n"/>
      <c r="BY37" s="158" t="n"/>
      <c r="BZ37" s="158" t="n"/>
      <c r="CA37" s="158" t="n"/>
      <c r="CB37" s="158" t="n"/>
      <c r="CC37" s="158" t="n"/>
      <c r="CD37" s="158" t="n"/>
      <c r="CE37" s="158" t="n"/>
      <c r="CF37" s="158" t="n"/>
      <c r="CG37" s="158" t="n"/>
      <c r="CH37" s="158" t="n"/>
      <c r="CI37" s="158" t="n"/>
    </row>
    <row r="38" ht="64" customHeight="1">
      <c r="A38" s="109" t="inlineStr">
        <is>
          <t>No Emp ID · external consultant</t>
        </is>
      </c>
      <c r="B38" s="111" t="inlineStr">
        <is>
          <t>Sadhan Kumar</t>
        </is>
      </c>
      <c r="C38" s="111" t="inlineStr">
        <is>
          <t>Technology</t>
        </is>
      </c>
      <c r="D38" s="114" t="inlineStr">
        <is>
          <t>Consultant</t>
        </is>
      </c>
      <c r="E38" s="114" t="inlineStr">
        <is>
          <t>Associate Consultant – Software Development</t>
        </is>
      </c>
      <c r="F38" s="111" t="inlineStr">
        <is>
          <t>—</t>
        </is>
      </c>
      <c r="G38" s="43" t="inlineStr">
        <is>
          <t>X1</t>
        </is>
      </c>
      <c r="H38" s="117" t="inlineStr">
        <is>
          <t>• Same level</t>
        </is>
      </c>
      <c r="I38" s="111" t="inlineStr">
        <is>
          <t>Engineering &amp; Development</t>
        </is>
      </c>
      <c r="J38" s="111" t="inlineStr">
        <is>
          <t>Backend Development</t>
        </is>
      </c>
      <c r="K38" s="111" t="inlineStr"/>
      <c r="L38" s="111" t="n">
        <v>0</v>
      </c>
      <c r="M38" s="142" t="inlineStr">
        <is>
          <t>Contractor</t>
        </is>
      </c>
      <c r="N38" s="115" t="inlineStr">
        <is>
          <t>—</t>
        </is>
      </c>
      <c r="O38" s="115" t="inlineStr">
        <is>
          <t>—</t>
        </is>
      </c>
      <c r="P38" s="115" t="inlineStr">
        <is>
          <t>0–5 yrs</t>
        </is>
      </c>
      <c r="Q38" s="115" t="inlineStr">
        <is>
          <t>—</t>
        </is>
      </c>
      <c r="R38" s="115" t="inlineStr">
        <is>
          <t>Contractor · rate card</t>
        </is>
      </c>
      <c r="S38" s="115" t="inlineStr">
        <is>
          <t>—</t>
        </is>
      </c>
      <c r="T38" s="115" t="inlineStr">
        <is>
          <t>SFIA 9 · software development, programming; OWASP secure coding; cloud vendor certifications</t>
        </is>
      </c>
      <c r="U38" s="115" t="inlineStr">
        <is>
          <t>Per statement of work</t>
        </is>
      </c>
      <c r="V38" s="157" t="n">
        <v>584</v>
      </c>
      <c r="W38" s="158" t="n"/>
      <c r="X38" s="158" t="inlineStr">
        <is>
          <t>External Consultant</t>
        </is>
      </c>
      <c r="Y38" s="158" t="inlineStr">
        <is>
          <t>Active</t>
        </is>
      </c>
      <c r="Z38" s="158" t="inlineStr">
        <is>
          <t>Sadhan Kumar</t>
        </is>
      </c>
      <c r="AA38" s="244" t="n">
        <v>46235</v>
      </c>
      <c r="AB38" s="158" t="inlineStr">
        <is>
          <t>Consultant</t>
        </is>
      </c>
      <c r="AC38" s="158" t="n"/>
      <c r="AD38" s="158" t="n"/>
      <c r="AE38" s="158" t="n"/>
      <c r="AF38" s="158" t="inlineStr">
        <is>
          <t>Individual Contributor</t>
        </is>
      </c>
      <c r="AG38" s="158" t="n"/>
      <c r="AH38" s="158" t="n"/>
      <c r="AI38" s="158" t="n"/>
      <c r="AJ38" s="158" t="inlineStr">
        <is>
          <t>Datatech</t>
        </is>
      </c>
      <c r="AK38" s="158" t="inlineStr">
        <is>
          <t>Technology</t>
        </is>
      </c>
      <c r="AL38" s="158" t="inlineStr">
        <is>
          <t>Development</t>
        </is>
      </c>
      <c r="AM38" s="158" t="inlineStr">
        <is>
          <t>Yes</t>
        </is>
      </c>
      <c r="AN38" s="158" t="inlineStr">
        <is>
          <t>Product/Project</t>
        </is>
      </c>
      <c r="AO38" s="158" t="n"/>
      <c r="AP38" s="158" t="inlineStr">
        <is>
          <t>Technical - Developer</t>
        </is>
      </c>
      <c r="AQ38" s="158" t="n">
        <v>0</v>
      </c>
      <c r="AR38" s="158" t="inlineStr">
        <is>
          <t>E-External Consultant</t>
        </is>
      </c>
      <c r="AS38" s="158" t="n"/>
      <c r="AT38" s="158" t="n"/>
      <c r="AU38" s="158" t="n"/>
      <c r="AV38" s="158" t="n"/>
      <c r="AW38" s="158" t="n"/>
      <c r="AX38" s="158" t="n"/>
      <c r="AY38" s="158" t="n"/>
      <c r="AZ38" s="158" t="n"/>
      <c r="BA38" s="158" t="n"/>
      <c r="BB38" s="158" t="n"/>
      <c r="BC38" s="158" t="n"/>
      <c r="BD38" s="158" t="n"/>
      <c r="BE38" s="158" t="n"/>
      <c r="BF38" s="158" t="n"/>
      <c r="BG38" s="158" t="n"/>
      <c r="BH38" s="158" t="n"/>
      <c r="BI38" s="158" t="n"/>
      <c r="BJ38" s="158" t="n"/>
      <c r="BK38" s="158" t="n"/>
      <c r="BL38" s="158" t="n"/>
      <c r="BM38" s="158" t="n"/>
      <c r="BN38" s="158" t="n"/>
      <c r="BO38" s="158" t="n"/>
      <c r="BP38" s="158" t="n"/>
      <c r="BQ38" s="158" t="n"/>
      <c r="BR38" s="158" t="n"/>
      <c r="BS38" s="158" t="n"/>
      <c r="BT38" s="158" t="n"/>
      <c r="BU38" s="158" t="n"/>
      <c r="BV38" s="158" t="n"/>
      <c r="BW38" s="158" t="n"/>
      <c r="BX38" s="158" t="n"/>
      <c r="BY38" s="158" t="n"/>
      <c r="BZ38" s="158" t="n"/>
      <c r="CA38" s="158" t="n"/>
      <c r="CB38" s="158" t="n"/>
      <c r="CC38" s="158" t="n"/>
      <c r="CD38" s="158" t="n"/>
      <c r="CE38" s="158" t="n"/>
      <c r="CF38" s="158" t="n"/>
      <c r="CG38" s="158" t="n"/>
      <c r="CH38" s="158" t="n"/>
      <c r="CI38" s="158" t="n"/>
    </row>
    <row r="39" ht="64" customHeight="1">
      <c r="A39" s="109" t="inlineStr">
        <is>
          <t>No Emp ID · external consultant</t>
        </is>
      </c>
      <c r="B39" s="111" t="inlineStr">
        <is>
          <t>Sohel Yadav</t>
        </is>
      </c>
      <c r="C39" s="111" t="inlineStr">
        <is>
          <t>Technology</t>
        </is>
      </c>
      <c r="D39" s="114" t="inlineStr">
        <is>
          <t>Consultant</t>
        </is>
      </c>
      <c r="E39" s="114" t="inlineStr">
        <is>
          <t>Associate Consultant – Software Development</t>
        </is>
      </c>
      <c r="F39" s="111" t="inlineStr">
        <is>
          <t>—</t>
        </is>
      </c>
      <c r="G39" s="43" t="inlineStr">
        <is>
          <t>X1</t>
        </is>
      </c>
      <c r="H39" s="117" t="inlineStr">
        <is>
          <t>• Same level</t>
        </is>
      </c>
      <c r="I39" s="111" t="inlineStr">
        <is>
          <t>Engineering &amp; Development</t>
        </is>
      </c>
      <c r="J39" s="111" t="inlineStr">
        <is>
          <t>Backend Development</t>
        </is>
      </c>
      <c r="K39" s="111" t="inlineStr"/>
      <c r="L39" s="111" t="n">
        <v>0</v>
      </c>
      <c r="M39" s="142" t="inlineStr">
        <is>
          <t>Contractor</t>
        </is>
      </c>
      <c r="N39" s="115" t="inlineStr">
        <is>
          <t>—</t>
        </is>
      </c>
      <c r="O39" s="115" t="inlineStr">
        <is>
          <t>—</t>
        </is>
      </c>
      <c r="P39" s="115" t="inlineStr">
        <is>
          <t>0–5 yrs</t>
        </is>
      </c>
      <c r="Q39" s="115" t="inlineStr">
        <is>
          <t>—</t>
        </is>
      </c>
      <c r="R39" s="115" t="inlineStr">
        <is>
          <t>Contractor · rate card</t>
        </is>
      </c>
      <c r="S39" s="115" t="inlineStr">
        <is>
          <t>—</t>
        </is>
      </c>
      <c r="T39" s="115" t="inlineStr">
        <is>
          <t>SFIA 9 · software development, programming; OWASP secure coding; cloud vendor certifications</t>
        </is>
      </c>
      <c r="U39" s="115" t="inlineStr">
        <is>
          <t>Per statement of work</t>
        </is>
      </c>
      <c r="V39" s="157" t="n">
        <v>581</v>
      </c>
      <c r="W39" s="158" t="n"/>
      <c r="X39" s="158" t="inlineStr">
        <is>
          <t>External Consultant</t>
        </is>
      </c>
      <c r="Y39" s="158" t="inlineStr">
        <is>
          <t>Active</t>
        </is>
      </c>
      <c r="Z39" s="158" t="inlineStr">
        <is>
          <t>Sohel Yadav</t>
        </is>
      </c>
      <c r="AA39" s="244" t="n">
        <v>46174</v>
      </c>
      <c r="AB39" s="158" t="inlineStr">
        <is>
          <t>Consultant</t>
        </is>
      </c>
      <c r="AC39" s="158" t="n"/>
      <c r="AD39" s="158" t="n"/>
      <c r="AE39" s="158" t="n"/>
      <c r="AF39" s="158" t="inlineStr">
        <is>
          <t>Individual Contributor</t>
        </is>
      </c>
      <c r="AG39" s="158" t="n"/>
      <c r="AH39" s="158" t="n"/>
      <c r="AI39" s="158" t="n"/>
      <c r="AJ39" s="158" t="inlineStr">
        <is>
          <t>Datatech</t>
        </is>
      </c>
      <c r="AK39" s="158" t="inlineStr">
        <is>
          <t>Technology</t>
        </is>
      </c>
      <c r="AL39" s="158" t="inlineStr">
        <is>
          <t>Development</t>
        </is>
      </c>
      <c r="AM39" s="158" t="inlineStr">
        <is>
          <t>Yes</t>
        </is>
      </c>
      <c r="AN39" s="158" t="inlineStr">
        <is>
          <t>Product/Project</t>
        </is>
      </c>
      <c r="AO39" s="158" t="n"/>
      <c r="AP39" s="158" t="inlineStr">
        <is>
          <t>Technical - Developer</t>
        </is>
      </c>
      <c r="AQ39" s="158" t="n">
        <v>0</v>
      </c>
      <c r="AR39" s="158" t="inlineStr">
        <is>
          <t>E-External Consultant</t>
        </is>
      </c>
      <c r="AS39" s="158" t="n"/>
      <c r="AT39" s="158" t="n"/>
      <c r="AU39" s="158" t="n"/>
      <c r="AV39" s="158" t="n"/>
      <c r="AW39" s="158" t="n"/>
      <c r="AX39" s="158" t="n"/>
      <c r="AY39" s="158" t="n"/>
      <c r="AZ39" s="158" t="n"/>
      <c r="BA39" s="158" t="n"/>
      <c r="BB39" s="158" t="n"/>
      <c r="BC39" s="158" t="n"/>
      <c r="BD39" s="158" t="n"/>
      <c r="BE39" s="158" t="n"/>
      <c r="BF39" s="158" t="n"/>
      <c r="BG39" s="158" t="n"/>
      <c r="BH39" s="158" t="n"/>
      <c r="BI39" s="158" t="n"/>
      <c r="BJ39" s="158" t="n"/>
      <c r="BK39" s="158" t="n"/>
      <c r="BL39" s="158" t="n"/>
      <c r="BM39" s="158" t="n"/>
      <c r="BN39" s="158" t="n"/>
      <c r="BO39" s="158" t="n"/>
      <c r="BP39" s="158" t="n"/>
      <c r="BQ39" s="158" t="n"/>
      <c r="BR39" s="158" t="n"/>
      <c r="BS39" s="158" t="n"/>
      <c r="BT39" s="158" t="n"/>
      <c r="BU39" s="158" t="n"/>
      <c r="BV39" s="158" t="n"/>
      <c r="BW39" s="158" t="n"/>
      <c r="BX39" s="158" t="n"/>
      <c r="BY39" s="158" t="n"/>
      <c r="BZ39" s="158" t="n"/>
      <c r="CA39" s="158" t="n"/>
      <c r="CB39" s="158" t="n"/>
      <c r="CC39" s="158" t="n"/>
      <c r="CD39" s="158" t="n"/>
      <c r="CE39" s="158" t="n"/>
      <c r="CF39" s="158" t="n"/>
      <c r="CG39" s="158" t="n"/>
      <c r="CH39" s="158" t="n"/>
      <c r="CI39" s="158" t="n"/>
    </row>
    <row r="40" ht="64" customHeight="1">
      <c r="A40" s="109" t="inlineStr">
        <is>
          <t>No Emp ID · in-house consultant</t>
        </is>
      </c>
      <c r="B40" s="111" t="inlineStr">
        <is>
          <t>Vivek Kumar</t>
        </is>
      </c>
      <c r="C40" s="111" t="inlineStr">
        <is>
          <t>Technology</t>
        </is>
      </c>
      <c r="D40" s="114" t="inlineStr">
        <is>
          <t>Consultant</t>
        </is>
      </c>
      <c r="E40" s="114" t="inlineStr">
        <is>
          <t>Associate Consultant – Software Development</t>
        </is>
      </c>
      <c r="F40" s="111" t="inlineStr">
        <is>
          <t>Not in current mapping files</t>
        </is>
      </c>
      <c r="G40" s="43" t="inlineStr">
        <is>
          <t>X1</t>
        </is>
      </c>
      <c r="H40" s="117" t="inlineStr">
        <is>
          <t>• Same level</t>
        </is>
      </c>
      <c r="I40" s="111" t="inlineStr">
        <is>
          <t>Engineering &amp; Development</t>
        </is>
      </c>
      <c r="J40" s="111" t="inlineStr">
        <is>
          <t>Backend Development</t>
        </is>
      </c>
      <c r="K40" s="111" t="inlineStr"/>
      <c r="L40" s="111" t="n">
        <v>0</v>
      </c>
      <c r="M40" s="142" t="inlineStr">
        <is>
          <t>Contractor</t>
        </is>
      </c>
      <c r="N40" s="115" t="inlineStr">
        <is>
          <t>—</t>
        </is>
      </c>
      <c r="O40" s="115" t="inlineStr">
        <is>
          <t>—</t>
        </is>
      </c>
      <c r="P40" s="115" t="inlineStr">
        <is>
          <t>0–5 yrs</t>
        </is>
      </c>
      <c r="Q40" s="115" t="inlineStr">
        <is>
          <t>—</t>
        </is>
      </c>
      <c r="R40" s="115" t="inlineStr">
        <is>
          <t>Contractor · rate card</t>
        </is>
      </c>
      <c r="S40" s="115" t="inlineStr">
        <is>
          <t>—</t>
        </is>
      </c>
      <c r="T40" s="115" t="inlineStr">
        <is>
          <t>SFIA 9 · software development, programming; OWASP secure coding; cloud vendor certifications</t>
        </is>
      </c>
      <c r="U40" s="115" t="inlineStr">
        <is>
          <t>Per statement of work</t>
        </is>
      </c>
      <c r="V40" s="157" t="n">
        <v>582</v>
      </c>
      <c r="W40" s="158" t="n"/>
      <c r="X40" s="158" t="inlineStr">
        <is>
          <t>In-House Consultant</t>
        </is>
      </c>
      <c r="Y40" s="158" t="inlineStr">
        <is>
          <t>Active</t>
        </is>
      </c>
      <c r="Z40" s="158" t="inlineStr">
        <is>
          <t>Vivek Kumar</t>
        </is>
      </c>
      <c r="AA40" s="244" t="n">
        <v>46174</v>
      </c>
      <c r="AB40" s="158" t="inlineStr">
        <is>
          <t>Consultant</t>
        </is>
      </c>
      <c r="AC40" s="158" t="n"/>
      <c r="AD40" s="158" t="n"/>
      <c r="AE40" s="158" t="n"/>
      <c r="AF40" s="158" t="inlineStr">
        <is>
          <t>Individual Contributor</t>
        </is>
      </c>
      <c r="AG40" s="158" t="n"/>
      <c r="AH40" s="158" t="n"/>
      <c r="AI40" s="158" t="n"/>
      <c r="AJ40" s="158" t="inlineStr">
        <is>
          <t>Datatech</t>
        </is>
      </c>
      <c r="AK40" s="158" t="inlineStr">
        <is>
          <t>Technology</t>
        </is>
      </c>
      <c r="AL40" s="158" t="inlineStr">
        <is>
          <t>Development</t>
        </is>
      </c>
      <c r="AM40" s="158" t="inlineStr">
        <is>
          <t>Yes</t>
        </is>
      </c>
      <c r="AN40" s="158" t="inlineStr">
        <is>
          <t>Product/Project</t>
        </is>
      </c>
      <c r="AO40" s="158" t="n"/>
      <c r="AP40" s="158" t="inlineStr">
        <is>
          <t>Technical - Developer</t>
        </is>
      </c>
      <c r="AQ40" s="158" t="n">
        <v>0</v>
      </c>
      <c r="AR40" s="158" t="inlineStr">
        <is>
          <t>E-External Consultant</t>
        </is>
      </c>
      <c r="AS40" s="158" t="n"/>
      <c r="AT40" s="158" t="n"/>
      <c r="AU40" s="158" t="n"/>
      <c r="AV40" s="158" t="n"/>
      <c r="AW40" s="158" t="n"/>
      <c r="AX40" s="158" t="n"/>
      <c r="AY40" s="158" t="n"/>
      <c r="AZ40" s="158" t="n"/>
      <c r="BA40" s="158" t="n"/>
      <c r="BB40" s="158" t="n"/>
      <c r="BC40" s="158" t="n"/>
      <c r="BD40" s="158" t="n"/>
      <c r="BE40" s="158" t="n"/>
      <c r="BF40" s="158" t="n"/>
      <c r="BG40" s="158" t="n"/>
      <c r="BH40" s="158" t="n"/>
      <c r="BI40" s="158" t="n"/>
      <c r="BJ40" s="158" t="n"/>
      <c r="BK40" s="158" t="n"/>
      <c r="BL40" s="158" t="n"/>
      <c r="BM40" s="158" t="n"/>
      <c r="BN40" s="158" t="n"/>
      <c r="BO40" s="158" t="n"/>
      <c r="BP40" s="158" t="n"/>
      <c r="BQ40" s="158" t="n"/>
      <c r="BR40" s="158" t="n"/>
      <c r="BS40" s="158" t="n"/>
      <c r="BT40" s="158" t="n"/>
      <c r="BU40" s="158" t="n"/>
      <c r="BV40" s="158" t="n"/>
      <c r="BW40" s="158" t="n"/>
      <c r="BX40" s="158" t="n"/>
      <c r="BY40" s="158" t="n"/>
      <c r="BZ40" s="158" t="n"/>
      <c r="CA40" s="158" t="n"/>
      <c r="CB40" s="158" t="n"/>
      <c r="CC40" s="158" t="n"/>
      <c r="CD40" s="158" t="n"/>
      <c r="CE40" s="158" t="n"/>
      <c r="CF40" s="158" t="n"/>
      <c r="CG40" s="158" t="n"/>
      <c r="CH40" s="158" t="n"/>
      <c r="CI40" s="158" t="n"/>
    </row>
  </sheetData>
  <mergeCells count="13">
    <mergeCell ref="A3:R3"/>
    <mergeCell ref="E4:F4"/>
    <mergeCell ref="G4:H4"/>
    <mergeCell ref="I4:J4"/>
    <mergeCell ref="L4:M4"/>
    <mergeCell ref="A2:R2"/>
    <mergeCell ref="A4:D4"/>
    <mergeCell ref="A5:L5"/>
    <mergeCell ref="M5:U5"/>
    <mergeCell ref="N4:Q4"/>
    <mergeCell ref="V5:CI5"/>
    <mergeCell ref="A1:R1"/>
    <mergeCell ref="R4:S4"/>
  </mergeCells>
  <hyperlinks>
    <hyperlink xmlns:r="http://schemas.openxmlformats.org/officeDocument/2006/relationships" ref="S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0.xml><?xml version="1.0" encoding="utf-8"?>
<worksheet xmlns="http://schemas.openxmlformats.org/spreadsheetml/2006/main">
  <sheetPr>
    <tabColor rgb="007030A0"/>
    <outlinePr summaryBelow="1" summaryRight="1"/>
    <pageSetUpPr fitToPage="1"/>
  </sheetPr>
  <dimension ref="A1:Z36"/>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14" customWidth="1" min="3" max="3"/>
    <col width="24" customWidth="1" min="4" max="4"/>
    <col width="22" customWidth="1" min="5" max="5"/>
    <col width="17" customWidth="1" min="6" max="6"/>
    <col width="16" customWidth="1" min="7" max="7"/>
    <col width="10" customWidth="1" min="8" max="8"/>
    <col width="6" customWidth="1" min="9" max="9"/>
    <col width="6" customWidth="1" min="10" max="10"/>
    <col width="7" customWidth="1" min="11" max="11"/>
    <col width="7" customWidth="1" min="12" max="12"/>
    <col width="7" customWidth="1" min="13" max="13"/>
    <col width="10" customWidth="1" min="14" max="14"/>
    <col width="46" customWidth="1" min="15" max="15"/>
    <col width="40" customWidth="1" min="16" max="16"/>
    <col width="40" customWidth="1" min="17" max="17"/>
    <col width="46" customWidth="1" min="18" max="18"/>
    <col width="44" customWidth="1" min="19" max="19"/>
    <col width="40" customWidth="1" min="20" max="20"/>
    <col width="26" customWidth="1" min="21" max="21"/>
    <col width="24" customWidth="1" min="22" max="22"/>
    <col width="24" customWidth="1" min="23" max="23"/>
    <col width="12" customWidth="1" min="24" max="24"/>
    <col width="22" customWidth="1" min="25" max="25"/>
    <col width="26" customWidth="1" min="26" max="26"/>
  </cols>
  <sheetData>
    <row r="1" ht="34" customHeight="1">
      <c r="A1" s="1" t="inlineStr">
        <is>
          <t>Role Competency Framework — by band, role and sub-family · bottom to top</t>
        </is>
      </c>
      <c r="U1" s="241" t="inlineStr">
        <is>
          <t>◂ Contents</t>
        </is>
      </c>
    </row>
    <row r="2" ht="30" customHeight="1">
      <c r="A2" s="3" t="inlineStr">
        <is>
          <t>Sheet 4 · 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F4" s="68" t="inlineStr">
        <is>
          <t>Player-Coach · B+ · C+</t>
        </is>
      </c>
      <c r="H4" s="69" t="inlineStr">
        <is>
          <t>RED = critical input needed · could change or confirm the level</t>
        </is>
      </c>
    </row>
    <row r="5" ht="32" customHeight="1">
      <c r="A5" s="73" t="inlineStr">
        <is>
          <t>ROLE — band → level → role → sub-family</t>
        </is>
      </c>
      <c r="J5" s="74" t="inlineStr">
        <is>
          <t>REQUIRED PROFICIENCY · 1–5, SFIA-aligned</t>
        </is>
      </c>
      <c r="O5" s="76" t="inlineStr">
        <is>
          <t>WHAT IT LOOKS LIKE AT THIS LEVEL — behavioural indicators</t>
        </is>
      </c>
      <c r="R5" s="77" t="inlineStr">
        <is>
          <t>FUNCTIONAL &amp; TECHNICAL — for this role's family and department</t>
        </is>
      </c>
      <c r="U5" s="79" t="inlineStr">
        <is>
          <t>ASSESS, CERTIFY &amp; DEVELOP</t>
        </is>
      </c>
    </row>
    <row r="6" ht="58" customHeight="1">
      <c r="A6" s="91" t="inlineStr">
        <is>
          <t>Band</t>
        </is>
      </c>
      <c r="B6" s="92" t="inlineStr">
        <is>
          <t>Level</t>
        </is>
      </c>
      <c r="C6" s="92" t="inlineStr">
        <is>
          <t>Level title</t>
        </is>
      </c>
      <c r="D6" s="92" t="inlineStr">
        <is>
          <t>Role · designation</t>
        </is>
      </c>
      <c r="E6" s="92" t="inlineStr">
        <is>
          <t>Sub-family</t>
        </is>
      </c>
      <c r="F6" s="92" t="inlineStr">
        <is>
          <t>Job family</t>
        </is>
      </c>
      <c r="G6" s="92" t="inlineStr">
        <is>
          <t>Department · s</t>
        </is>
      </c>
      <c r="H6" s="92" t="inlineStr">
        <is>
          <t>Track</t>
        </is>
      </c>
      <c r="I6" s="92" t="inlineStr">
        <is>
          <t>People</t>
        </is>
      </c>
      <c r="J6" s="93" t="inlineStr">
        <is>
          <t>Core</t>
        </is>
      </c>
      <c r="K6" s="12" t="inlineStr">
        <is>
          <t>Future-ready</t>
        </is>
      </c>
      <c r="L6" s="12" t="inlineStr">
        <is>
          <t>Functional</t>
        </is>
      </c>
      <c r="M6" s="12" t="inlineStr">
        <is>
          <t>Leadership</t>
        </is>
      </c>
      <c r="N6" s="12" t="inlineStr">
        <is>
          <t>Fit needed</t>
        </is>
      </c>
      <c r="O6" s="94" t="inlineStr">
        <is>
          <t>Core</t>
        </is>
      </c>
      <c r="P6" s="156" t="inlineStr">
        <is>
          <t>Future-ready</t>
        </is>
      </c>
      <c r="Q6" s="156" t="inlineStr">
        <is>
          <t>Leadership</t>
        </is>
      </c>
      <c r="R6" s="95" t="inlineStr">
        <is>
          <t>★ Must-have functional competencies</t>
        </is>
      </c>
      <c r="S6" s="96" t="inlineStr">
        <is>
          <t>Other functional competencies</t>
        </is>
      </c>
      <c r="T6" s="96" t="inlineStr">
        <is>
          <t>Department technical competencies · new</t>
        </is>
      </c>
      <c r="U6" s="97" t="inlineStr">
        <is>
          <t>How to assess</t>
        </is>
      </c>
      <c r="V6" s="98" t="inlineStr">
        <is>
          <t>Credentials / certifications</t>
        </is>
      </c>
      <c r="W6" s="98" t="inlineStr">
        <is>
          <t>Mandatory &amp; gate requirements</t>
        </is>
      </c>
      <c r="X6" s="98" t="inlineStr">
        <is>
          <t>Role-holders today · avg index · meet level</t>
        </is>
      </c>
      <c r="Y6" s="98" t="inlineStr">
        <is>
          <t>Most common gaps</t>
        </is>
      </c>
      <c r="Z6" s="98" t="inlineStr">
        <is>
          <t>Learning priorities for this role</t>
        </is>
      </c>
    </row>
    <row r="7" ht="20" customHeight="1">
      <c r="A7" s="160" t="inlineStr">
        <is>
          <t>Band A — Practitioner</t>
        </is>
      </c>
    </row>
    <row r="8" ht="158" customHeight="1">
      <c r="A8" s="161" t="inlineStr">
        <is>
          <t>A</t>
        </is>
      </c>
      <c r="B8" s="26" t="inlineStr">
        <is>
          <t>A1</t>
        </is>
      </c>
      <c r="C8" s="140" t="inlineStr">
        <is>
          <t>Intern / Trainee</t>
        </is>
      </c>
      <c r="D8" s="110" t="inlineStr">
        <is>
          <t>Intern – Product Operations &amp; Research</t>
        </is>
      </c>
      <c r="E8" s="111" t="inlineStr">
        <is>
          <t>Product Operations &amp; Research</t>
        </is>
      </c>
      <c r="F8" s="111" t="inlineStr">
        <is>
          <t>Product Management</t>
        </is>
      </c>
      <c r="G8" s="111" t="inlineStr">
        <is>
          <t>Technology</t>
        </is>
      </c>
      <c r="H8" s="111" t="inlineStr">
        <is>
          <t>IC</t>
        </is>
      </c>
      <c r="I8" s="112" t="n">
        <v>1</v>
      </c>
      <c r="J8" s="162" t="n">
        <v>1</v>
      </c>
      <c r="K8" s="163" t="n">
        <v>1</v>
      </c>
      <c r="L8" s="163" t="n">
        <v>1</v>
      </c>
      <c r="M8" s="163" t="inlineStr">
        <is>
          <t>—</t>
        </is>
      </c>
      <c r="N8" s="115" t="inlineStr">
        <is>
          <t>Index ≥ 90% · meets; must-haves at required level</t>
        </is>
      </c>
      <c r="O8" s="118"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8" s="164"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8" s="164" t="inlineStr">
        <is>
          <t>Not required at this level · Band A has one common path; leadership is not scored.</t>
        </is>
      </c>
      <c r="R8" s="119" t="inlineStr">
        <is>
          <t>• ★ Product, Platform &amp; Domain Knowledge: Knows the concepts; does defined tasks with close guidance; all work reviewed.
• ★ Business Analysis &amp; Requirements Engineering: Knows the concepts; does defined tasks with close guidance; all work reviewed.</t>
        </is>
      </c>
      <c r="S8" s="165" t="inlineStr">
        <is>
          <r>
            <rPr>
              <rFont val="Calibri"/>
              <sz val="10"/>
            </rPr>
            <t xml:space="preserve">• </t>
          </r>
          <r>
            <rPr>
              <rFont val="Calibri"/>
              <b val="1"/>
              <sz val="10"/>
            </rPr>
            <t>Data Analytics, BI &amp; Visualisation:</t>
          </r>
          <r>
            <rPr>
              <rFont val="Calibri"/>
              <sz val="10"/>
            </rPr>
            <t xml:space="preserve"> Knows the concepts; does defined tasks with close guidance; all work reviewed.
• </t>
          </r>
          <r>
            <rPr>
              <rFont val="Calibri"/>
              <b val="1"/>
              <sz val="10"/>
            </rPr>
            <t>Strategic Thinking &amp; Business Acumen:</t>
          </r>
          <r>
            <rPr>
              <rFont val="Calibri"/>
              <sz val="10"/>
            </rPr>
            <t xml:space="preserve"> Knows the concepts; does defined tasks with close guidance; all work reviewed.
• </t>
          </r>
          <r>
            <rPr>
              <rFont val="Calibri"/>
              <b val="1"/>
              <sz val="10"/>
            </rPr>
            <t>Stakeholder &amp; Client Management:</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t>
          </r>
        </is>
      </c>
      <c r="T8" s="165" t="inlineStr">
        <is>
          <t>—</t>
        </is>
      </c>
      <c r="U8" s="121" t="inlineStr">
        <is>
          <t>Scenario interview; Case study; Data case / practical; Case interview; Role play / behavioural interview; Work sample / portfolio</t>
        </is>
      </c>
      <c r="V8" s="122" t="inlineStr">
        <is>
          <t>Internal product certification; CBAP / CCBA · optional; Power BI / Tableau · optional; MBA / PGDM · preferred at C+; Vendor AI certifications · optional</t>
        </is>
      </c>
      <c r="W8" s="122" t="inlineStr">
        <is>
          <t>Product discovery, roadmap and P&amp;L basics; mandatory: POSH, Code of Conduct, InfoSec &amp; Privacy</t>
        </is>
      </c>
      <c r="X8" s="122" t="inlineStr">
        <is>
          <t>112% · 1 of 1</t>
        </is>
      </c>
      <c r="Y8" s="122" t="inlineStr">
        <is>
          <t>—</t>
        </is>
      </c>
      <c r="Z8" s="122" t="inlineStr">
        <is>
          <t>AI, GenAI &amp; Prompt Engineering · Programming &amp; Tech-Stack Depth · Data Analytics, BI &amp; Visualisation</t>
        </is>
      </c>
    </row>
    <row r="9" ht="158" customHeight="1">
      <c r="A9" s="161" t="inlineStr">
        <is>
          <t>A</t>
        </is>
      </c>
      <c r="B9" s="26" t="inlineStr">
        <is>
          <t>A2</t>
        </is>
      </c>
      <c r="C9" s="140" t="inlineStr">
        <is>
          <t>Associate</t>
        </is>
      </c>
      <c r="D9" s="110" t="inlineStr">
        <is>
          <t>MIS Associate</t>
        </is>
      </c>
      <c r="E9" s="111" t="inlineStr">
        <is>
          <t>MIS &amp; Business Reporting</t>
        </is>
      </c>
      <c r="F9" s="111" t="inlineStr">
        <is>
          <t>Data &amp; Analytics</t>
        </is>
      </c>
      <c r="G9" s="111" t="inlineStr">
        <is>
          <t>Datatech - Outreach</t>
        </is>
      </c>
      <c r="H9" s="111" t="inlineStr">
        <is>
          <t>IC</t>
        </is>
      </c>
      <c r="I9" s="112" t="n">
        <v>1</v>
      </c>
      <c r="J9" s="162" t="n">
        <v>2</v>
      </c>
      <c r="K9" s="163" t="n">
        <v>2</v>
      </c>
      <c r="L9" s="163" t="n">
        <v>2</v>
      </c>
      <c r="M9" s="163" t="inlineStr">
        <is>
          <t>—</t>
        </is>
      </c>
      <c r="N9" s="115" t="inlineStr">
        <is>
          <t>Index ≥ 90% · meets; must-haves at required level</t>
        </is>
      </c>
      <c r="O9"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9"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9" s="164" t="inlineStr">
        <is>
          <t>Not required at this level · Band A has one common path; leadership is not scored.</t>
        </is>
      </c>
      <c r="R9" s="119" t="inlineStr">
        <is>
          <t>• ★ Data Analytics, BI &amp; Visualisation: Applies the skill to standard work with routine guidance; work spot-checked.
• ★ Database, SQL &amp; Data Engineering: Applies the skill to standard work with routine guidance; work spot-checked.</t>
        </is>
      </c>
      <c r="S9" s="165" t="inlineStr">
        <is>
          <r>
            <rPr>
              <rFont val="Calibri"/>
              <sz val="10"/>
            </rPr>
            <t xml:space="preserve">• </t>
          </r>
          <r>
            <rPr>
              <rFont val="Calibri"/>
              <b val="1"/>
              <sz val="10"/>
            </rPr>
            <t>Advanced Excel &amp; Productivity Tools:</t>
          </r>
          <r>
            <rPr>
              <rFont val="Calibri"/>
              <sz val="10"/>
            </rPr>
            <t xml:space="preserve"> Applies the skill to standard work with routine guidance; work spot-checked.
• </t>
          </r>
          <r>
            <rPr>
              <rFont val="Calibri"/>
              <b val="1"/>
              <sz val="10"/>
            </rPr>
            <t>Regulatory &amp; BFSI Domain:</t>
          </r>
          <r>
            <rPr>
              <rFont val="Calibri"/>
              <sz val="10"/>
            </rPr>
            <t xml:space="preserve"> Applies the skill to standard work with routine guidance; work spot-checked.
• </t>
          </r>
          <r>
            <rPr>
              <rFont val="Calibri"/>
              <b val="1"/>
              <sz val="10"/>
            </rPr>
            <t>Process Improvement &amp; Quality Mindset:</t>
          </r>
          <r>
            <rPr>
              <rFont val="Calibri"/>
              <sz val="10"/>
            </rPr>
            <t xml:space="preserve"> Applies the skill to standard work with routine guidance; work spot-checked.
• </t>
          </r>
          <r>
            <rPr>
              <rFont val="Calibri"/>
              <b val="1"/>
              <sz val="10"/>
            </rPr>
            <t>Accounting &amp; Reporting Standards · IFRS/US GAAP:</t>
          </r>
          <r>
            <rPr>
              <rFont val="Calibri"/>
              <sz val="10"/>
            </rPr>
            <t xml:space="preserve"> Applies the skill to standard work with routine guidance; work spot-checked.</t>
          </r>
        </is>
      </c>
      <c r="T9" s="165" t="inlineStr">
        <is>
          <t>—</t>
        </is>
      </c>
      <c r="U9" s="121" t="inlineStr">
        <is>
          <t>Data case / practical; SQL test / case; Practical test; Domain interview; Work sample / case; Accounting test</t>
        </is>
      </c>
      <c r="V9" s="122" t="inlineStr">
        <is>
          <t>Power BI / Tableau · optional; Database certifications · optional; MOS Excel · optional; Domain certifications · optional; Lean / Six Sigma · optional; CA / CMA / ACCA / CFA / IFRS certificate</t>
        </is>
      </c>
      <c r="W9" s="122" t="inlineStr">
        <is>
          <t>Data quality and confidentiality; mandatory: POSH, Code of Conduct, InfoSec &amp; Privacy</t>
        </is>
      </c>
      <c r="X9" s="122" t="inlineStr">
        <is>
          <t>89% · 0 of 1</t>
        </is>
      </c>
      <c r="Y9" s="122" t="inlineStr">
        <is>
          <t>SQL &amp; data · Regulatory domain · Accounting standards</t>
        </is>
      </c>
      <c r="Z9" s="122" t="inlineStr">
        <is>
          <t>Data Analytics, BI &amp; Visualisation · AI, GenAI &amp; Prompt Engineering · Advanced Excel &amp; Productivity Tools</t>
        </is>
      </c>
    </row>
    <row r="10" ht="158" customHeight="1">
      <c r="A10" s="161" t="inlineStr">
        <is>
          <t>A</t>
        </is>
      </c>
      <c r="B10" s="26" t="inlineStr">
        <is>
          <t>A2</t>
        </is>
      </c>
      <c r="C10" s="140" t="inlineStr">
        <is>
          <t>Associate</t>
        </is>
      </c>
      <c r="D10" s="110" t="inlineStr">
        <is>
          <t>Designer</t>
        </is>
      </c>
      <c r="E10" s="111" t="inlineStr">
        <is>
          <t>Brand, Graphic &amp; Video Design</t>
        </is>
      </c>
      <c r="F10" s="111" t="inlineStr">
        <is>
          <t>Design &amp; Creative</t>
        </is>
      </c>
      <c r="G10" s="111" t="inlineStr">
        <is>
          <t>Marketing</t>
        </is>
      </c>
      <c r="H10" s="111" t="inlineStr">
        <is>
          <t>IC</t>
        </is>
      </c>
      <c r="I10" s="112" t="n">
        <v>1</v>
      </c>
      <c r="J10" s="162" t="n">
        <v>2</v>
      </c>
      <c r="K10" s="163" t="n">
        <v>2</v>
      </c>
      <c r="L10" s="163" t="n">
        <v>2</v>
      </c>
      <c r="M10" s="163" t="inlineStr">
        <is>
          <t>—</t>
        </is>
      </c>
      <c r="N10" s="115" t="inlineStr">
        <is>
          <t>Index ≥ 90% · meets; must-haves at required level</t>
        </is>
      </c>
      <c r="O10"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0"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0" s="164" t="inlineStr">
        <is>
          <t>Not required at this level · Band A has one common path; leadership is not scored.</t>
        </is>
      </c>
      <c r="R10" s="119" t="inlineStr">
        <is>
          <t>• ★ Product, Platform &amp; Domain Knowledge: Applies the skill to standard work with routine guidance; work spot-checked.
• ★ Communication &amp; Presentation: Applies the skill to standard work with routine guidance; work spot-checked.</t>
        </is>
      </c>
      <c r="S10" s="165" t="inlineStr">
        <is>
          <r>
            <rPr>
              <rFont val="Calibri"/>
              <sz val="10"/>
            </rPr>
            <t xml:space="preserve">• </t>
          </r>
          <r>
            <rPr>
              <rFont val="Calibri"/>
              <b val="1"/>
              <sz val="10"/>
            </rPr>
            <t>Marketing Tech &amp; Digital Marketing:</t>
          </r>
          <r>
            <rPr>
              <rFont val="Calibri"/>
              <sz val="10"/>
            </rPr>
            <t xml:space="preserve"> Applies the skill to standard work with routine guidance; work spot-checked.
• </t>
          </r>
          <r>
            <rPr>
              <rFont val="Calibri"/>
              <b val="1"/>
              <sz val="10"/>
            </rPr>
            <t>Process Improvement &amp; Quality Mindset:</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Stakeholder &amp; Client Management:</t>
          </r>
          <r>
            <rPr>
              <rFont val="Calibri"/>
              <sz val="10"/>
            </rPr>
            <t xml:space="preserve"> Applies the skill to standard work with routine guidance; work spot-checked.</t>
          </r>
        </is>
      </c>
      <c r="T10" s="165" t="inlineStr">
        <is>
          <t>—</t>
        </is>
      </c>
      <c r="U10" s="121" t="inlineStr">
        <is>
          <t>Scenario interview; Presentation / writing test; Portfolio / case; Work sample / case; Work sample / portfolio; Role play / behavioural interview</t>
        </is>
      </c>
      <c r="V10" s="122" t="inlineStr">
        <is>
          <t>Internal product certification; Google / HubSpot certifications; Lean / Six Sigma · optional; Vendor AI certifications · optional</t>
        </is>
      </c>
      <c r="W10" s="122" t="inlineStr">
        <is>
          <t>Brand and accessibility standards · WCAG; mandatory: POSH, Code of Conduct, InfoSec &amp; Privacy</t>
        </is>
      </c>
      <c r="X10" s="122" t="inlineStr">
        <is>
          <t>66% · 0 of 1</t>
        </is>
      </c>
      <c r="Y10" s="122" t="inlineStr">
        <is>
          <t>Product &amp; domain · Communication · Digital marketing</t>
        </is>
      </c>
      <c r="Z10" s="122" t="inlineStr">
        <is>
          <t>MK.BRD-F: visual design · video · brand systems · production workflow</t>
        </is>
      </c>
    </row>
    <row r="11" ht="158" customHeight="1">
      <c r="A11" s="161" t="inlineStr">
        <is>
          <t>A</t>
        </is>
      </c>
      <c r="B11" s="26" t="inlineStr">
        <is>
          <t>A2</t>
        </is>
      </c>
      <c r="C11" s="140" t="inlineStr">
        <is>
          <t>Associate</t>
        </is>
      </c>
      <c r="D11" s="110" t="inlineStr">
        <is>
          <t>Software Engineer</t>
        </is>
      </c>
      <c r="E11" s="111" t="inlineStr">
        <is>
          <t>Backend Development</t>
        </is>
      </c>
      <c r="F11" s="111" t="inlineStr">
        <is>
          <t>Engineering &amp; Development</t>
        </is>
      </c>
      <c r="G11" s="111" t="inlineStr">
        <is>
          <t>Technology</t>
        </is>
      </c>
      <c r="H11" s="111" t="inlineStr">
        <is>
          <t>IC</t>
        </is>
      </c>
      <c r="I11" s="112" t="n">
        <v>1</v>
      </c>
      <c r="J11" s="162" t="n">
        <v>2</v>
      </c>
      <c r="K11" s="163" t="n">
        <v>2</v>
      </c>
      <c r="L11" s="163" t="n">
        <v>2</v>
      </c>
      <c r="M11" s="163" t="inlineStr">
        <is>
          <t>—</t>
        </is>
      </c>
      <c r="N11" s="115" t="inlineStr">
        <is>
          <t>Index ≥ 90% · meets; must-haves at required level</t>
        </is>
      </c>
      <c r="O11"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1"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1" s="164" t="inlineStr">
        <is>
          <t>Not required at this level · Band A has one common path; leadership is not scored.</t>
        </is>
      </c>
      <c r="R11" s="119" t="inlineStr">
        <is>
          <t>• ★ Programming &amp; Tech-Stack Depth: Applies the skill to standard work with routine guidance; work spot-checked.
• ★ System Design &amp; Architecture: Applies the skill to standard work with routine guidance; work spot-checked.</t>
        </is>
      </c>
      <c r="S11" s="165" t="inlineStr">
        <is>
          <r>
            <rPr>
              <rFont val="Calibri"/>
              <sz val="10"/>
            </rPr>
            <t xml:space="preserve">• </t>
          </r>
          <r>
            <rPr>
              <rFont val="Calibri"/>
              <b val="1"/>
              <sz val="10"/>
            </rPr>
            <t>Database, SQL &amp; Data Engineering:</t>
          </r>
          <r>
            <rPr>
              <rFont val="Calibri"/>
              <sz val="10"/>
            </rPr>
            <t xml:space="preserve"> Applies the skill to standard work with routine guidance; work spot-checked.
• </t>
          </r>
          <r>
            <rPr>
              <rFont val="Calibri"/>
              <b val="1"/>
              <sz val="10"/>
            </rPr>
            <t>Cloud, DevOps &amp; CI/CD:</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t>
          </r>
        </is>
      </c>
      <c r="T11" s="165" t="inlineStr">
        <is>
          <t>—</t>
        </is>
      </c>
      <c r="U11" s="121" t="inlineStr">
        <is>
          <t>Coding test + code review; System-design interview / design review; SQL test / case; Practical task; Work sample / portfolio; Scenario interview</t>
        </is>
      </c>
      <c r="V11" s="122" t="inlineStr">
        <is>
          <t>Cloud / language certifications · optional; AWS / Azure architect · optional; Database certifications · optional; AWS / Azure / Kubernetes certifications; Vendor AI certifications · optional; Internal product certification</t>
        </is>
      </c>
      <c r="W11" s="122" t="inlineStr">
        <is>
          <t>Secure coding · OWASP, code review, unit testing; mandatory: POSH, Code of Conduct, InfoSec &amp; Privacy</t>
        </is>
      </c>
      <c r="X11" s="122" t="inlineStr">
        <is>
          <t>84% · 0 of 1</t>
        </is>
      </c>
      <c r="Y11" s="122" t="inlineStr">
        <is>
          <t>SQL &amp; data · Ownership · Client &amp; quality focus</t>
        </is>
      </c>
      <c r="Z11" s="122" t="inlineStr">
        <is>
          <t>Broader Ownership &amp; Cross-functional Exposure</t>
        </is>
      </c>
    </row>
    <row r="12" ht="158" customHeight="1">
      <c r="A12" s="161" t="inlineStr">
        <is>
          <t>A</t>
        </is>
      </c>
      <c r="B12" s="26" t="inlineStr">
        <is>
          <t>A2</t>
        </is>
      </c>
      <c r="C12" s="140" t="inlineStr">
        <is>
          <t>Associate</t>
        </is>
      </c>
      <c r="D12" s="110" t="inlineStr">
        <is>
          <t>Program Executive</t>
        </is>
      </c>
      <c r="E12" s="111" t="inlineStr">
        <is>
          <t>Field Outreach &amp; Programme Sales</t>
        </is>
      </c>
      <c r="F12" s="111" t="inlineStr">
        <is>
          <t>Sales &amp; Business Development</t>
        </is>
      </c>
      <c r="G12" s="111" t="inlineStr">
        <is>
          <t>Datatech - Outreach</t>
        </is>
      </c>
      <c r="H12" s="111" t="inlineStr">
        <is>
          <t>IC</t>
        </is>
      </c>
      <c r="I12" s="112" t="n">
        <v>2</v>
      </c>
      <c r="J12" s="162" t="n">
        <v>2</v>
      </c>
      <c r="K12" s="163" t="n">
        <v>2</v>
      </c>
      <c r="L12" s="163" t="n">
        <v>2</v>
      </c>
      <c r="M12" s="163" t="inlineStr">
        <is>
          <t>—</t>
        </is>
      </c>
      <c r="N12" s="115" t="inlineStr">
        <is>
          <t>Index ≥ 90% · meets; must-haves at required level</t>
        </is>
      </c>
      <c r="O12"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2"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2" s="164" t="inlineStr">
        <is>
          <t>Not required at this level · Band A has one common path; leadership is not scored.</t>
        </is>
      </c>
      <c r="R12" s="119" t="inlineStr">
        <is>
          <t>• ★ Sales, Negotiation &amp; Account Growth: Applies the skill to standard work with routine guidance; work spot-checked.
• ★ Marketing Tech &amp; Digital Marketing: Applies the skill to standard work with routine guidance; work spot-checked.</t>
        </is>
      </c>
      <c r="S12" s="165" t="inlineStr">
        <is>
          <r>
            <rPr>
              <rFont val="Calibri"/>
              <sz val="10"/>
            </rPr>
            <t xml:space="preserve">• </t>
          </r>
          <r>
            <rPr>
              <rFont val="Calibri"/>
              <b val="1"/>
              <sz val="10"/>
            </rPr>
            <t>Stakeholder &amp; Client Management:</t>
          </r>
          <r>
            <rPr>
              <rFont val="Calibri"/>
              <sz val="10"/>
            </rPr>
            <t xml:space="preserve"> Applies the skill to standard work with routine guidance; work spot-checked.
• </t>
          </r>
          <r>
            <rPr>
              <rFont val="Calibri"/>
              <b val="1"/>
              <sz val="10"/>
            </rPr>
            <t>Communication &amp; Presentation:</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
• </t>
          </r>
          <r>
            <rPr>
              <rFont val="Calibri"/>
              <b val="1"/>
              <sz val="10"/>
            </rPr>
            <t>Strategic Thinking &amp; Business Acumen:</t>
          </r>
          <r>
            <rPr>
              <rFont val="Calibri"/>
              <sz val="10"/>
            </rPr>
            <t xml:space="preserve"> Applies the skill to standard work with routine guidance; work spot-checked.</t>
          </r>
        </is>
      </c>
      <c r="T12" s="165" t="inlineStr">
        <is>
          <t>—</t>
        </is>
      </c>
      <c r="U12" s="121" t="inlineStr">
        <is>
          <t>Sales role play; Portfolio / case; Role play / behavioural interview; Presentation / writing test; Scenario interview; Case interview</t>
        </is>
      </c>
      <c r="V12" s="122" t="inlineStr">
        <is>
          <t>Google / HubSpot certifications; Internal product certification; MBA / PGDM · preferred at C+</t>
        </is>
      </c>
      <c r="W12" s="122" t="inlineStr">
        <is>
          <t>CRM hygiene; contract basics; mandatory: POSH, Code of Conduct, InfoSec &amp; Privacy</t>
        </is>
      </c>
      <c r="X12" s="122" t="inlineStr">
        <is>
          <t>66% · 0 of 2</t>
        </is>
      </c>
      <c r="Y12" s="122" t="inlineStr">
        <is>
          <t>Communication · Digital marketing · Stakeholder mgmt · Product &amp; domain</t>
        </is>
      </c>
      <c r="Z12" s="122" t="inlineStr">
        <is>
          <t>SB.INS-F: Role-specific methods · quality controls · stakeholder communication · Sales, Negotiation &amp; Account Growth</t>
        </is>
      </c>
    </row>
    <row r="13" ht="158" customHeight="1">
      <c r="A13" s="161" t="inlineStr">
        <is>
          <t>A</t>
        </is>
      </c>
      <c r="B13" s="26" t="inlineStr">
        <is>
          <t>A3</t>
        </is>
      </c>
      <c r="C13" s="140" t="inlineStr">
        <is>
          <t>Senior Associate</t>
        </is>
      </c>
      <c r="D13" s="110" t="inlineStr">
        <is>
          <t>Senior Product Designer</t>
        </is>
      </c>
      <c r="E13" s="111" t="inlineStr">
        <is>
          <t>UX / UI Design</t>
        </is>
      </c>
      <c r="F13" s="111" t="inlineStr">
        <is>
          <t>Design &amp; Creative</t>
        </is>
      </c>
      <c r="G13" s="111" t="inlineStr">
        <is>
          <t>Technology</t>
        </is>
      </c>
      <c r="H13" s="111" t="inlineStr">
        <is>
          <t>IC</t>
        </is>
      </c>
      <c r="I13" s="112" t="n">
        <v>1</v>
      </c>
      <c r="J13" s="162" t="n">
        <v>2</v>
      </c>
      <c r="K13" s="163" t="n">
        <v>2</v>
      </c>
      <c r="L13" s="163" t="n">
        <v>3</v>
      </c>
      <c r="M13" s="163" t="inlineStr">
        <is>
          <t>—</t>
        </is>
      </c>
      <c r="N13" s="115" t="inlineStr">
        <is>
          <t>Index ≥ 90% · meets; must-haves at required level</t>
        </is>
      </c>
      <c r="O13"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3"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3" s="164" t="inlineStr">
        <is>
          <t>Not required at this level · Band A has one common path; leadership is not scored.</t>
        </is>
      </c>
      <c r="R13" s="119" t="inlineStr">
        <is>
          <t>• ★ Product, Platform &amp; Domain Knowledge: Handles most product and domain scenarios
• ★ Communication &amp; Presentation: Writes and presents clearly to clients and teams</t>
        </is>
      </c>
      <c r="S13" s="165" t="inlineStr">
        <is>
          <r>
            <rPr>
              <rFont val="Calibri"/>
              <sz val="10"/>
            </rPr>
            <t xml:space="preserve">• </t>
          </r>
          <r>
            <rPr>
              <rFont val="Calibri"/>
              <b val="1"/>
              <sz val="10"/>
            </rPr>
            <t>Marketing Tech &amp; Digital Marketing:</t>
          </r>
          <r>
            <rPr>
              <rFont val="Calibri"/>
              <sz val="10"/>
            </rPr>
            <t xml:space="preserve"> Runs campaigns, CRM, SEO and social channels
• </t>
          </r>
          <r>
            <rPr>
              <rFont val="Calibri"/>
              <b val="1"/>
              <sz val="10"/>
            </rPr>
            <t>Process Improvement &amp; Quality Mindset:</t>
          </r>
          <r>
            <rPr>
              <rFont val="Calibri"/>
              <sz val="10"/>
            </rPr>
            <t xml:space="preserve"> Delivers right-first-time; improves own checklists
• </t>
          </r>
          <r>
            <rPr>
              <rFont val="Calibri"/>
              <b val="1"/>
              <sz val="10"/>
            </rPr>
            <t>AI, GenAI &amp; Prompt Engineering:</t>
          </r>
          <r>
            <rPr>
              <rFont val="Calibri"/>
              <sz val="10"/>
            </rPr>
            <t xml:space="preserve"> Uses AI / LLM tools in own work and validates output
• </t>
          </r>
          <r>
            <rPr>
              <rFont val="Calibri"/>
              <b val="1"/>
              <sz val="10"/>
            </rPr>
            <t>Stakeholder &amp; Client Management:</t>
          </r>
          <r>
            <rPr>
              <rFont val="Calibri"/>
              <sz val="10"/>
            </rPr>
            <t xml:space="preserve"> Manages client communication and expectations for own work</t>
          </r>
        </is>
      </c>
      <c r="T13" s="165" t="inlineStr">
        <is>
          <t>—</t>
        </is>
      </c>
      <c r="U13" s="121" t="inlineStr">
        <is>
          <t>Scenario interview; Presentation / writing test; Portfolio / case; Work sample / case; Work sample / portfolio; Role play / behavioural interview</t>
        </is>
      </c>
      <c r="V13" s="122" t="inlineStr">
        <is>
          <t>Internal product certification; Google / HubSpot certifications; Lean / Six Sigma · optional; Vendor AI certifications · optional</t>
        </is>
      </c>
      <c r="W13" s="122" t="inlineStr">
        <is>
          <t>Brand and accessibility standards · WCAG; mandatory: POSH, Code of Conduct, InfoSec &amp; Privacy</t>
        </is>
      </c>
      <c r="X13" s="122" t="inlineStr">
        <is>
          <t>74% · 0 of 1</t>
        </is>
      </c>
      <c r="Y13" s="122" t="inlineStr">
        <is>
          <t>Product &amp; domain · Communication · Digital marketing</t>
        </is>
      </c>
      <c r="Z13" s="122" t="inlineStr">
        <is>
          <t>AI, GenAI &amp; Prompt Engineering</t>
        </is>
      </c>
    </row>
    <row r="14" ht="158" customHeight="1">
      <c r="A14" s="161" t="inlineStr">
        <is>
          <t>A</t>
        </is>
      </c>
      <c r="B14" s="26" t="inlineStr">
        <is>
          <t>A3</t>
        </is>
      </c>
      <c r="C14" s="140" t="inlineStr">
        <is>
          <t>Senior Associate</t>
        </is>
      </c>
      <c r="D14" s="110" t="inlineStr">
        <is>
          <t>Senior Software Engineer</t>
        </is>
      </c>
      <c r="E14" s="111" t="inlineStr">
        <is>
          <t>Backend Development</t>
        </is>
      </c>
      <c r="F14" s="111" t="inlineStr">
        <is>
          <t>Engineering &amp; Development</t>
        </is>
      </c>
      <c r="G14" s="111" t="inlineStr">
        <is>
          <t>Technology</t>
        </is>
      </c>
      <c r="H14" s="111" t="inlineStr">
        <is>
          <t>IC</t>
        </is>
      </c>
      <c r="I14" s="112" t="n">
        <v>2</v>
      </c>
      <c r="J14" s="162" t="n">
        <v>2</v>
      </c>
      <c r="K14" s="163" t="n">
        <v>2</v>
      </c>
      <c r="L14" s="163" t="n">
        <v>3</v>
      </c>
      <c r="M14" s="163" t="inlineStr">
        <is>
          <t>—</t>
        </is>
      </c>
      <c r="N14" s="115" t="inlineStr">
        <is>
          <t>Index ≥ 90% · meets; must-haves at required level</t>
        </is>
      </c>
      <c r="O14"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4"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4" s="164" t="inlineStr">
        <is>
          <t>Not required at this level · Band A has one common path; leadership is not scored.</t>
        </is>
      </c>
      <c r="R14" s="119" t="inlineStr">
        <is>
          <t>• ★ Programming &amp; Tech-Stack Depth: Builds features with clean, tested code
• ★ System Design &amp; Architecture: Designs components and integrations for a module</t>
        </is>
      </c>
      <c r="S14"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14" s="165" t="inlineStr">
        <is>
          <t>—</t>
        </is>
      </c>
      <c r="U14" s="121" t="inlineStr">
        <is>
          <t>Coding test + code review; System-design interview / design review; SQL test / case; Practical task; Work sample / portfolio; Scenario interview</t>
        </is>
      </c>
      <c r="V14" s="122" t="inlineStr">
        <is>
          <t>Cloud / language certifications · optional; AWS / Azure architect · optional; Database certifications · optional; AWS / Azure / Kubernetes certifications; Vendor AI certifications · optional; Internal product certification</t>
        </is>
      </c>
      <c r="W14" s="122" t="inlineStr">
        <is>
          <t>Secure coding · OWASP, code review, unit testing; mandatory: POSH, Code of Conduct, InfoSec &amp; Privacy</t>
        </is>
      </c>
      <c r="X14" s="122" t="inlineStr">
        <is>
          <t>92% · 1 of 2</t>
        </is>
      </c>
      <c r="Y14" s="122" t="inlineStr">
        <is>
          <t>Learning agility · System design · Ownership · SQL &amp; data</t>
        </is>
      </c>
      <c r="Z14" s="122" t="inlineStr">
        <is>
          <t>Programming &amp; Tech-Stack Depth · Product, Platform &amp; Domain Knowledge · Project, Program &amp; Agile Management · Cloud, DevOps &amp; CI/CD</t>
        </is>
      </c>
    </row>
    <row r="15" ht="158" customHeight="1">
      <c r="A15" s="161" t="inlineStr">
        <is>
          <t>A</t>
        </is>
      </c>
      <c r="B15" s="26" t="inlineStr">
        <is>
          <t>A3</t>
        </is>
      </c>
      <c r="C15" s="140" t="inlineStr">
        <is>
          <t>Senior Associate</t>
        </is>
      </c>
      <c r="D15" s="110" t="inlineStr">
        <is>
          <t>Senior Content Marketing Associate</t>
        </is>
      </c>
      <c r="E15" s="111" t="inlineStr">
        <is>
          <t>Content Marketing</t>
        </is>
      </c>
      <c r="F15" s="111" t="inlineStr">
        <is>
          <t>Marketing &amp; Communications</t>
        </is>
      </c>
      <c r="G15" s="111" t="inlineStr">
        <is>
          <t>Marketing</t>
        </is>
      </c>
      <c r="H15" s="111" t="inlineStr">
        <is>
          <t>IC</t>
        </is>
      </c>
      <c r="I15" s="112" t="n">
        <v>1</v>
      </c>
      <c r="J15" s="162" t="n">
        <v>2</v>
      </c>
      <c r="K15" s="163" t="n">
        <v>2</v>
      </c>
      <c r="L15" s="163" t="n">
        <v>3</v>
      </c>
      <c r="M15" s="163" t="inlineStr">
        <is>
          <t>—</t>
        </is>
      </c>
      <c r="N15" s="115" t="inlineStr">
        <is>
          <t>Index ≥ 90% · meets; must-haves at required level</t>
        </is>
      </c>
      <c r="O15"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5"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5" s="164" t="inlineStr">
        <is>
          <t>Not required at this level · Band A has one common path; leadership is not scored.</t>
        </is>
      </c>
      <c r="R15" s="119" t="inlineStr">
        <is>
          <t>• ★ Marketing Tech &amp; Digital Marketing: Runs campaigns, CRM, SEO and social channels
• ★ Communication &amp; Presentation: Writes and presents clearly to clients and teams</t>
        </is>
      </c>
      <c r="S15"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15" s="165" t="inlineStr">
        <is>
          <t>—</t>
        </is>
      </c>
      <c r="U15" s="121" t="inlineStr">
        <is>
          <t>Portfolio / case; Presentation / writing test; Data case / practical; Work sample / portfolio; Scenario interview; Case interview</t>
        </is>
      </c>
      <c r="V15" s="122" t="inlineStr">
        <is>
          <t>Google / HubSpot certifications; Power BI / Tableau · optional; Vendor AI certifications · optional; Internal product certification; MBA / PGDM · preferred at C+</t>
        </is>
      </c>
      <c r="W15" s="122" t="inlineStr">
        <is>
          <t>Brand and data-privacy rules for campaigns; mandatory: POSH, Code of Conduct, InfoSec &amp; Privacy</t>
        </is>
      </c>
      <c r="X15" s="122" t="inlineStr">
        <is>
          <t>96% · 1 of 1</t>
        </is>
      </c>
      <c r="Y15" s="122" t="inlineStr">
        <is>
          <t>Product &amp; domain · Digital fluency</t>
        </is>
      </c>
      <c r="Z15" s="122" t="inlineStr">
        <is>
          <t>Data Analytics, BI &amp; Visualisation · Project, Program &amp; Agile Management</t>
        </is>
      </c>
    </row>
    <row r="16" ht="158" customHeight="1">
      <c r="A16" s="161" t="inlineStr">
        <is>
          <t>A</t>
        </is>
      </c>
      <c r="B16" s="26" t="inlineStr">
        <is>
          <t>A3</t>
        </is>
      </c>
      <c r="C16" s="140" t="inlineStr">
        <is>
          <t>Senior Associate</t>
        </is>
      </c>
      <c r="D16" s="110" t="inlineStr">
        <is>
          <t>Senior Digital Marketing Associate</t>
        </is>
      </c>
      <c r="E16" s="111" t="inlineStr">
        <is>
          <t>Digital Marketing, Web &amp; Social</t>
        </is>
      </c>
      <c r="F16" s="111" t="inlineStr">
        <is>
          <t>Marketing &amp; Communications</t>
        </is>
      </c>
      <c r="G16" s="111" t="inlineStr">
        <is>
          <t>Marketing</t>
        </is>
      </c>
      <c r="H16" s="111" t="inlineStr">
        <is>
          <t>IC</t>
        </is>
      </c>
      <c r="I16" s="112" t="n">
        <v>1</v>
      </c>
      <c r="J16" s="162" t="n">
        <v>2</v>
      </c>
      <c r="K16" s="163" t="n">
        <v>2</v>
      </c>
      <c r="L16" s="163" t="n">
        <v>3</v>
      </c>
      <c r="M16" s="163" t="inlineStr">
        <is>
          <t>—</t>
        </is>
      </c>
      <c r="N16" s="115" t="inlineStr">
        <is>
          <t>Index ≥ 90% · meets; must-haves at required level</t>
        </is>
      </c>
      <c r="O16"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6"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6" s="164" t="inlineStr">
        <is>
          <t>Not required at this level · Band A has one common path; leadership is not scored.</t>
        </is>
      </c>
      <c r="R16" s="119" t="inlineStr">
        <is>
          <t>• ★ Marketing Tech &amp; Digital Marketing: Runs campaigns, CRM, SEO and social channels
• ★ Communication &amp; Presentation: Writes and presents clearly to clients and teams</t>
        </is>
      </c>
      <c r="S16"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16" s="165" t="inlineStr">
        <is>
          <t>—</t>
        </is>
      </c>
      <c r="U16" s="121" t="inlineStr">
        <is>
          <t>Portfolio / case; Presentation / writing test; Data case / practical; Work sample / portfolio; Scenario interview; Case interview</t>
        </is>
      </c>
      <c r="V16" s="122" t="inlineStr">
        <is>
          <t>Google / HubSpot certifications; Power BI / Tableau · optional; Vendor AI certifications · optional; Internal product certification; MBA / PGDM · preferred at C+</t>
        </is>
      </c>
      <c r="W16" s="122" t="inlineStr">
        <is>
          <t>Brand and data-privacy rules for campaigns; mandatory: POSH, Code of Conduct, InfoSec &amp; Privacy</t>
        </is>
      </c>
      <c r="X16" s="122" t="inlineStr">
        <is>
          <t>90% · 1 of 1</t>
        </is>
      </c>
      <c r="Y16" s="122" t="inlineStr">
        <is>
          <t>Communication · Product &amp; domain · Business acumen</t>
        </is>
      </c>
      <c r="Z16" s="122" t="inlineStr">
        <is>
          <t>AI, GenAI &amp; Prompt Engineering · Data Analytics, BI &amp; Visualisation · Project, Program &amp; Agile Management</t>
        </is>
      </c>
    </row>
    <row r="17" ht="158" customHeight="1">
      <c r="A17" s="161" t="inlineStr">
        <is>
          <t>A</t>
        </is>
      </c>
      <c r="B17" s="26" t="inlineStr">
        <is>
          <t>A3</t>
        </is>
      </c>
      <c r="C17" s="140" t="inlineStr">
        <is>
          <t>Senior Associate</t>
        </is>
      </c>
      <c r="D17" s="110" t="inlineStr">
        <is>
          <t>Senior QA Engineer</t>
        </is>
      </c>
      <c r="E17" s="111" t="inlineStr">
        <is>
          <t>Functional &amp; Domain Testing</t>
        </is>
      </c>
      <c r="F17" s="111" t="inlineStr">
        <is>
          <t>Quality Assurance</t>
        </is>
      </c>
      <c r="G17" s="111" t="inlineStr">
        <is>
          <t>Quality Assurance</t>
        </is>
      </c>
      <c r="H17" s="111" t="inlineStr">
        <is>
          <t>IC</t>
        </is>
      </c>
      <c r="I17" s="112" t="n">
        <v>1</v>
      </c>
      <c r="J17" s="162" t="n">
        <v>2</v>
      </c>
      <c r="K17" s="163" t="n">
        <v>2</v>
      </c>
      <c r="L17" s="163" t="n">
        <v>3</v>
      </c>
      <c r="M17" s="163" t="inlineStr">
        <is>
          <t>—</t>
        </is>
      </c>
      <c r="N17" s="115" t="inlineStr">
        <is>
          <t>Index ≥ 90% · meets; must-haves at required level</t>
        </is>
      </c>
      <c r="O17"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7"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7" s="164" t="inlineStr">
        <is>
          <t>Not required at this level · Band A has one common path; leadership is not scored.</t>
        </is>
      </c>
      <c r="R17" s="119" t="inlineStr">
        <is>
          <t>• ★ Test Automation &amp; QA Engineering: Designs test cases; automates regression / API tests
• ★ Product, Platform &amp; Domain Knowledge: Handles most product and domain scenarios</t>
        </is>
      </c>
      <c r="S17"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t>
          </r>
        </is>
      </c>
      <c r="T17" s="165" t="inlineStr">
        <is>
          <t>—</t>
        </is>
      </c>
      <c r="U17" s="121" t="inlineStr">
        <is>
          <t>Testing practical; Scenario interview; SQL test / case; Work sample / portfolio; Work sample / case; Presentation / writing test</t>
        </is>
      </c>
      <c r="V17" s="122" t="inlineStr">
        <is>
          <t>ISTQB Foundation / Advanced; Internal product certification; Database certifications · optional; Vendor AI certifications · optional; Lean / Six Sigma · optional</t>
        </is>
      </c>
      <c r="W17" s="122" t="inlineStr">
        <is>
          <t>ISTQB or equivalent preferred from B1; mandatory: POSH, Code of Conduct, InfoSec &amp; Privacy</t>
        </is>
      </c>
      <c r="X17" s="122" t="inlineStr">
        <is>
          <t>91% · 1 of 1</t>
        </is>
      </c>
      <c r="Y17" s="122" t="inlineStr">
        <is>
          <t>SQL &amp; data · AI / GenAI · Communication</t>
        </is>
      </c>
      <c r="Z17" s="122" t="inlineStr">
        <is>
          <t>Cloud, DevOps &amp; CI/CD · Test Automation &amp; QA Engineering · AI, GenAI &amp; Prompt Engineering</t>
        </is>
      </c>
    </row>
    <row r="18" ht="158" customHeight="1">
      <c r="A18" s="161" t="inlineStr">
        <is>
          <t>A</t>
        </is>
      </c>
      <c r="B18" s="26" t="inlineStr">
        <is>
          <t>A3</t>
        </is>
      </c>
      <c r="C18" s="140" t="inlineStr">
        <is>
          <t>Senior Associate</t>
        </is>
      </c>
      <c r="D18" s="110" t="inlineStr">
        <is>
          <t>Senior QA Automation Engineer</t>
        </is>
      </c>
      <c r="E18" s="111" t="inlineStr">
        <is>
          <t>Test Automation</t>
        </is>
      </c>
      <c r="F18" s="111" t="inlineStr">
        <is>
          <t>Quality Assurance</t>
        </is>
      </c>
      <c r="G18" s="111" t="inlineStr">
        <is>
          <t>Quality Assurance</t>
        </is>
      </c>
      <c r="H18" s="111" t="inlineStr">
        <is>
          <t>IC</t>
        </is>
      </c>
      <c r="I18" s="112" t="n">
        <v>1</v>
      </c>
      <c r="J18" s="162" t="n">
        <v>2</v>
      </c>
      <c r="K18" s="163" t="n">
        <v>2</v>
      </c>
      <c r="L18" s="163" t="n">
        <v>3</v>
      </c>
      <c r="M18" s="163" t="inlineStr">
        <is>
          <t>—</t>
        </is>
      </c>
      <c r="N18" s="115" t="inlineStr">
        <is>
          <t>Index ≥ 90% · meets; must-haves at required level</t>
        </is>
      </c>
      <c r="O18"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8"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8" s="164" t="inlineStr">
        <is>
          <t>Not required at this level · Band A has one common path; leadership is not scored.</t>
        </is>
      </c>
      <c r="R18" s="119" t="inlineStr">
        <is>
          <t>• ★ Test Automation &amp; QA Engineering: Designs test cases; automates regression / API tests
• ★ Product, Platform &amp; Domain Knowledge: Handles most product and domain scenarios</t>
        </is>
      </c>
      <c r="S18"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t>
          </r>
        </is>
      </c>
      <c r="T18" s="165" t="inlineStr">
        <is>
          <t>—</t>
        </is>
      </c>
      <c r="U18" s="121" t="inlineStr">
        <is>
          <t>Testing practical; Scenario interview; SQL test / case; Work sample / portfolio; Work sample / case; Presentation / writing test</t>
        </is>
      </c>
      <c r="V18" s="122" t="inlineStr">
        <is>
          <t>ISTQB Foundation / Advanced; Internal product certification; Database certifications · optional; Vendor AI certifications · optional; Lean / Six Sigma · optional</t>
        </is>
      </c>
      <c r="W18" s="122" t="inlineStr">
        <is>
          <t>ISTQB or equivalent preferred from B1; mandatory: POSH, Code of Conduct, InfoSec &amp; Privacy</t>
        </is>
      </c>
      <c r="X18" s="122" t="inlineStr">
        <is>
          <t>96% · 1 of 1</t>
        </is>
      </c>
      <c r="Y18" s="122" t="inlineStr">
        <is>
          <t>AI / GenAI · Problem solving · Learning agility</t>
        </is>
      </c>
      <c r="Z18" s="122" t="inlineStr">
        <is>
          <t>Database, SQL &amp; Data Engineering · Test Automation &amp; QA Engineering · Project, Program &amp; Agile Management</t>
        </is>
      </c>
    </row>
    <row r="19" ht="158" customHeight="1">
      <c r="A19" s="161" t="inlineStr">
        <is>
          <t>A</t>
        </is>
      </c>
      <c r="B19" s="26" t="inlineStr">
        <is>
          <t>A3</t>
        </is>
      </c>
      <c r="C19" s="140" t="inlineStr">
        <is>
          <t>Senior Associate</t>
        </is>
      </c>
      <c r="D19" s="110" t="inlineStr">
        <is>
          <t>Senior Program Executive</t>
        </is>
      </c>
      <c r="E19" s="111" t="inlineStr">
        <is>
          <t>Field Outreach &amp; Programme Sales</t>
        </is>
      </c>
      <c r="F19" s="111" t="inlineStr">
        <is>
          <t>Sales &amp; Business Development</t>
        </is>
      </c>
      <c r="G19" s="111" t="inlineStr">
        <is>
          <t>Datatech - Outreach</t>
        </is>
      </c>
      <c r="H19" s="111" t="inlineStr">
        <is>
          <t>IC</t>
        </is>
      </c>
      <c r="I19" s="112" t="n">
        <v>3</v>
      </c>
      <c r="J19" s="162" t="n">
        <v>2</v>
      </c>
      <c r="K19" s="163" t="n">
        <v>2</v>
      </c>
      <c r="L19" s="163" t="n">
        <v>3</v>
      </c>
      <c r="M19" s="163" t="inlineStr">
        <is>
          <t>—</t>
        </is>
      </c>
      <c r="N19" s="115" t="inlineStr">
        <is>
          <t>Index ≥ 90% · meets; must-haves at required level</t>
        </is>
      </c>
      <c r="O19"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9"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9" s="164" t="inlineStr">
        <is>
          <t>Not required at this level · Band A has one common path; leadership is not scored.</t>
        </is>
      </c>
      <c r="R19" s="119" t="inlineStr">
        <is>
          <t>• ★ Sales, Negotiation &amp; Account Growth: Builds pipeline and closes deals
• ★ Marketing Tech &amp; Digital Marketing: Runs campaigns, CRM, SEO and social channels</t>
        </is>
      </c>
      <c r="S19" s="165"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19" s="165" t="inlineStr">
        <is>
          <t>—</t>
        </is>
      </c>
      <c r="U19" s="121" t="inlineStr">
        <is>
          <t>Sales role play; Portfolio / case; Role play / behavioural interview; Presentation / writing test; Scenario interview; Case interview</t>
        </is>
      </c>
      <c r="V19" s="122" t="inlineStr">
        <is>
          <t>Google / HubSpot certifications; Internal product certification; MBA / PGDM · preferred at C+</t>
        </is>
      </c>
      <c r="W19" s="122" t="inlineStr">
        <is>
          <t>CRM hygiene; contract basics; mandatory: POSH, Code of Conduct, InfoSec &amp; Privacy</t>
        </is>
      </c>
      <c r="X19" s="122" t="inlineStr">
        <is>
          <t>83% · 1 of 3</t>
        </is>
      </c>
      <c r="Y19" s="122" t="inlineStr">
        <is>
          <t>Business acumen · Product &amp; domain · Ownership · Problem solving</t>
        </is>
      </c>
      <c r="Z19" s="122" t="inlineStr">
        <is>
          <t>Sales, Negotiation &amp; Account Growth · Communication &amp; Presentation · Marketing Tech &amp; Digital Marketing · SB.INS-F: Role-specific methods</t>
        </is>
      </c>
    </row>
    <row r="20" ht="20" customHeight="1">
      <c r="A20" s="160" t="inlineStr">
        <is>
          <t>Band B — Specialist / Manager</t>
        </is>
      </c>
    </row>
    <row r="21" ht="184" customHeight="1">
      <c r="A21" s="166" t="inlineStr">
        <is>
          <t>B</t>
        </is>
      </c>
      <c r="B21" s="20" t="inlineStr">
        <is>
          <t>B1</t>
        </is>
      </c>
      <c r="C21" s="18" t="inlineStr">
        <is>
          <t>Specialist</t>
        </is>
      </c>
      <c r="D21" s="110" t="inlineStr">
        <is>
          <t>Associate Product Manager</t>
        </is>
      </c>
      <c r="E21" s="111" t="inlineStr">
        <is>
          <t>Product Management</t>
        </is>
      </c>
      <c r="F21" s="111" t="inlineStr">
        <is>
          <t>Product Management</t>
        </is>
      </c>
      <c r="G21" s="111" t="inlineStr">
        <is>
          <t>Product Management</t>
        </is>
      </c>
      <c r="H21" s="111" t="inlineStr">
        <is>
          <t>IC</t>
        </is>
      </c>
      <c r="I21" s="112" t="n">
        <v>2</v>
      </c>
      <c r="J21" s="162" t="n">
        <v>3</v>
      </c>
      <c r="K21" s="163" t="n">
        <v>3</v>
      </c>
      <c r="L21" s="163" t="n">
        <v>3</v>
      </c>
      <c r="M21" s="163" t="n">
        <v>1</v>
      </c>
      <c r="N21" s="115" t="inlineStr">
        <is>
          <t>Index ≥ 90% · meets; must-haves at required level</t>
        </is>
      </c>
      <c r="O21"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1"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1"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21" s="119" t="inlineStr">
        <is>
          <t>• ★ Product, Platform &amp; Domain Knowledge: Handles most product and domain scenarios
• ★ Business Analysis &amp; Requirements Engineering: Writes BRD / FSD / user stories and validates them</t>
        </is>
      </c>
      <c r="S21"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t>
          </r>
        </is>
      </c>
      <c r="T21" s="165" t="inlineStr">
        <is>
          <t>—</t>
        </is>
      </c>
      <c r="U21" s="121" t="inlineStr">
        <is>
          <t>Scenario interview; Case study; Data case / practical; Case interview; Role play / behavioural interview; Work sample / portfolio</t>
        </is>
      </c>
      <c r="V21" s="122" t="inlineStr">
        <is>
          <t>Internal product certification; CBAP / CCBA · optional; Power BI / Tableau · optional; MBA / PGDM · preferred at C+; Vendor AI certifications · optional</t>
        </is>
      </c>
      <c r="W21" s="122" t="inlineStr">
        <is>
          <t>Product discovery, roadmap and P&amp;L basics; mandatory: POSH, Code of Conduct, InfoSec &amp; Privacy</t>
        </is>
      </c>
      <c r="X21" s="122" t="inlineStr">
        <is>
          <t>91% · 1 of 2</t>
        </is>
      </c>
      <c r="Y21" s="122" t="inlineStr">
        <is>
          <t>Requirements · Analytics &amp; BI · Stakeholder mgmt · Learning agility</t>
        </is>
      </c>
      <c r="Z21" s="122" t="inlineStr">
        <is>
          <t>People Leadership &amp; Mentoring · Product, Platform &amp; Domain Knowledge · Stakeholder &amp; Client Management · AI, GenAI &amp; Prompt Engineering</t>
        </is>
      </c>
    </row>
    <row r="22" ht="184" customHeight="1">
      <c r="A22" s="166" t="inlineStr">
        <is>
          <t>B</t>
        </is>
      </c>
      <c r="B22" s="20" t="inlineStr">
        <is>
          <t>B2</t>
        </is>
      </c>
      <c r="C22" s="18" t="inlineStr">
        <is>
          <t>Senior Specialist</t>
        </is>
      </c>
      <c r="D22" s="110" t="inlineStr">
        <is>
          <t>Product Manager</t>
        </is>
      </c>
      <c r="E22" s="111" t="inlineStr">
        <is>
          <t>Product Management</t>
        </is>
      </c>
      <c r="F22" s="111" t="inlineStr">
        <is>
          <t>Product Management</t>
        </is>
      </c>
      <c r="G22" s="111" t="inlineStr">
        <is>
          <t>Product Management</t>
        </is>
      </c>
      <c r="H22" s="111" t="inlineStr">
        <is>
          <t>IC</t>
        </is>
      </c>
      <c r="I22" s="112" t="n">
        <v>2</v>
      </c>
      <c r="J22" s="162" t="n">
        <v>3</v>
      </c>
      <c r="K22" s="163" t="n">
        <v>3</v>
      </c>
      <c r="L22" s="163" t="n">
        <v>4</v>
      </c>
      <c r="M22" s="163" t="n">
        <v>2</v>
      </c>
      <c r="N22" s="115" t="inlineStr">
        <is>
          <t>Index ≥ 90% · meets; must-haves at required level</t>
        </is>
      </c>
      <c r="O22"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2"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2"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22" s="119" t="inlineStr">
        <is>
          <t>• ★ Product, Platform &amp; Domain Knowledge: Recognised product / domain expert; trains others
• ★ Business Analysis &amp; Requirements Engineering: Leads complex requirement programmes; sets BA standards</t>
        </is>
      </c>
      <c r="S22" s="165"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t>
          </r>
        </is>
      </c>
      <c r="T22" s="165" t="inlineStr">
        <is>
          <t>—</t>
        </is>
      </c>
      <c r="U22" s="121" t="inlineStr">
        <is>
          <t>Scenario interview; Case study; Data case / practical; Case interview; Role play / behavioural interview; Work sample / portfolio</t>
        </is>
      </c>
      <c r="V22" s="122" t="inlineStr">
        <is>
          <t>Internal product certification; CBAP / CCBA · optional; Power BI / Tableau · optional; MBA / PGDM · preferred at C+; Vendor AI certifications · optional</t>
        </is>
      </c>
      <c r="W22" s="122" t="inlineStr">
        <is>
          <t>Product discovery, roadmap and P&amp;L basics; mandatory: POSH, Code of Conduct, InfoSec &amp; Privacy</t>
        </is>
      </c>
      <c r="X22" s="122" t="inlineStr">
        <is>
          <t>97% · 1 of 2</t>
        </is>
      </c>
      <c r="Y22" s="122" t="inlineStr">
        <is>
          <t>Developing people · Requirements · Analytics &amp; BI · Business acumen</t>
        </is>
      </c>
      <c r="Z22" s="122" t="inlineStr">
        <is>
          <t>AI, GenAI &amp; Prompt Engineering · Product, Platform &amp; Domain Knowledge · Stakeholder &amp; Client Management · People Leadership &amp; Mentoring</t>
        </is>
      </c>
    </row>
    <row r="23" ht="184" customHeight="1">
      <c r="A23" s="166" t="inlineStr">
        <is>
          <t>B</t>
        </is>
      </c>
      <c r="B23" s="20" t="inlineStr">
        <is>
          <t>B2</t>
        </is>
      </c>
      <c r="C23" s="18" t="inlineStr">
        <is>
          <t>Senior Specialist</t>
        </is>
      </c>
      <c r="D23" s="110" t="inlineStr">
        <is>
          <t>Senior Technical Specialist – POD Lead</t>
        </is>
      </c>
      <c r="E23" s="111" t="inlineStr">
        <is>
          <t>Backend Development</t>
        </is>
      </c>
      <c r="F23" s="111" t="inlineStr">
        <is>
          <t>Engineering &amp; Development</t>
        </is>
      </c>
      <c r="G23" s="111" t="inlineStr">
        <is>
          <t>Technology</t>
        </is>
      </c>
      <c r="H23" s="111" t="inlineStr">
        <is>
          <t>POD Lead</t>
        </is>
      </c>
      <c r="I23" s="112" t="n">
        <v>1</v>
      </c>
      <c r="J23" s="162" t="n">
        <v>3</v>
      </c>
      <c r="K23" s="163" t="n">
        <v>3</v>
      </c>
      <c r="L23" s="163" t="n">
        <v>4</v>
      </c>
      <c r="M23" s="163" t="n">
        <v>3</v>
      </c>
      <c r="N23" s="115" t="inlineStr">
        <is>
          <t>Index ≥ 90% · meets; must-haves at required level</t>
        </is>
      </c>
      <c r="O23"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3"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3"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23" s="119" t="inlineStr">
        <is>
          <t>• ★ Programming &amp; Tech-Stack Depth: Sets coding standards; solves performance and design issues across modules
• ★ System Design &amp; Architecture: Designs scalable, secure solutions across products; reviews designs</t>
        </is>
      </c>
      <c r="S23" s="165"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23" s="165" t="inlineStr">
        <is>
          <t>—</t>
        </is>
      </c>
      <c r="U23" s="121" t="inlineStr">
        <is>
          <t>Coding test + code review; System-design interview / design review; SQL test / case; Practical task; Work sample / portfolio; Scenario interview</t>
        </is>
      </c>
      <c r="V23" s="122" t="inlineStr">
        <is>
          <t>Cloud / language certifications · optional; AWS / Azure architect · optional; Database certifications · optional; AWS / Azure / Kubernetes certifications; Vendor AI certifications · optional; Internal product certification</t>
        </is>
      </c>
      <c r="W23" s="122" t="inlineStr">
        <is>
          <t>Secure coding · OWASP, code review, unit testing; mandatory: POSH, Code of Conduct, InfoSec &amp; Privacy</t>
        </is>
      </c>
      <c r="X23" s="122" t="inlineStr">
        <is>
          <t>82% · 0 of 1</t>
        </is>
      </c>
      <c r="Y23" s="122" t="inlineStr">
        <is>
          <t>Programming &amp; stack · System design · SQL &amp; data</t>
        </is>
      </c>
      <c r="Z23" s="122" t="inlineStr">
        <is>
          <t>People Leadership &amp; Mentoring · Project, Program &amp; Agile Management</t>
        </is>
      </c>
    </row>
    <row r="24" ht="184" customHeight="1">
      <c r="A24" s="166" t="inlineStr">
        <is>
          <t>B</t>
        </is>
      </c>
      <c r="B24" s="20" t="inlineStr">
        <is>
          <t>B2</t>
        </is>
      </c>
      <c r="C24" s="18" t="inlineStr">
        <is>
          <t>Senior Specialist</t>
        </is>
      </c>
      <c r="D24" s="110" t="inlineStr">
        <is>
          <t>Marketing Specialist – POD Lead</t>
        </is>
      </c>
      <c r="E24" s="111" t="inlineStr">
        <is>
          <t>Marketing Leadership</t>
        </is>
      </c>
      <c r="F24" s="111" t="inlineStr">
        <is>
          <t>Marketing &amp; Communications</t>
        </is>
      </c>
      <c r="G24" s="111" t="inlineStr">
        <is>
          <t>Marketing</t>
        </is>
      </c>
      <c r="H24" s="111" t="inlineStr">
        <is>
          <t>POD Lead</t>
        </is>
      </c>
      <c r="I24" s="112" t="n">
        <v>1</v>
      </c>
      <c r="J24" s="162" t="n">
        <v>3</v>
      </c>
      <c r="K24" s="163" t="n">
        <v>3</v>
      </c>
      <c r="L24" s="163" t="n">
        <v>4</v>
      </c>
      <c r="M24" s="163" t="n">
        <v>3</v>
      </c>
      <c r="N24" s="115" t="inlineStr">
        <is>
          <t>Index ≥ 90% · meets; must-haves at required level</t>
        </is>
      </c>
      <c r="O24"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4"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4"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24" s="119" t="inlineStr">
        <is>
          <t>• ★ Marketing Tech &amp; Digital Marketing: Owns digital strategy, funnel and marketing analytics
• ★ Communication &amp; Presentation: Presents to senior stakeholders; shapes messaging</t>
        </is>
      </c>
      <c r="S24" s="165"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24" s="165" t="inlineStr">
        <is>
          <t>—</t>
        </is>
      </c>
      <c r="U24" s="121" t="inlineStr">
        <is>
          <t>Portfolio / case; Presentation / writing test; Data case / practical; Work sample / portfolio; Scenario interview; Case interview</t>
        </is>
      </c>
      <c r="V24" s="122" t="inlineStr">
        <is>
          <t>Google / HubSpot certifications; Power BI / Tableau · optional; Vendor AI certifications · optional; Internal product certification; MBA / PGDM · preferred at C+</t>
        </is>
      </c>
      <c r="W24" s="122" t="inlineStr">
        <is>
          <t>Brand and data-privacy rules for campaigns; mandatory: POSH, Code of Conduct, InfoSec &amp; Privacy</t>
        </is>
      </c>
      <c r="X24" s="122" t="inlineStr">
        <is>
          <t>91% · 1 of 1</t>
        </is>
      </c>
      <c r="Y24" s="122" t="inlineStr">
        <is>
          <t>Communication · AI / GenAI · Product &amp; domain</t>
        </is>
      </c>
      <c r="Z24" s="122" t="inlineStr">
        <is>
          <t>People Leadership &amp; Mentoring · Strategic Thinking &amp; Business Acumen · AI, GenAI &amp; Prompt Engineering</t>
        </is>
      </c>
    </row>
    <row r="25" ht="184" customHeight="1">
      <c r="A25" s="166" t="inlineStr">
        <is>
          <t>B</t>
        </is>
      </c>
      <c r="B25" s="20" t="inlineStr">
        <is>
          <t>B2</t>
        </is>
      </c>
      <c r="C25" s="18" t="inlineStr">
        <is>
          <t>Senior Specialist</t>
        </is>
      </c>
      <c r="D25" s="110" t="inlineStr">
        <is>
          <t>Senior Program Specialist – POD Lead</t>
        </is>
      </c>
      <c r="E25" s="111" t="inlineStr">
        <is>
          <t>Field Outreach &amp; Programme Sales</t>
        </is>
      </c>
      <c r="F25" s="111" t="inlineStr">
        <is>
          <t>Sales &amp; Business Development</t>
        </is>
      </c>
      <c r="G25" s="111" t="inlineStr">
        <is>
          <t>Datatech - Outreach</t>
        </is>
      </c>
      <c r="H25" s="111" t="inlineStr">
        <is>
          <t>POD Lead</t>
        </is>
      </c>
      <c r="I25" s="112" t="n">
        <v>1</v>
      </c>
      <c r="J25" s="162" t="n">
        <v>3</v>
      </c>
      <c r="K25" s="163" t="n">
        <v>3</v>
      </c>
      <c r="L25" s="163" t="n">
        <v>4</v>
      </c>
      <c r="M25" s="163" t="n">
        <v>3</v>
      </c>
      <c r="N25" s="115" t="inlineStr">
        <is>
          <t>Index ≥ 90% · meets; must-haves at required level</t>
        </is>
      </c>
      <c r="O25"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5"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5"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25" s="119" t="inlineStr">
        <is>
          <t>• ★ Sales, Negotiation &amp; Account Growth: Owns key accounts; negotiates complex deals; grows revenue
• ★ Marketing Tech &amp; Digital Marketing: Owns digital strategy, funnel and marketing analytics</t>
        </is>
      </c>
      <c r="S25"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25" s="165" t="inlineStr">
        <is>
          <t>—</t>
        </is>
      </c>
      <c r="U25" s="121" t="inlineStr">
        <is>
          <t>Sales role play; Portfolio / case; Role play / behavioural interview; Presentation / writing test; Scenario interview; Case interview</t>
        </is>
      </c>
      <c r="V25" s="122" t="inlineStr">
        <is>
          <t>Google / HubSpot certifications; Internal product certification; MBA / PGDM · preferred at C+</t>
        </is>
      </c>
      <c r="W25" s="122" t="inlineStr">
        <is>
          <t>CRM hygiene; contract basics; mandatory: POSH, Code of Conduct, InfoSec &amp; Privacy</t>
        </is>
      </c>
      <c r="X25" s="122" t="inlineStr">
        <is>
          <t>106% · 1 of 1</t>
        </is>
      </c>
      <c r="Y25" s="122" t="inlineStr">
        <is>
          <t>AI literacy · Innovation</t>
        </is>
      </c>
      <c r="Z25" s="122" t="inlineStr">
        <is>
          <t>People Leadership &amp; Mentoring · Strategic Thinking &amp; Business Acumen · Advanced Excel &amp; Productivity Tools</t>
        </is>
      </c>
    </row>
    <row r="26" ht="184" customHeight="1">
      <c r="A26" s="166" t="inlineStr">
        <is>
          <t>B</t>
        </is>
      </c>
      <c r="B26" s="20" t="inlineStr">
        <is>
          <t>B2</t>
        </is>
      </c>
      <c r="C26" s="18" t="inlineStr">
        <is>
          <t>Manager</t>
        </is>
      </c>
      <c r="D26" s="110" t="inlineStr">
        <is>
          <t>Product Manager</t>
        </is>
      </c>
      <c r="E26" s="111" t="inlineStr">
        <is>
          <t>Product Management</t>
        </is>
      </c>
      <c r="F26" s="111" t="inlineStr">
        <is>
          <t>Product Management</t>
        </is>
      </c>
      <c r="G26" s="111" t="inlineStr">
        <is>
          <t>Product Management</t>
        </is>
      </c>
      <c r="H26" s="111" t="inlineStr">
        <is>
          <t>People Manager</t>
        </is>
      </c>
      <c r="I26" s="112" t="n">
        <v>1</v>
      </c>
      <c r="J26" s="162" t="n">
        <v>3</v>
      </c>
      <c r="K26" s="163" t="n">
        <v>3</v>
      </c>
      <c r="L26" s="163" t="n">
        <v>4</v>
      </c>
      <c r="M26" s="163" t="n">
        <v>3</v>
      </c>
      <c r="N26" s="115" t="inlineStr">
        <is>
          <t>Index ≥ 90% · meets; must-haves at required level</t>
        </is>
      </c>
      <c r="O26"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6"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6"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26" s="119" t="inlineStr">
        <is>
          <t>• ★ Product, Platform &amp; Domain Knowledge: Recognised product / domain expert; trains others
• ★ Business Analysis &amp; Requirements Engineering: Leads complex requirement programmes; sets BA standards</t>
        </is>
      </c>
      <c r="S26" s="165"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t>
          </r>
        </is>
      </c>
      <c r="T26" s="165" t="inlineStr">
        <is>
          <t>—</t>
        </is>
      </c>
      <c r="U26" s="121" t="inlineStr">
        <is>
          <t>Scenario interview; Case study; Data case / practical; Case interview; Role play / behavioural interview; Work sample / portfolio</t>
        </is>
      </c>
      <c r="V26" s="122" t="inlineStr">
        <is>
          <t>Internal product certification; CBAP / CCBA · optional; Power BI / Tableau · optional; MBA / PGDM · preferred at C+; Vendor AI certifications · optional</t>
        </is>
      </c>
      <c r="W26" s="122" t="inlineStr">
        <is>
          <t>Product discovery, roadmap and P&amp;L basics; mandatory: POSH, Code of Conduct, InfoSec &amp; Privacy</t>
        </is>
      </c>
      <c r="X26" s="122" t="inlineStr">
        <is>
          <t>103% · 1 of 1</t>
        </is>
      </c>
      <c r="Y26" s="122" t="inlineStr">
        <is>
          <t>Requirements · Analytics &amp; BI · AI / GenAI</t>
        </is>
      </c>
      <c r="Z26" s="122" t="inlineStr">
        <is>
          <t>Strategic Thinking &amp; Business Acumen · AI, GenAI &amp; Prompt Engineering · People Leadership &amp; Mentoring</t>
        </is>
      </c>
    </row>
    <row r="27" ht="184" customHeight="1">
      <c r="A27" s="166" t="inlineStr">
        <is>
          <t>B</t>
        </is>
      </c>
      <c r="B27" s="20" t="inlineStr">
        <is>
          <t>B2</t>
        </is>
      </c>
      <c r="C27" s="18" t="inlineStr">
        <is>
          <t>Manager</t>
        </is>
      </c>
      <c r="D27" s="110" t="inlineStr">
        <is>
          <t>Program Manager – Outreach</t>
        </is>
      </c>
      <c r="E27" s="111" t="inlineStr">
        <is>
          <t>Field Outreach &amp; Programme Sales</t>
        </is>
      </c>
      <c r="F27" s="111" t="inlineStr">
        <is>
          <t>Sales &amp; Business Development</t>
        </is>
      </c>
      <c r="G27" s="111" t="inlineStr">
        <is>
          <t>Datatech - Outreach</t>
        </is>
      </c>
      <c r="H27" s="111" t="inlineStr">
        <is>
          <t>People Manager</t>
        </is>
      </c>
      <c r="I27" s="112" t="n">
        <v>1</v>
      </c>
      <c r="J27" s="162" t="n">
        <v>3</v>
      </c>
      <c r="K27" s="163" t="n">
        <v>3</v>
      </c>
      <c r="L27" s="163" t="n">
        <v>4</v>
      </c>
      <c r="M27" s="163" t="n">
        <v>3</v>
      </c>
      <c r="N27" s="115" t="inlineStr">
        <is>
          <t>Index ≥ 90% · meets; must-haves at required level</t>
        </is>
      </c>
      <c r="O27"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7"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7"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27" s="119" t="inlineStr">
        <is>
          <t>• ★ Sales, Negotiation &amp; Account Growth: Owns key accounts; negotiates complex deals; grows revenue
• ★ Marketing Tech &amp; Digital Marketing: Owns digital strategy, funnel and marketing analytics</t>
        </is>
      </c>
      <c r="S27"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27" s="165" t="inlineStr">
        <is>
          <t>—</t>
        </is>
      </c>
      <c r="U27" s="121" t="inlineStr">
        <is>
          <t>Sales role play; Portfolio / case; Role play / behavioural interview; Presentation / writing test; Scenario interview; Case interview</t>
        </is>
      </c>
      <c r="V27" s="122" t="inlineStr">
        <is>
          <t>Google / HubSpot certifications; Internal product certification; MBA / PGDM · preferred at C+</t>
        </is>
      </c>
      <c r="W27" s="122" t="inlineStr">
        <is>
          <t>CRM hygiene; contract basics; mandatory: POSH, Code of Conduct, InfoSec &amp; Privacy</t>
        </is>
      </c>
      <c r="X27" s="122" t="inlineStr">
        <is>
          <t>93% · 1 of 1</t>
        </is>
      </c>
      <c r="Y27" s="122" t="inlineStr">
        <is>
          <t>Communication · Product &amp; domain · Ownership</t>
        </is>
      </c>
      <c r="Z27" s="122" t="inlineStr">
        <is>
          <t>Project, Program &amp; Agile Management · People Leadership &amp; Mentoring · Sales, Negotiation &amp; Account Growth</t>
        </is>
      </c>
    </row>
    <row r="28" ht="20" customHeight="1">
      <c r="A28" s="160" t="inlineStr">
        <is>
          <t>Band C — Principal / Head</t>
        </is>
      </c>
    </row>
    <row r="29" ht="184" customHeight="1">
      <c r="A29" s="167" t="inlineStr">
        <is>
          <t>C</t>
        </is>
      </c>
      <c r="B29" s="33" t="inlineStr">
        <is>
          <t>C1</t>
        </is>
      </c>
      <c r="C29" s="151" t="inlineStr">
        <is>
          <t>Principal</t>
        </is>
      </c>
      <c r="D29" s="110" t="inlineStr">
        <is>
          <t>Solution Architect</t>
        </is>
      </c>
      <c r="E29" s="111" t="inlineStr">
        <is>
          <t>Solution &amp; Technical Architecture</t>
        </is>
      </c>
      <c r="F29" s="111" t="inlineStr">
        <is>
          <t>Engineering &amp; Architecture</t>
        </is>
      </c>
      <c r="G29" s="111" t="inlineStr">
        <is>
          <t>Technology</t>
        </is>
      </c>
      <c r="H29" s="111" t="inlineStr">
        <is>
          <t>IC</t>
        </is>
      </c>
      <c r="I29" s="112" t="n">
        <v>1</v>
      </c>
      <c r="J29" s="162" t="n">
        <v>4</v>
      </c>
      <c r="K29" s="163" t="n">
        <v>4</v>
      </c>
      <c r="L29" s="163" t="n">
        <v>4</v>
      </c>
      <c r="M29" s="163" t="n">
        <v>4</v>
      </c>
      <c r="N29" s="115" t="inlineStr">
        <is>
          <t>Index ≥ 90% · meets; must-haves at required level</t>
        </is>
      </c>
      <c r="O29"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29"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29"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29" s="119" t="inlineStr">
        <is>
          <t>• ★ System Design &amp; Architecture: Designs scalable, secure solutions across products; reviews designs
• ★ Programming &amp; Tech-Stack Depth: Sets coding standards; solves performance and design issues across modules</t>
        </is>
      </c>
      <c r="S29" s="165" t="inlineStr">
        <is>
          <r>
            <rPr>
              <rFont val="Calibri"/>
              <sz val="10"/>
            </rPr>
            <t xml:space="preserve">• </t>
          </r>
          <r>
            <rPr>
              <rFont val="Calibri"/>
              <b val="1"/>
              <sz val="10"/>
            </rPr>
            <t>Cloud, DevOps &amp; CI/CD:</t>
          </r>
          <r>
            <rPr>
              <rFont val="Calibri"/>
              <sz val="10"/>
            </rPr>
            <t xml:space="preserve"> Designs platform, monitoring and release strategy
• </t>
          </r>
          <r>
            <rPr>
              <rFont val="Calibri"/>
              <b val="1"/>
              <sz val="10"/>
            </rPr>
            <t>Cybersecurity &amp; Infrastructure:</t>
          </r>
          <r>
            <rPr>
              <rFont val="Calibri"/>
              <sz val="10"/>
            </rPr>
            <t xml:space="preserve"> Designs secure infrastructure; leads audits and incident response
• </t>
          </r>
          <r>
            <rPr>
              <rFont val="Calibri"/>
              <b val="1"/>
              <sz val="10"/>
            </rPr>
            <t>Stakeholder &amp; Client Management:</t>
          </r>
          <r>
            <rPr>
              <rFont val="Calibri"/>
              <sz val="10"/>
            </rPr>
            <t xml:space="preserve"> Owns key relationships; resolves escalations
• </t>
          </r>
          <r>
            <rPr>
              <rFont val="Calibri"/>
              <b val="1"/>
              <sz val="10"/>
            </rPr>
            <t>Strategic Thinking &amp; Business Acumen:</t>
          </r>
          <r>
            <rPr>
              <rFont val="Calibri"/>
              <sz val="10"/>
            </rPr>
            <t xml:space="preserve"> Shapes strategy, pricing or investment choices</t>
          </r>
        </is>
      </c>
      <c r="T29" s="165" t="inlineStr">
        <is>
          <t>—</t>
        </is>
      </c>
      <c r="U29" s="121" t="inlineStr">
        <is>
          <t>System-design interview / design review; Coding test + code review; Practical task; Role play / behavioural interview; Case interview</t>
        </is>
      </c>
      <c r="V29" s="122" t="inlineStr">
        <is>
          <t>AWS / Azure architect · optional; Cloud / language certifications · optional; AWS / Azure / Kubernetes certifications; Microsoft / CCNA / ISO 27001 / ITIL; MBA / PGDM · preferred at C+</t>
        </is>
      </c>
      <c r="W29" s="122" t="inlineStr">
        <is>
          <t>Architecture governance, security by design; mandatory: POSH, Code of Conduct, InfoSec &amp; Privacy</t>
        </is>
      </c>
      <c r="X29" s="122" t="inlineStr">
        <is>
          <t>—</t>
        </is>
      </c>
      <c r="Y29" s="122" t="inlineStr">
        <is>
          <t>—</t>
        </is>
      </c>
      <c r="Z29" s="122" t="inlineStr">
        <is>
          <t>People Leadership &amp; Mentoring · Stakeholder &amp; Client Management · Strategic Thinking &amp; Business Acumen</t>
        </is>
      </c>
    </row>
    <row r="30" ht="184" customHeight="1">
      <c r="A30" s="167" t="inlineStr">
        <is>
          <t>C</t>
        </is>
      </c>
      <c r="B30" s="33" t="inlineStr">
        <is>
          <t>C1</t>
        </is>
      </c>
      <c r="C30" s="151" t="inlineStr">
        <is>
          <t>Principal</t>
        </is>
      </c>
      <c r="D30" s="110" t="inlineStr">
        <is>
          <t>Principal – Sales</t>
        </is>
      </c>
      <c r="E30" s="111" t="inlineStr">
        <is>
          <t>Sales Leadership</t>
        </is>
      </c>
      <c r="F30" s="111" t="inlineStr">
        <is>
          <t>Sales &amp; Business Development</t>
        </is>
      </c>
      <c r="G30" s="111" t="inlineStr">
        <is>
          <t>Sales</t>
        </is>
      </c>
      <c r="H30" s="111" t="inlineStr">
        <is>
          <t>IC</t>
        </is>
      </c>
      <c r="I30" s="112" t="n">
        <v>1</v>
      </c>
      <c r="J30" s="162" t="n">
        <v>4</v>
      </c>
      <c r="K30" s="163" t="n">
        <v>4</v>
      </c>
      <c r="L30" s="163" t="n">
        <v>4</v>
      </c>
      <c r="M30" s="163" t="n">
        <v>4</v>
      </c>
      <c r="N30" s="115" t="inlineStr">
        <is>
          <t>Index ≥ 90% · meets; must-haves at required level</t>
        </is>
      </c>
      <c r="O30"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30"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30"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30" s="119" t="inlineStr">
        <is>
          <t>• ★ Sales, Negotiation &amp; Account Growth: Owns key accounts; negotiates complex deals; grows revenue
• ★ Marketing Tech &amp; Digital Marketing: Owns digital strategy, funnel and marketing analytics</t>
        </is>
      </c>
      <c r="S30"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30" s="165" t="inlineStr">
        <is>
          <t>—</t>
        </is>
      </c>
      <c r="U30" s="121" t="inlineStr">
        <is>
          <t>Sales role play; Portfolio / case; Role play / behavioural interview; Presentation / writing test; Scenario interview; Case interview</t>
        </is>
      </c>
      <c r="V30" s="122" t="inlineStr">
        <is>
          <t>Google / HubSpot certifications; Internal product certification; MBA / PGDM · preferred at C+</t>
        </is>
      </c>
      <c r="W30" s="122" t="inlineStr">
        <is>
          <t>CRM hygiene; contract basics; mandatory: POSH, Code of Conduct, InfoSec &amp; Privacy</t>
        </is>
      </c>
      <c r="X30" s="122" t="inlineStr">
        <is>
          <t>—</t>
        </is>
      </c>
      <c r="Y30" s="122" t="inlineStr">
        <is>
          <t>—</t>
        </is>
      </c>
      <c r="Z30" s="122" t="inlineStr">
        <is>
          <t>People Leadership &amp; Mentoring · Strategic Thinking &amp; Business Acumen</t>
        </is>
      </c>
    </row>
    <row r="31" ht="20" customHeight="1">
      <c r="A31" s="160" t="inlineStr">
        <is>
          <t>Band D — Business leadership</t>
        </is>
      </c>
    </row>
    <row r="32" ht="197" customHeight="1">
      <c r="A32" s="168" t="inlineStr">
        <is>
          <t>D</t>
        </is>
      </c>
      <c r="B32" s="39" t="inlineStr">
        <is>
          <t>D2</t>
        </is>
      </c>
      <c r="C32" s="146" t="inlineStr">
        <is>
          <t>Vice President</t>
        </is>
      </c>
      <c r="D32" s="110" t="inlineStr">
        <is>
          <t>Business Head – DataTech</t>
        </is>
      </c>
      <c r="E32" s="111" t="inlineStr">
        <is>
          <t>Business &amp; Functional Leadership</t>
        </is>
      </c>
      <c r="F32" s="111" t="inlineStr">
        <is>
          <t>Executive Leadership</t>
        </is>
      </c>
      <c r="G32" s="111" t="inlineStr">
        <is>
          <t>Datatech Business Head</t>
        </is>
      </c>
      <c r="H32" s="111" t="inlineStr">
        <is>
          <t>People Manager</t>
        </is>
      </c>
      <c r="I32" s="112" t="n">
        <v>1</v>
      </c>
      <c r="J32" s="162" t="n">
        <v>5</v>
      </c>
      <c r="K32" s="163" t="n">
        <v>4</v>
      </c>
      <c r="L32" s="163" t="n">
        <v>4</v>
      </c>
      <c r="M32" s="163" t="n">
        <v>5</v>
      </c>
      <c r="N32" s="115" t="inlineStr">
        <is>
          <t>Index ≥ 90% · meets; must-haves at required level</t>
        </is>
      </c>
      <c r="O32" s="118" t="inlineStr">
        <is>
          <r>
            <rPr>
              <rFont val="Calibri"/>
              <sz val="10"/>
            </rPr>
            <t xml:space="preserve">•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t>
          </r>
        </is>
      </c>
      <c r="P32"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32" s="164" t="inlineStr">
        <is>
          <r>
            <rPr>
              <rFont val="Calibri"/>
              <sz val="10"/>
            </rPr>
            <t xml:space="preserve">•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t>
          </r>
        </is>
      </c>
      <c r="R32" s="119" t="inlineStr">
        <is>
          <t>• ★ Strategic Thinking &amp; Business Acumen: Shapes strategy, pricing or investment choices
• ★ People Leadership &amp; Mentoring: Leads leaders; builds succession</t>
        </is>
      </c>
      <c r="S32"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t>
          </r>
        </is>
      </c>
      <c r="T32" s="165" t="inlineStr">
        <is>
          <t>—</t>
        </is>
      </c>
      <c r="U32" s="121" t="inlineStr">
        <is>
          <t>Case interview; Behavioural interview; Role play / behavioural interview; Scenario interview; Domain interview; Presentation / writing test</t>
        </is>
      </c>
      <c r="V32" s="122" t="inlineStr">
        <is>
          <t>MBA / PGDM · preferred at C+; Internal product certification; Domain certifications · optional</t>
        </is>
      </c>
      <c r="W32" s="122" t="inlineStr">
        <is>
          <t>Governance, risk and regulatory accountability; mandatory: POSH, Code of Conduct, InfoSec &amp; Privacy</t>
        </is>
      </c>
      <c r="X32" s="122" t="inlineStr">
        <is>
          <t>—</t>
        </is>
      </c>
      <c r="Y32" s="122" t="inlineStr">
        <is>
          <t>—</t>
        </is>
      </c>
      <c r="Z32" s="122" t="inlineStr">
        <is>
          <t>Strategic Thinking &amp; Business Acumen</t>
        </is>
      </c>
    </row>
    <row r="33" ht="20" customHeight="1">
      <c r="A33" s="160" t="inlineStr">
        <is>
          <t>Band X — Consultants · statement of work</t>
        </is>
      </c>
    </row>
    <row r="34" ht="67" customHeight="1">
      <c r="A34" s="169" t="inlineStr">
        <is>
          <t>X</t>
        </is>
      </c>
      <c r="B34" s="45" t="inlineStr">
        <is>
          <t>X1</t>
        </is>
      </c>
      <c r="C34" s="136" t="inlineStr">
        <is>
          <t>Associate Consultant</t>
        </is>
      </c>
      <c r="D34" s="110" t="inlineStr">
        <is>
          <t>Associate Consultant – Software Development</t>
        </is>
      </c>
      <c r="E34" s="111" t="inlineStr">
        <is>
          <t>Backend Development</t>
        </is>
      </c>
      <c r="F34" s="111" t="inlineStr">
        <is>
          <t>Engineering &amp; Development</t>
        </is>
      </c>
      <c r="G34" s="111" t="inlineStr">
        <is>
          <t>Technology</t>
        </is>
      </c>
      <c r="H34" s="111" t="inlineStr">
        <is>
          <t>Consultant</t>
        </is>
      </c>
      <c r="I34" s="112" t="n">
        <v>3</v>
      </c>
      <c r="J34" s="162" t="inlineStr">
        <is>
          <t>—</t>
        </is>
      </c>
      <c r="K34" s="163" t="inlineStr">
        <is>
          <t>—</t>
        </is>
      </c>
      <c r="L34" s="163" t="inlineStr">
        <is>
          <t>—</t>
        </is>
      </c>
      <c r="M34" s="163" t="inlineStr">
        <is>
          <t>—</t>
        </is>
      </c>
      <c r="N34" s="115" t="inlineStr">
        <is>
          <t>Index ≥ 90% · meets; must-haves at required level</t>
        </is>
      </c>
      <c r="O34" s="118" t="inlineStr">
        <is>
          <t>Per statement of work · consultant</t>
        </is>
      </c>
      <c r="P34" s="164" t="inlineStr">
        <is>
          <t>Per statement of work · consultant</t>
        </is>
      </c>
      <c r="Q34" s="164" t="inlineStr">
        <is>
          <t>Per statement of work · consultant</t>
        </is>
      </c>
      <c r="R34" s="119" t="inlineStr">
        <is>
          <t>Per statement of work · consultant</t>
        </is>
      </c>
      <c r="S34" s="165" t="inlineStr">
        <is>
          <t>Per statement of work · consultant</t>
        </is>
      </c>
      <c r="T34" s="165" t="inlineStr">
        <is>
          <t>Per statement of work · consultant</t>
        </is>
      </c>
      <c r="U34" s="121" t="inlineStr">
        <is>
          <t>—</t>
        </is>
      </c>
      <c r="V34" s="122" t="inlineStr">
        <is>
          <t>—</t>
        </is>
      </c>
      <c r="W34" s="122" t="inlineStr">
        <is>
          <t>—</t>
        </is>
      </c>
      <c r="X34" s="122" t="inlineStr">
        <is>
          <t>—</t>
        </is>
      </c>
      <c r="Y34" s="122" t="inlineStr">
        <is>
          <t>—</t>
        </is>
      </c>
      <c r="Z34" s="122" t="inlineStr">
        <is>
          <t>—</t>
        </is>
      </c>
    </row>
    <row r="35" ht="67" customHeight="1">
      <c r="A35" s="169" t="inlineStr">
        <is>
          <t>X</t>
        </is>
      </c>
      <c r="B35" s="45" t="inlineStr">
        <is>
          <t>X1</t>
        </is>
      </c>
      <c r="C35" s="136" t="inlineStr">
        <is>
          <t>Associate Consultant</t>
        </is>
      </c>
      <c r="D35" s="110" t="inlineStr">
        <is>
          <t>Associate Consultant – Demand Generation, Brand &amp; Events</t>
        </is>
      </c>
      <c r="E35" s="111" t="inlineStr">
        <is>
          <t>Marketing · role not recorded</t>
        </is>
      </c>
      <c r="F35" s="111" t="inlineStr">
        <is>
          <t>Marketing &amp; Communications</t>
        </is>
      </c>
      <c r="G35" s="111" t="inlineStr">
        <is>
          <t>Marketing</t>
        </is>
      </c>
      <c r="H35" s="111" t="inlineStr">
        <is>
          <t>Consultant</t>
        </is>
      </c>
      <c r="I35" s="112" t="n">
        <v>1</v>
      </c>
      <c r="J35" s="162" t="inlineStr">
        <is>
          <t>—</t>
        </is>
      </c>
      <c r="K35" s="163" t="inlineStr">
        <is>
          <t>—</t>
        </is>
      </c>
      <c r="L35" s="163" t="inlineStr">
        <is>
          <t>—</t>
        </is>
      </c>
      <c r="M35" s="163" t="inlineStr">
        <is>
          <t>—</t>
        </is>
      </c>
      <c r="N35" s="115" t="inlineStr">
        <is>
          <t>Index ≥ 90% · meets; must-haves at required level</t>
        </is>
      </c>
      <c r="O35" s="118" t="inlineStr">
        <is>
          <t>Per statement of work · consultant</t>
        </is>
      </c>
      <c r="P35" s="164" t="inlineStr">
        <is>
          <t>Per statement of work · consultant</t>
        </is>
      </c>
      <c r="Q35" s="164" t="inlineStr">
        <is>
          <t>Per statement of work · consultant</t>
        </is>
      </c>
      <c r="R35" s="119" t="inlineStr">
        <is>
          <t>Per statement of work · consultant</t>
        </is>
      </c>
      <c r="S35" s="165" t="inlineStr">
        <is>
          <t>Per statement of work · consultant</t>
        </is>
      </c>
      <c r="T35" s="165" t="inlineStr">
        <is>
          <t>Per statement of work · consultant</t>
        </is>
      </c>
      <c r="U35" s="121" t="inlineStr">
        <is>
          <t>—</t>
        </is>
      </c>
      <c r="V35" s="122" t="inlineStr">
        <is>
          <t>—</t>
        </is>
      </c>
      <c r="W35" s="122" t="inlineStr">
        <is>
          <t>—</t>
        </is>
      </c>
      <c r="X35" s="122" t="inlineStr">
        <is>
          <t>—</t>
        </is>
      </c>
      <c r="Y35" s="122" t="inlineStr">
        <is>
          <t>—</t>
        </is>
      </c>
      <c r="Z35" s="122" t="inlineStr">
        <is>
          <t>—</t>
        </is>
      </c>
    </row>
    <row r="36" ht="67" customHeight="1">
      <c r="A36" s="169" t="inlineStr">
        <is>
          <t>X</t>
        </is>
      </c>
      <c r="B36" s="45" t="inlineStr">
        <is>
          <t>X1</t>
        </is>
      </c>
      <c r="C36" s="136" t="inlineStr">
        <is>
          <t>Associate Consultant</t>
        </is>
      </c>
      <c r="D36" s="110" t="inlineStr">
        <is>
          <t>Associate Consultant – Software Development</t>
        </is>
      </c>
      <c r="E36" s="111" t="inlineStr">
        <is>
          <t>Role not recorded · external consultant</t>
        </is>
      </c>
      <c r="F36" s="111" t="inlineStr">
        <is>
          <t>Unassigned</t>
        </is>
      </c>
      <c r="G36" s="111" t="inlineStr">
        <is>
          <t>Not provided · HRIS</t>
        </is>
      </c>
      <c r="H36" s="111" t="inlineStr">
        <is>
          <t>Consultant</t>
        </is>
      </c>
      <c r="I36" s="112" t="n">
        <v>2</v>
      </c>
      <c r="J36" s="162" t="inlineStr">
        <is>
          <t>—</t>
        </is>
      </c>
      <c r="K36" s="163" t="inlineStr">
        <is>
          <t>—</t>
        </is>
      </c>
      <c r="L36" s="163" t="inlineStr">
        <is>
          <t>—</t>
        </is>
      </c>
      <c r="M36" s="163" t="inlineStr">
        <is>
          <t>—</t>
        </is>
      </c>
      <c r="N36" s="115" t="inlineStr">
        <is>
          <t>Index ≥ 90% · meets; must-haves at required level</t>
        </is>
      </c>
      <c r="O36" s="118" t="inlineStr">
        <is>
          <t>Per statement of work · consultant</t>
        </is>
      </c>
      <c r="P36" s="164" t="inlineStr">
        <is>
          <t>Per statement of work · consultant</t>
        </is>
      </c>
      <c r="Q36" s="164" t="inlineStr">
        <is>
          <t>Per statement of work · consultant</t>
        </is>
      </c>
      <c r="R36" s="119" t="inlineStr">
        <is>
          <t>Per statement of work · consultant</t>
        </is>
      </c>
      <c r="S36" s="165" t="inlineStr">
        <is>
          <t>Per statement of work · consultant</t>
        </is>
      </c>
      <c r="T36" s="165" t="inlineStr">
        <is>
          <t>Per statement of work · consultant</t>
        </is>
      </c>
      <c r="U36" s="121" t="inlineStr">
        <is>
          <t>—</t>
        </is>
      </c>
      <c r="V36" s="122" t="inlineStr">
        <is>
          <t>—</t>
        </is>
      </c>
      <c r="W36" s="122" t="inlineStr">
        <is>
          <t>—</t>
        </is>
      </c>
      <c r="X36" s="122" t="inlineStr">
        <is>
          <t>—</t>
        </is>
      </c>
      <c r="Y36" s="122" t="inlineStr">
        <is>
          <t>—</t>
        </is>
      </c>
      <c r="Z36" s="122" t="inlineStr">
        <is>
          <t>—</t>
        </is>
      </c>
    </row>
  </sheetData>
  <mergeCells count="16">
    <mergeCell ref="A1:T1"/>
    <mergeCell ref="A28:Z28"/>
    <mergeCell ref="O5:Q5"/>
    <mergeCell ref="F4:G4"/>
    <mergeCell ref="U5:Z5"/>
    <mergeCell ref="A4:E4"/>
    <mergeCell ref="A5:I5"/>
    <mergeCell ref="J5:N5"/>
    <mergeCell ref="A3:T3"/>
    <mergeCell ref="R5:T5"/>
    <mergeCell ref="A31:Z31"/>
    <mergeCell ref="H4:M4"/>
    <mergeCell ref="A20:Z20"/>
    <mergeCell ref="A2:T2"/>
    <mergeCell ref="A7:Z7"/>
    <mergeCell ref="A33:Z33"/>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1.xml><?xml version="1.0" encoding="utf-8"?>
<worksheet xmlns="http://schemas.openxmlformats.org/spreadsheetml/2006/main">
  <sheetPr>
    <tabColor rgb="007030A0"/>
    <outlinePr summaryBelow="1" summaryRight="1"/>
    <pageSetUpPr fitToPage="1"/>
  </sheetPr>
  <dimension ref="A1:U273"/>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30" customWidth="1" min="3" max="3"/>
    <col width="1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30" customWidth="1" min="16" max="16"/>
    <col width="30" customWidth="1" min="17" max="17"/>
    <col width="18" customWidth="1" min="18" max="18"/>
    <col width="20" customWidth="1" min="19" max="19"/>
    <col width="22" customWidth="1" min="20" max="20"/>
    <col width="13" customWidth="1" min="21" max="21"/>
  </cols>
  <sheetData>
    <row r="1" ht="34" customHeight="1">
      <c r="A1" s="1" t="inlineStr">
        <is>
          <t>Capability Framework — by department · Master M11, Steps 10–11</t>
        </is>
      </c>
      <c r="U1" s="241" t="inlineStr">
        <is>
          <t>◂ Contents</t>
        </is>
      </c>
    </row>
    <row r="2" ht="32" customHeight="1">
      <c r="A2" s="3" t="inlineStr">
        <is>
          <t>Sheet 5 · The level sizes the role; the capability framework defines what a person in it must be able to do, and how well · proficiency 1–5, aligned to SFIA 9. Company-wide clusters first, then each department: its families, capability health, technical competencies by level, learning focus and career paths.</t>
        </is>
      </c>
    </row>
    <row r="3">
      <c r="A3" s="4" t="inlineStr">
        <is>
          <t>IRIS · Job Architecture &amp; Job Design · Final v1.12 · October 2026 · Internal — Confidential</t>
        </is>
      </c>
    </row>
    <row r="4" ht="15" customHeight="1"/>
    <row r="5" ht="20" customHeight="1">
      <c r="A5" s="6" t="inlineStr">
        <is>
          <t>A. Rules and scale</t>
        </is>
      </c>
    </row>
    <row r="6" ht="15" customHeight="1">
      <c r="A6" s="12" t="inlineStr">
        <is>
          <t>ID</t>
        </is>
      </c>
      <c r="B6" s="12" t="inlineStr">
        <is>
          <t>Rule</t>
        </is>
      </c>
      <c r="C6" s="210" t="n"/>
      <c r="D6" s="210" t="n"/>
      <c r="E6" s="210" t="n"/>
      <c r="F6" s="210" t="n"/>
      <c r="G6" s="210" t="n"/>
      <c r="H6" s="210" t="n"/>
      <c r="I6" s="210" t="n"/>
      <c r="J6" s="210" t="n"/>
      <c r="K6" s="210" t="n"/>
      <c r="L6" s="210" t="n"/>
      <c r="M6" s="210" t="n"/>
      <c r="N6" s="210" t="n"/>
      <c r="O6" s="210" t="n"/>
      <c r="P6" s="209" t="n"/>
      <c r="Q6" s="12" t="inlineStr">
        <is>
          <t>Sources</t>
        </is>
      </c>
      <c r="R6" s="209" t="n"/>
    </row>
    <row r="7" ht="28" customHeight="1">
      <c r="A7" s="13" t="inlineStr">
        <is>
          <t>C1</t>
        </is>
      </c>
      <c r="B7" s="16" t="inlineStr">
        <is>
          <r>
            <rPr>
              <rFont val="Calibri"/>
              <b val="1"/>
              <sz val="10"/>
            </rPr>
            <t>Four clusters:</t>
          </r>
          <r>
            <rPr>
              <rFont val="Calibri"/>
              <sz val="10"/>
            </rPr>
            <t xml:space="preserve"> Core, Future-ready, Functional · 6 per family plus department technical competencies, Leadership. Additional requirements are gates, not scores.</t>
          </r>
        </is>
      </c>
      <c r="C7" s="210" t="n"/>
      <c r="D7" s="210" t="n"/>
      <c r="E7" s="210" t="n"/>
      <c r="F7" s="210" t="n"/>
      <c r="G7" s="210" t="n"/>
      <c r="H7" s="210" t="n"/>
      <c r="I7" s="210" t="n"/>
      <c r="J7" s="210" t="n"/>
      <c r="K7" s="210" t="n"/>
      <c r="L7" s="210" t="n"/>
      <c r="M7" s="210" t="n"/>
      <c r="N7" s="210" t="n"/>
      <c r="O7" s="210" t="n"/>
      <c r="P7" s="209" t="n"/>
      <c r="Q7" s="16" t="inlineStr">
        <is>
          <t>S14, S15, S12, S08</t>
        </is>
      </c>
      <c r="R7" s="209" t="n"/>
    </row>
    <row r="8" ht="15" customHeight="1">
      <c r="A8" s="13" t="inlineStr">
        <is>
          <t>C2</t>
        </is>
      </c>
      <c r="B8" s="16" t="inlineStr">
        <is>
          <t>Proficiency is rated 1–5 on a scale aligned to SFIA levels; the required proficiency is set by level.</t>
        </is>
      </c>
      <c r="C8" s="210" t="n"/>
      <c r="D8" s="210" t="n"/>
      <c r="E8" s="210" t="n"/>
      <c r="F8" s="210" t="n"/>
      <c r="G8" s="210" t="n"/>
      <c r="H8" s="210" t="n"/>
      <c r="I8" s="210" t="n"/>
      <c r="J8" s="210" t="n"/>
      <c r="K8" s="210" t="n"/>
      <c r="L8" s="210" t="n"/>
      <c r="M8" s="210" t="n"/>
      <c r="N8" s="210" t="n"/>
      <c r="O8" s="210" t="n"/>
      <c r="P8" s="209" t="n"/>
      <c r="Q8" s="16" t="inlineStr">
        <is>
          <t>S08</t>
        </is>
      </c>
      <c r="R8" s="209" t="n"/>
    </row>
    <row r="9" ht="15" customHeight="1">
      <c r="A9" s="13" t="inlineStr">
        <is>
          <t>C+</t>
        </is>
      </c>
      <c r="B9" s="16" t="inlineStr">
        <is>
          <t>Score per competency = rating ÷ required · capped at 120%. Cluster weights by level and track build the competency index.</t>
        </is>
      </c>
      <c r="C9" s="210" t="n"/>
      <c r="D9" s="210" t="n"/>
      <c r="E9" s="210" t="n"/>
      <c r="F9" s="210" t="n"/>
      <c r="G9" s="210" t="n"/>
      <c r="H9" s="210" t="n"/>
      <c r="I9" s="210" t="n"/>
      <c r="J9" s="210" t="n"/>
      <c r="K9" s="210" t="n"/>
      <c r="L9" s="210" t="n"/>
      <c r="M9" s="210" t="n"/>
      <c r="N9" s="210" t="n"/>
      <c r="O9" s="210" t="n"/>
      <c r="P9" s="209" t="n"/>
      <c r="Q9" s="16" t="inlineStr">
        <is>
          <t>—</t>
        </is>
      </c>
      <c r="R9" s="209" t="n"/>
    </row>
    <row r="10" ht="15" customHeight="1">
      <c r="A10" s="13" t="inlineStr">
        <is>
          <t>C4</t>
        </is>
      </c>
      <c r="B10" s="16" t="inlineStr">
        <is>
          <r>
            <rPr>
              <rFont val="Calibri"/>
              <b val="1"/>
              <sz val="10"/>
            </rPr>
            <t>Fit:</t>
          </r>
          <r>
            <rPr>
              <rFont val="Calibri"/>
              <sz val="10"/>
            </rPr>
            <t xml:space="preserve"> ≥ 105% exceeds · 90–104% meets · 75–89% developing · &lt; 75% gap.</t>
          </r>
        </is>
      </c>
      <c r="C10" s="210" t="n"/>
      <c r="D10" s="210" t="n"/>
      <c r="E10" s="210" t="n"/>
      <c r="F10" s="210" t="n"/>
      <c r="G10" s="210" t="n"/>
      <c r="H10" s="210" t="n"/>
      <c r="I10" s="210" t="n"/>
      <c r="J10" s="210" t="n"/>
      <c r="K10" s="210" t="n"/>
      <c r="L10" s="210" t="n"/>
      <c r="M10" s="210" t="n"/>
      <c r="N10" s="210" t="n"/>
      <c r="O10" s="210" t="n"/>
      <c r="P10" s="209" t="n"/>
      <c r="Q10" s="16" t="inlineStr">
        <is>
          <t>—</t>
        </is>
      </c>
      <c r="R10" s="209" t="n"/>
    </row>
    <row r="11" ht="15" customHeight="1">
      <c r="A11" s="13" t="inlineStr">
        <is>
          <t>C5</t>
        </is>
      </c>
      <c r="B11" s="16" t="inlineStr">
        <is>
          <t>Must-have · ★ competencies must be at the required proficiency for hiring and lateral moves.</t>
        </is>
      </c>
      <c r="C11" s="210" t="n"/>
      <c r="D11" s="210" t="n"/>
      <c r="E11" s="210" t="n"/>
      <c r="F11" s="210" t="n"/>
      <c r="G11" s="210" t="n"/>
      <c r="H11" s="210" t="n"/>
      <c r="I11" s="210" t="n"/>
      <c r="J11" s="210" t="n"/>
      <c r="K11" s="210" t="n"/>
      <c r="L11" s="210" t="n"/>
      <c r="M11" s="210" t="n"/>
      <c r="N11" s="210" t="n"/>
      <c r="O11" s="210" t="n"/>
      <c r="P11" s="209" t="n"/>
      <c r="Q11" s="16" t="inlineStr">
        <is>
          <t>S38</t>
        </is>
      </c>
      <c r="R11" s="209" t="n"/>
    </row>
    <row r="12" ht="15" customHeight="1"/>
    <row r="13" ht="15" customHeight="1">
      <c r="A13" s="12" t="inlineStr">
        <is>
          <t>Rating</t>
        </is>
      </c>
      <c r="B13" s="12" t="inlineStr">
        <is>
          <t>Label</t>
        </is>
      </c>
      <c r="C13" s="210" t="n"/>
      <c r="D13" s="209" t="n"/>
      <c r="E13" s="12" t="inlineStr">
        <is>
          <t>SFIA alignment</t>
        </is>
      </c>
      <c r="F13" s="210" t="n"/>
      <c r="G13" s="210" t="n"/>
      <c r="H13" s="209" t="n"/>
      <c r="I13" s="12" t="inlineStr">
        <is>
          <t>What it looks like</t>
        </is>
      </c>
      <c r="J13" s="210" t="n"/>
      <c r="K13" s="210" t="n"/>
      <c r="L13" s="210" t="n"/>
      <c r="M13" s="210" t="n"/>
      <c r="N13" s="210" t="n"/>
      <c r="O13" s="210" t="n"/>
      <c r="P13" s="210" t="n"/>
      <c r="Q13" s="210" t="n"/>
      <c r="R13" s="209" t="n"/>
    </row>
    <row r="14" ht="28" customHeight="1">
      <c r="A14" s="170" t="n">
        <v>1</v>
      </c>
      <c r="B14" s="16" t="inlineStr">
        <is>
          <t>Awareness</t>
        </is>
      </c>
      <c r="C14" s="210" t="n"/>
      <c r="D14" s="209" t="n"/>
      <c r="E14" s="16" t="inlineStr">
        <is>
          <t>SFIA 1–2 · Follow / Assist</t>
        </is>
      </c>
      <c r="F14" s="210" t="n"/>
      <c r="G14" s="210" t="n"/>
      <c r="H14" s="209" t="n"/>
      <c r="I14" s="16" t="inlineStr">
        <is>
          <t>Knows the concepts; does defined tasks with close guidance; all work reviewed.</t>
        </is>
      </c>
      <c r="J14" s="210" t="n"/>
      <c r="K14" s="210" t="n"/>
      <c r="L14" s="210" t="n"/>
      <c r="M14" s="210" t="n"/>
      <c r="N14" s="210" t="n"/>
      <c r="O14" s="210" t="n"/>
      <c r="P14" s="210" t="n"/>
      <c r="Q14" s="210" t="n"/>
      <c r="R14" s="209" t="n"/>
    </row>
    <row r="15" ht="28" customHeight="1">
      <c r="A15" s="170" t="n">
        <v>2</v>
      </c>
      <c r="B15" s="16" t="inlineStr">
        <is>
          <t>Working</t>
        </is>
      </c>
      <c r="C15" s="210" t="n"/>
      <c r="D15" s="209" t="n"/>
      <c r="E15" s="16" t="inlineStr">
        <is>
          <t>SFIA 2–3 · Assist / Apply</t>
        </is>
      </c>
      <c r="F15" s="210" t="n"/>
      <c r="G15" s="210" t="n"/>
      <c r="H15" s="209" t="n"/>
      <c r="I15" s="16" t="inlineStr">
        <is>
          <t>Applies the skill to standard work with routine guidance; work spot-checked.</t>
        </is>
      </c>
      <c r="J15" s="210" t="n"/>
      <c r="K15" s="210" t="n"/>
      <c r="L15" s="210" t="n"/>
      <c r="M15" s="210" t="n"/>
      <c r="N15" s="210" t="n"/>
      <c r="O15" s="210" t="n"/>
      <c r="P15" s="210" t="n"/>
      <c r="Q15" s="210" t="n"/>
      <c r="R15" s="209" t="n"/>
    </row>
    <row r="16" ht="28" customHeight="1">
      <c r="A16" s="170" t="n">
        <v>3</v>
      </c>
      <c r="B16" s="16" t="inlineStr">
        <is>
          <t>Practitioner</t>
        </is>
      </c>
      <c r="C16" s="210" t="n"/>
      <c r="D16" s="209" t="n"/>
      <c r="E16" s="16" t="inlineStr">
        <is>
          <t>SFIA 3–4 · Apply / Enable</t>
        </is>
      </c>
      <c r="F16" s="210" t="n"/>
      <c r="G16" s="210" t="n"/>
      <c r="H16" s="209" t="n"/>
      <c r="I16" s="16" t="inlineStr">
        <is>
          <t>Applies independently to varied, non-routine work; reviews and helps others.</t>
        </is>
      </c>
      <c r="J16" s="210" t="n"/>
      <c r="K16" s="210" t="n"/>
      <c r="L16" s="210" t="n"/>
      <c r="M16" s="210" t="n"/>
      <c r="N16" s="210" t="n"/>
      <c r="O16" s="210" t="n"/>
      <c r="P16" s="210" t="n"/>
      <c r="Q16" s="210" t="n"/>
      <c r="R16" s="209" t="n"/>
    </row>
    <row r="17" ht="28" customHeight="1">
      <c r="A17" s="170" t="n">
        <v>4</v>
      </c>
      <c r="B17" s="16" t="inlineStr">
        <is>
          <t>Advanced</t>
        </is>
      </c>
      <c r="C17" s="210" t="n"/>
      <c r="D17" s="209" t="n"/>
      <c r="E17" s="16" t="inlineStr">
        <is>
          <t>SFIA 4–5 · Enable / Ensure</t>
        </is>
      </c>
      <c r="F17" s="210" t="n"/>
      <c r="G17" s="210" t="n"/>
      <c r="H17" s="209" t="n"/>
      <c r="I17" s="16" t="inlineStr">
        <is>
          <t>Solves the hardest problems; sets standards; coaches others; the recognised go-to.</t>
        </is>
      </c>
      <c r="J17" s="210" t="n"/>
      <c r="K17" s="210" t="n"/>
      <c r="L17" s="210" t="n"/>
      <c r="M17" s="210" t="n"/>
      <c r="N17" s="210" t="n"/>
      <c r="O17" s="210" t="n"/>
      <c r="P17" s="210" t="n"/>
      <c r="Q17" s="210" t="n"/>
      <c r="R17" s="209" t="n"/>
    </row>
    <row r="18" ht="28" customHeight="1">
      <c r="A18" s="170" t="n">
        <v>5</v>
      </c>
      <c r="B18" s="16" t="inlineStr">
        <is>
          <t>Expert / Strategic</t>
        </is>
      </c>
      <c r="C18" s="210" t="n"/>
      <c r="D18" s="209" t="n"/>
      <c r="E18" s="16" t="inlineStr">
        <is>
          <t>SFIA 6–7 · Initiate / Set strategy</t>
        </is>
      </c>
      <c r="F18" s="210" t="n"/>
      <c r="G18" s="210" t="n"/>
      <c r="H18" s="209" t="n"/>
      <c r="I18" s="16" t="inlineStr">
        <is>
          <t>Shapes direction across IRIS or the industry; creates new methods; external authority.</t>
        </is>
      </c>
      <c r="J18" s="210" t="n"/>
      <c r="K18" s="210" t="n"/>
      <c r="L18" s="210" t="n"/>
      <c r="M18" s="210" t="n"/>
      <c r="N18" s="210" t="n"/>
      <c r="O18" s="210" t="n"/>
      <c r="P18" s="210" t="n"/>
      <c r="Q18" s="210" t="n"/>
      <c r="R18" s="209" t="n"/>
    </row>
    <row r="19" ht="15" customHeight="1"/>
    <row r="20" ht="15" customHeight="1">
      <c r="A20" s="12" t="inlineStr">
        <is>
          <t>Use</t>
        </is>
      </c>
      <c r="B20" s="209" t="n"/>
      <c r="C20" s="12" t="inlineStr">
        <is>
          <t>How</t>
        </is>
      </c>
      <c r="D20" s="210" t="n"/>
      <c r="E20" s="210" t="n"/>
      <c r="F20" s="210" t="n"/>
      <c r="G20" s="210" t="n"/>
      <c r="H20" s="209" t="n"/>
      <c r="I20" s="12" t="inlineStr">
        <is>
          <t>Decision rule</t>
        </is>
      </c>
      <c r="J20" s="210" t="n"/>
      <c r="K20" s="210" t="n"/>
      <c r="L20" s="210" t="n"/>
      <c r="M20" s="210" t="n"/>
      <c r="N20" s="210" t="n"/>
      <c r="O20" s="210" t="n"/>
      <c r="P20" s="210" t="n"/>
      <c r="Q20" s="210" t="n"/>
      <c r="R20" s="209" t="n"/>
    </row>
    <row r="21" ht="28" customHeight="1">
      <c r="A21" s="13" t="inlineStr">
        <is>
          <t>Internal placement</t>
        </is>
      </c>
      <c r="B21" s="209" t="n"/>
      <c r="C21" s="16" t="inlineStr">
        <is>
          <t>Rate the person against the required profile of the role's level.</t>
        </is>
      </c>
      <c r="D21" s="210" t="n"/>
      <c r="E21" s="210" t="n"/>
      <c r="F21" s="210" t="n"/>
      <c r="G21" s="210" t="n"/>
      <c r="H21" s="209" t="n"/>
      <c r="I21" s="16" t="inlineStr">
        <is>
          <t>Competency index ≥ 90% = meets the level; 75–89% = developing · placement confirmed with a plan; &lt; 75% = gap · placement reviewed.</t>
        </is>
      </c>
      <c r="J21" s="210" t="n"/>
      <c r="K21" s="210" t="n"/>
      <c r="L21" s="210" t="n"/>
      <c r="M21" s="210" t="n"/>
      <c r="N21" s="210" t="n"/>
      <c r="O21" s="210" t="n"/>
      <c r="P21" s="210" t="n"/>
      <c r="Q21" s="210" t="n"/>
      <c r="R21" s="209" t="n"/>
    </row>
    <row r="22" ht="28" customHeight="1">
      <c r="A22" s="13" t="inlineStr">
        <is>
          <t>Promotion</t>
        </is>
      </c>
      <c r="B22" s="209" t="n"/>
      <c r="C22" s="16" t="inlineStr">
        <is>
          <t>Rate against the NEXT level's profile; combine with the level framework rules and performance.</t>
        </is>
      </c>
      <c r="D22" s="210" t="n"/>
      <c r="E22" s="210" t="n"/>
      <c r="F22" s="210" t="n"/>
      <c r="G22" s="210" t="n"/>
      <c r="H22" s="209" t="n"/>
      <c r="I22" s="16" t="inlineStr">
        <is>
          <t>Next-level index ≥ 90% + rating ≥ 4 in the last 2 cycles + a role of that scope exists.</t>
        </is>
      </c>
      <c r="J22" s="210" t="n"/>
      <c r="K22" s="210" t="n"/>
      <c r="L22" s="210" t="n"/>
      <c r="M22" s="210" t="n"/>
      <c r="N22" s="210" t="n"/>
      <c r="O22" s="210" t="n"/>
      <c r="P22" s="210" t="n"/>
      <c r="Q22" s="210" t="n"/>
      <c r="R22" s="209" t="n"/>
    </row>
    <row r="23" ht="28" customHeight="1">
      <c r="A23" s="13" t="inlineStr">
        <is>
          <t>Lateral move</t>
        </is>
      </c>
      <c r="B23" s="209" t="n"/>
      <c r="C23" s="16" t="inlineStr">
        <is>
          <t>Rate against the target family's functional competencies at the current level.</t>
        </is>
      </c>
      <c r="D23" s="210" t="n"/>
      <c r="E23" s="210" t="n"/>
      <c r="F23" s="210" t="n"/>
      <c r="G23" s="210" t="n"/>
      <c r="H23" s="209" t="n"/>
      <c r="I23" s="16" t="inlineStr">
        <is>
          <t>Both must-have competencies of the target family evidenced, ≥ 67% of its functional set, index ≥ 75% — move with a 3–6 month plan.</t>
        </is>
      </c>
      <c r="J23" s="210" t="n"/>
      <c r="K23" s="210" t="n"/>
      <c r="L23" s="210" t="n"/>
      <c r="M23" s="210" t="n"/>
      <c r="N23" s="210" t="n"/>
      <c r="O23" s="210" t="n"/>
      <c r="P23" s="210" t="n"/>
      <c r="Q23" s="210" t="n"/>
      <c r="R23" s="209" t="n"/>
    </row>
    <row r="24" ht="28" customHeight="1">
      <c r="A24" s="13" t="inlineStr">
        <is>
          <t>Hiring · campus / lateral</t>
        </is>
      </c>
      <c r="B24" s="209" t="n"/>
      <c r="C24" s="16" t="inlineStr">
        <is>
          <r>
            <rPr>
              <rFont val="Calibri"/>
              <b val="1"/>
              <sz val="10"/>
            </rPr>
            <t>Interview scorecard:</t>
          </r>
          <r>
            <rPr>
              <rFont val="Calibri"/>
              <sz val="10"/>
            </rPr>
            <t xml:space="preserve"> assess each must-have and the cluster profile for the hiring level.</t>
          </r>
        </is>
      </c>
      <c r="D24" s="210" t="n"/>
      <c r="E24" s="210" t="n"/>
      <c r="F24" s="210" t="n"/>
      <c r="G24" s="210" t="n"/>
      <c r="H24" s="209" t="n"/>
      <c r="I24" s="16" t="inlineStr">
        <is>
          <t>All must-haves at required proficiency, no cluster below 75%, overall index ≥ 90%; else hire one level lower.</t>
        </is>
      </c>
      <c r="J24" s="210" t="n"/>
      <c r="K24" s="210" t="n"/>
      <c r="L24" s="210" t="n"/>
      <c r="M24" s="210" t="n"/>
      <c r="N24" s="210" t="n"/>
      <c r="O24" s="210" t="n"/>
      <c r="P24" s="210" t="n"/>
      <c r="Q24" s="210" t="n"/>
      <c r="R24" s="209" t="n"/>
    </row>
    <row r="25" ht="28" customHeight="1">
      <c r="A25" s="13" t="inlineStr">
        <is>
          <t>Development</t>
        </is>
      </c>
      <c r="B25" s="209" t="n"/>
      <c r="C25" s="16" t="inlineStr">
        <is>
          <t>Gaps · rating below required become the individual development plan; link to learning paths.</t>
        </is>
      </c>
      <c r="D25" s="210" t="n"/>
      <c r="E25" s="210" t="n"/>
      <c r="F25" s="210" t="n"/>
      <c r="G25" s="210" t="n"/>
      <c r="H25" s="209" t="n"/>
      <c r="I25" s="16" t="inlineStr">
        <is>
          <t>Top 3 gaps per person shown on sheet 8; reviewed twice a year.</t>
        </is>
      </c>
      <c r="J25" s="210" t="n"/>
      <c r="K25" s="210" t="n"/>
      <c r="L25" s="210" t="n"/>
      <c r="M25" s="210" t="n"/>
      <c r="N25" s="210" t="n"/>
      <c r="O25" s="210" t="n"/>
      <c r="P25" s="210" t="n"/>
      <c r="Q25" s="210" t="n"/>
      <c r="R25" s="209" t="n"/>
    </row>
    <row r="26" ht="15" customHeight="1"/>
    <row r="27" ht="20" customHeight="1">
      <c r="A27" s="6" t="inlineStr">
        <is>
          <t>B. Required proficiency by level and cluster weights · bottom to top</t>
        </is>
      </c>
    </row>
    <row r="28" ht="28" customHeight="1">
      <c r="A28" s="12" t="inlineStr">
        <is>
          <t>Level</t>
        </is>
      </c>
      <c r="B28" s="12" t="inlineStr">
        <is>
          <t>Core</t>
        </is>
      </c>
      <c r="C28" s="209" t="n"/>
      <c r="D28" s="12" t="inlineStr">
        <is>
          <t>Future-ready</t>
        </is>
      </c>
      <c r="E28" s="209" t="n"/>
      <c r="F28" s="12" t="inlineStr">
        <is>
          <t>Functional</t>
        </is>
      </c>
      <c r="G28" s="209" t="n"/>
      <c r="H28" s="12" t="inlineStr">
        <is>
          <t>Leadership — IC</t>
        </is>
      </c>
      <c r="I28" s="209" t="n"/>
      <c r="J28" s="12" t="inlineStr">
        <is>
          <t>Leadership — POD / Mgr</t>
        </is>
      </c>
      <c r="K28" s="209" t="n"/>
      <c r="L28" s="12" t="inlineStr">
        <is>
          <t>Weights IC</t>
        </is>
      </c>
      <c r="M28" s="210" t="n"/>
      <c r="N28" s="209" t="n"/>
      <c r="O28" s="12" t="inlineStr">
        <is>
          <t>Weights POD Lead</t>
        </is>
      </c>
      <c r="P28" s="209" t="n"/>
      <c r="Q28" s="12" t="inlineStr">
        <is>
          <t>Weights Manager</t>
        </is>
      </c>
      <c r="R28" s="209" t="n"/>
    </row>
    <row r="29" ht="28" customHeight="1">
      <c r="A29" s="26" t="inlineStr">
        <is>
          <t>A1</t>
        </is>
      </c>
      <c r="B29" s="26" t="n">
        <v>1</v>
      </c>
      <c r="C29" s="209" t="n"/>
      <c r="D29" s="26" t="n">
        <v>1</v>
      </c>
      <c r="E29" s="209" t="n"/>
      <c r="F29" s="26" t="n">
        <v>1</v>
      </c>
      <c r="G29" s="209" t="n"/>
      <c r="H29" s="26" t="inlineStr">
        <is>
          <t>not scored</t>
        </is>
      </c>
      <c r="I29" s="209" t="n"/>
      <c r="J29" s="26" t="inlineStr">
        <is>
          <t>not scored</t>
        </is>
      </c>
      <c r="K29" s="209" t="n"/>
      <c r="L29" s="26" t="inlineStr">
        <is>
          <t>30% / 20% / 50% / 0%</t>
        </is>
      </c>
      <c r="M29" s="210" t="n"/>
      <c r="N29" s="209" t="n"/>
      <c r="O29" s="26" t="inlineStr">
        <is>
          <t>—</t>
        </is>
      </c>
      <c r="P29" s="209" t="n"/>
      <c r="Q29" s="26" t="inlineStr">
        <is>
          <t>30% / 20% / 50% / 0%</t>
        </is>
      </c>
      <c r="R29" s="209" t="n"/>
    </row>
    <row r="30" ht="28" customHeight="1">
      <c r="A30" s="26" t="inlineStr">
        <is>
          <t>A2</t>
        </is>
      </c>
      <c r="B30" s="26" t="n">
        <v>2</v>
      </c>
      <c r="C30" s="209" t="n"/>
      <c r="D30" s="26" t="n">
        <v>2</v>
      </c>
      <c r="E30" s="209" t="n"/>
      <c r="F30" s="26" t="n">
        <v>2</v>
      </c>
      <c r="G30" s="209" t="n"/>
      <c r="H30" s="26" t="inlineStr">
        <is>
          <t>not scored</t>
        </is>
      </c>
      <c r="I30" s="209" t="n"/>
      <c r="J30" s="26" t="inlineStr">
        <is>
          <t>not scored</t>
        </is>
      </c>
      <c r="K30" s="209" t="n"/>
      <c r="L30" s="26" t="inlineStr">
        <is>
          <t>30% / 20% / 50% / 0%</t>
        </is>
      </c>
      <c r="M30" s="210" t="n"/>
      <c r="N30" s="209" t="n"/>
      <c r="O30" s="26" t="inlineStr">
        <is>
          <t>—</t>
        </is>
      </c>
      <c r="P30" s="209" t="n"/>
      <c r="Q30" s="26" t="inlineStr">
        <is>
          <t>30% / 20% / 50% / 0%</t>
        </is>
      </c>
      <c r="R30" s="209" t="n"/>
    </row>
    <row r="31" ht="28" customHeight="1">
      <c r="A31" s="26" t="inlineStr">
        <is>
          <t>A3</t>
        </is>
      </c>
      <c r="B31" s="26" t="n">
        <v>2</v>
      </c>
      <c r="C31" s="209" t="n"/>
      <c r="D31" s="26" t="n">
        <v>2</v>
      </c>
      <c r="E31" s="209" t="n"/>
      <c r="F31" s="26" t="n">
        <v>3</v>
      </c>
      <c r="G31" s="209" t="n"/>
      <c r="H31" s="26" t="inlineStr">
        <is>
          <t>not scored</t>
        </is>
      </c>
      <c r="I31" s="209" t="n"/>
      <c r="J31" s="26" t="inlineStr">
        <is>
          <t>not scored</t>
        </is>
      </c>
      <c r="K31" s="209" t="n"/>
      <c r="L31" s="26" t="inlineStr">
        <is>
          <t>30% / 20% / 50% / 0%</t>
        </is>
      </c>
      <c r="M31" s="210" t="n"/>
      <c r="N31" s="209" t="n"/>
      <c r="O31" s="26" t="inlineStr">
        <is>
          <t>—</t>
        </is>
      </c>
      <c r="P31" s="209" t="n"/>
      <c r="Q31" s="26" t="inlineStr">
        <is>
          <t>30% / 20% / 50% / 0%</t>
        </is>
      </c>
      <c r="R31" s="209" t="n"/>
    </row>
    <row r="32" ht="28" customHeight="1">
      <c r="A32" s="20" t="inlineStr">
        <is>
          <t>B1</t>
        </is>
      </c>
      <c r="B32" s="20" t="n">
        <v>3</v>
      </c>
      <c r="C32" s="209" t="n"/>
      <c r="D32" s="20" t="n">
        <v>3</v>
      </c>
      <c r="E32" s="209" t="n"/>
      <c r="F32" s="20" t="n">
        <v>3</v>
      </c>
      <c r="G32" s="209" t="n"/>
      <c r="H32" s="20" t="n">
        <v>1</v>
      </c>
      <c r="I32" s="209" t="n"/>
      <c r="J32" s="20" t="n">
        <v>2</v>
      </c>
      <c r="K32" s="209" t="n"/>
      <c r="L32" s="20" t="inlineStr">
        <is>
          <t>25% / 20% / 45% / 10%</t>
        </is>
      </c>
      <c r="M32" s="210" t="n"/>
      <c r="N32" s="209" t="n"/>
      <c r="O32" s="20" t="inlineStr">
        <is>
          <t>25% / 15% / 40% / 20%</t>
        </is>
      </c>
      <c r="P32" s="209" t="n"/>
      <c r="Q32" s="20" t="inlineStr">
        <is>
          <t>25% / 15% / 30% / 30%</t>
        </is>
      </c>
      <c r="R32" s="209" t="n"/>
    </row>
    <row r="33" ht="28" customHeight="1">
      <c r="A33" s="20" t="inlineStr">
        <is>
          <t>B2</t>
        </is>
      </c>
      <c r="B33" s="20" t="n">
        <v>3</v>
      </c>
      <c r="C33" s="209" t="n"/>
      <c r="D33" s="20" t="n">
        <v>3</v>
      </c>
      <c r="E33" s="209" t="n"/>
      <c r="F33" s="20" t="n">
        <v>4</v>
      </c>
      <c r="G33" s="209" t="n"/>
      <c r="H33" s="20" t="n">
        <v>2</v>
      </c>
      <c r="I33" s="209" t="n"/>
      <c r="J33" s="20" t="n">
        <v>3</v>
      </c>
      <c r="K33" s="209" t="n"/>
      <c r="L33" s="20" t="inlineStr">
        <is>
          <t>25% / 20% / 45% / 10%</t>
        </is>
      </c>
      <c r="M33" s="210" t="n"/>
      <c r="N33" s="209" t="n"/>
      <c r="O33" s="20" t="inlineStr">
        <is>
          <t>25% / 15% / 40% / 20%</t>
        </is>
      </c>
      <c r="P33" s="209" t="n"/>
      <c r="Q33" s="20" t="inlineStr">
        <is>
          <t>25% / 15% / 30% / 30%</t>
        </is>
      </c>
      <c r="R33" s="209" t="n"/>
    </row>
    <row r="34" ht="28" customHeight="1">
      <c r="A34" s="20" t="inlineStr">
        <is>
          <t>B3</t>
        </is>
      </c>
      <c r="B34" s="20" t="n">
        <v>4</v>
      </c>
      <c r="C34" s="209" t="n"/>
      <c r="D34" s="20" t="n">
        <v>3</v>
      </c>
      <c r="E34" s="209" t="n"/>
      <c r="F34" s="20" t="n">
        <v>4</v>
      </c>
      <c r="G34" s="209" t="n"/>
      <c r="H34" s="20" t="n">
        <v>3</v>
      </c>
      <c r="I34" s="209" t="n"/>
      <c r="J34" s="20" t="n">
        <v>4</v>
      </c>
      <c r="K34" s="209" t="n"/>
      <c r="L34" s="20" t="inlineStr">
        <is>
          <t>25% / 20% / 45% / 10%</t>
        </is>
      </c>
      <c r="M34" s="210" t="n"/>
      <c r="N34" s="209" t="n"/>
      <c r="O34" s="20" t="inlineStr">
        <is>
          <t>25% / 15% / 40% / 20%</t>
        </is>
      </c>
      <c r="P34" s="209" t="n"/>
      <c r="Q34" s="20" t="inlineStr">
        <is>
          <t>25% / 15% / 30% / 30%</t>
        </is>
      </c>
      <c r="R34" s="209" t="n"/>
    </row>
    <row r="35" ht="28" customHeight="1">
      <c r="A35" s="30" t="inlineStr">
        <is>
          <t>B+</t>
        </is>
      </c>
      <c r="B35" s="30" t="n">
        <v>4</v>
      </c>
      <c r="C35" s="209" t="n"/>
      <c r="D35" s="30" t="n">
        <v>4</v>
      </c>
      <c r="E35" s="209" t="n"/>
      <c r="F35" s="30" t="n">
        <v>4</v>
      </c>
      <c r="G35" s="209" t="n"/>
      <c r="H35" s="30" t="n">
        <v>4</v>
      </c>
      <c r="I35" s="209" t="n"/>
      <c r="J35" s="30" t="n">
        <v>4</v>
      </c>
      <c r="K35" s="209" t="n"/>
      <c r="L35" s="30" t="inlineStr">
        <is>
          <t>25% / 15% / 35% / 25%</t>
        </is>
      </c>
      <c r="M35" s="210" t="n"/>
      <c r="N35" s="209" t="n"/>
      <c r="O35" s="30" t="inlineStr">
        <is>
          <t>25% / 15% / 35% / 25%</t>
        </is>
      </c>
      <c r="P35" s="209" t="n"/>
      <c r="Q35" s="30" t="inlineStr">
        <is>
          <t>25% / 15% / 35% / 25%</t>
        </is>
      </c>
      <c r="R35" s="209" t="n"/>
    </row>
    <row r="36" ht="28" customHeight="1">
      <c r="A36" s="33" t="inlineStr">
        <is>
          <t>C1</t>
        </is>
      </c>
      <c r="B36" s="33" t="n">
        <v>4</v>
      </c>
      <c r="C36" s="209" t="n"/>
      <c r="D36" s="33" t="n">
        <v>4</v>
      </c>
      <c r="E36" s="209" t="n"/>
      <c r="F36" s="33" t="n">
        <v>4</v>
      </c>
      <c r="G36" s="209" t="n"/>
      <c r="H36" s="33" t="n">
        <v>4</v>
      </c>
      <c r="I36" s="209" t="n"/>
      <c r="J36" s="33" t="n">
        <v>4</v>
      </c>
      <c r="K36" s="209" t="n"/>
      <c r="L36" s="33" t="inlineStr">
        <is>
          <t>20% / 15% / 30% / 35%</t>
        </is>
      </c>
      <c r="M36" s="210" t="n"/>
      <c r="N36" s="209" t="n"/>
      <c r="O36" s="33" t="inlineStr">
        <is>
          <t>20% / 15% / 30% / 35%</t>
        </is>
      </c>
      <c r="P36" s="209" t="n"/>
      <c r="Q36" s="33" t="inlineStr">
        <is>
          <t>20% / 15% / 30% / 35%</t>
        </is>
      </c>
      <c r="R36" s="209" t="n"/>
    </row>
    <row r="37" ht="28" customHeight="1">
      <c r="A37" s="33" t="inlineStr">
        <is>
          <t>C2</t>
        </is>
      </c>
      <c r="B37" s="33" t="n">
        <v>4</v>
      </c>
      <c r="C37" s="209" t="n"/>
      <c r="D37" s="33" t="n">
        <v>4</v>
      </c>
      <c r="E37" s="209" t="n"/>
      <c r="F37" s="33" t="n">
        <v>5</v>
      </c>
      <c r="G37" s="209" t="n"/>
      <c r="H37" s="33" t="n">
        <v>4</v>
      </c>
      <c r="I37" s="209" t="n"/>
      <c r="J37" s="33" t="n">
        <v>4</v>
      </c>
      <c r="K37" s="209" t="n"/>
      <c r="L37" s="33" t="inlineStr">
        <is>
          <t>20% / 15% / 30% / 35%</t>
        </is>
      </c>
      <c r="M37" s="210" t="n"/>
      <c r="N37" s="209" t="n"/>
      <c r="O37" s="33" t="inlineStr">
        <is>
          <t>20% / 15% / 30% / 35%</t>
        </is>
      </c>
      <c r="P37" s="209" t="n"/>
      <c r="Q37" s="33" t="inlineStr">
        <is>
          <t>20% / 15% / 30% / 35%</t>
        </is>
      </c>
      <c r="R37" s="209" t="n"/>
    </row>
    <row r="38" ht="28" customHeight="1">
      <c r="A38" s="36" t="inlineStr">
        <is>
          <t>C+</t>
        </is>
      </c>
      <c r="B38" s="36" t="n">
        <v>5</v>
      </c>
      <c r="C38" s="209" t="n"/>
      <c r="D38" s="36" t="n">
        <v>4</v>
      </c>
      <c r="E38" s="209" t="n"/>
      <c r="F38" s="36" t="n">
        <v>5</v>
      </c>
      <c r="G38" s="209" t="n"/>
      <c r="H38" s="36" t="n">
        <v>5</v>
      </c>
      <c r="I38" s="209" t="n"/>
      <c r="J38" s="36" t="n">
        <v>5</v>
      </c>
      <c r="K38" s="209" t="n"/>
      <c r="L38" s="36" t="inlineStr">
        <is>
          <t>25% / 15% / 25% / 35%</t>
        </is>
      </c>
      <c r="M38" s="210" t="n"/>
      <c r="N38" s="209" t="n"/>
      <c r="O38" s="36" t="inlineStr">
        <is>
          <t>25% / 15% / 25% / 35%</t>
        </is>
      </c>
      <c r="P38" s="209" t="n"/>
      <c r="Q38" s="36" t="inlineStr">
        <is>
          <t>25% / 15% / 25% / 35%</t>
        </is>
      </c>
      <c r="R38" s="209" t="n"/>
    </row>
    <row r="39" ht="28" customHeight="1">
      <c r="A39" s="39" t="inlineStr">
        <is>
          <t>D1</t>
        </is>
      </c>
      <c r="B39" s="39" t="n">
        <v>5</v>
      </c>
      <c r="C39" s="209" t="n"/>
      <c r="D39" s="39" t="n">
        <v>4</v>
      </c>
      <c r="E39" s="209" t="n"/>
      <c r="F39" s="39" t="n">
        <v>4</v>
      </c>
      <c r="G39" s="209" t="n"/>
      <c r="H39" s="39" t="n">
        <v>5</v>
      </c>
      <c r="I39" s="209" t="n"/>
      <c r="J39" s="39" t="n">
        <v>5</v>
      </c>
      <c r="K39" s="209" t="n"/>
      <c r="L39" s="39" t="inlineStr">
        <is>
          <t>25% / 15% / 15% / 45%</t>
        </is>
      </c>
      <c r="M39" s="210" t="n"/>
      <c r="N39" s="209" t="n"/>
      <c r="O39" s="39" t="inlineStr">
        <is>
          <t>—</t>
        </is>
      </c>
      <c r="P39" s="209" t="n"/>
      <c r="Q39" s="39" t="inlineStr">
        <is>
          <t>25% / 15% / 15% / 45%</t>
        </is>
      </c>
      <c r="R39" s="209" t="n"/>
    </row>
    <row r="40" ht="28" customHeight="1">
      <c r="A40" s="39" t="inlineStr">
        <is>
          <t>D2</t>
        </is>
      </c>
      <c r="B40" s="39" t="n">
        <v>5</v>
      </c>
      <c r="C40" s="209" t="n"/>
      <c r="D40" s="39" t="n">
        <v>4</v>
      </c>
      <c r="E40" s="209" t="n"/>
      <c r="F40" s="39" t="n">
        <v>4</v>
      </c>
      <c r="G40" s="209" t="n"/>
      <c r="H40" s="39" t="n">
        <v>5</v>
      </c>
      <c r="I40" s="209" t="n"/>
      <c r="J40" s="39" t="n">
        <v>5</v>
      </c>
      <c r="K40" s="209" t="n"/>
      <c r="L40" s="39" t="inlineStr">
        <is>
          <t>25% / 15% / 15% / 45%</t>
        </is>
      </c>
      <c r="M40" s="210" t="n"/>
      <c r="N40" s="209" t="n"/>
      <c r="O40" s="39" t="inlineStr">
        <is>
          <t>—</t>
        </is>
      </c>
      <c r="P40" s="209" t="n"/>
      <c r="Q40" s="39" t="inlineStr">
        <is>
          <t>25% / 15% / 15% / 45%</t>
        </is>
      </c>
      <c r="R40" s="209" t="n"/>
    </row>
    <row r="41" ht="28" customHeight="1">
      <c r="A41" s="42" t="inlineStr">
        <is>
          <t>E1</t>
        </is>
      </c>
      <c r="B41" s="42" t="n">
        <v>5</v>
      </c>
      <c r="C41" s="209" t="n"/>
      <c r="D41" s="42" t="n">
        <v>5</v>
      </c>
      <c r="E41" s="209" t="n"/>
      <c r="F41" s="42" t="n">
        <v>4</v>
      </c>
      <c r="G41" s="209" t="n"/>
      <c r="H41" s="42" t="n">
        <v>5</v>
      </c>
      <c r="I41" s="209" t="n"/>
      <c r="J41" s="42" t="n">
        <v>5</v>
      </c>
      <c r="K41" s="209" t="n"/>
      <c r="L41" s="42" t="inlineStr">
        <is>
          <t>25% / 15% / 15% / 45%</t>
        </is>
      </c>
      <c r="M41" s="210" t="n"/>
      <c r="N41" s="209" t="n"/>
      <c r="O41" s="42" t="inlineStr">
        <is>
          <t>—</t>
        </is>
      </c>
      <c r="P41" s="209" t="n"/>
      <c r="Q41" s="42" t="inlineStr">
        <is>
          <t>25% / 15% / 15% / 45%</t>
        </is>
      </c>
      <c r="R41" s="209" t="n"/>
    </row>
    <row r="42" ht="28" customHeight="1">
      <c r="A42" s="42" t="inlineStr">
        <is>
          <t>E2</t>
        </is>
      </c>
      <c r="B42" s="42" t="n">
        <v>5</v>
      </c>
      <c r="C42" s="209" t="n"/>
      <c r="D42" s="42" t="n">
        <v>5</v>
      </c>
      <c r="E42" s="209" t="n"/>
      <c r="F42" s="42" t="n">
        <v>4</v>
      </c>
      <c r="G42" s="209" t="n"/>
      <c r="H42" s="42" t="n">
        <v>5</v>
      </c>
      <c r="I42" s="209" t="n"/>
      <c r="J42" s="42" t="n">
        <v>5</v>
      </c>
      <c r="K42" s="209" t="n"/>
      <c r="L42" s="42" t="inlineStr">
        <is>
          <t>25% / 15% / 15% / 45%</t>
        </is>
      </c>
      <c r="M42" s="210" t="n"/>
      <c r="N42" s="209" t="n"/>
      <c r="O42" s="42" t="inlineStr">
        <is>
          <t>—</t>
        </is>
      </c>
      <c r="P42" s="209" t="n"/>
      <c r="Q42" s="42" t="inlineStr">
        <is>
          <t>25% / 15% / 15% / 45%</t>
        </is>
      </c>
      <c r="R42" s="209" t="n"/>
    </row>
    <row r="43" ht="15" customHeight="1"/>
    <row r="44" ht="20" customHeight="1">
      <c r="A44" s="6" t="inlineStr">
        <is>
          <t>C. Company-wide competencies — Core, Future-ready, Leadership · with source mapping</t>
        </is>
      </c>
    </row>
    <row r="45" ht="28" customHeight="1">
      <c r="A45" s="12" t="inlineStr">
        <is>
          <t>Cluster</t>
        </is>
      </c>
      <c r="B45" s="12" t="inlineStr">
        <is>
          <t>Competency</t>
        </is>
      </c>
      <c r="C45" s="209" t="n"/>
      <c r="D45" s="12" t="inlineStr">
        <is>
          <t>Definition</t>
        </is>
      </c>
      <c r="E45" s="210" t="n"/>
      <c r="F45" s="209" t="n"/>
      <c r="G45" s="12" t="inlineStr">
        <is>
          <t>1 · Awareness</t>
        </is>
      </c>
      <c r="H45" s="209" t="n"/>
      <c r="I45" s="12" t="inlineStr">
        <is>
          <t>2 · Working</t>
        </is>
      </c>
      <c r="J45" s="209" t="n"/>
      <c r="K45" s="12" t="inlineStr">
        <is>
          <t>3 · Practitioner</t>
        </is>
      </c>
      <c r="L45" s="209" t="n"/>
      <c r="M45" s="12" t="inlineStr">
        <is>
          <t>4 · Advanced</t>
        </is>
      </c>
      <c r="N45" s="209" t="n"/>
      <c r="O45" s="12" t="inlineStr">
        <is>
          <t>5 · Expert / Strategic</t>
        </is>
      </c>
      <c r="P45" s="209" t="n"/>
      <c r="Q45" s="12" t="inlineStr">
        <is>
          <t>SHL Great Eight · KF Leadership Architect · Project Oxygen</t>
        </is>
      </c>
      <c r="R45" s="209" t="n"/>
    </row>
    <row r="46" ht="80" customHeight="1">
      <c r="A46" s="13" t="inlineStr">
        <is>
          <t>Core</t>
        </is>
      </c>
      <c r="B46" s="16" t="inlineStr">
        <is>
          <t>Ownership &amp; Accountability</t>
        </is>
      </c>
      <c r="C46" s="209" t="n"/>
      <c r="D46" s="16" t="inlineStr">
        <is>
          <t>Owns outcomes end to end — quality, deadlines and follow-through.</t>
        </is>
      </c>
      <c r="E46" s="210" t="n"/>
      <c r="F46" s="209" t="n"/>
      <c r="G46" s="16" t="inlineStr">
        <is>
          <t>Completes assigned tasks on time with help</t>
        </is>
      </c>
      <c r="H46" s="209" t="n"/>
      <c r="I46" s="16" t="inlineStr">
        <is>
          <t>Owns own deliverables; flags issues early</t>
        </is>
      </c>
      <c r="J46" s="209" t="n"/>
      <c r="K46" s="16" t="inlineStr">
        <is>
          <t>Owns a module, client or process end to end; fixes root causes</t>
        </is>
      </c>
      <c r="L46" s="209" t="n"/>
      <c r="M46" s="16" t="inlineStr">
        <is>
          <t>Owns team / practice outcomes; holds others to standards</t>
        </is>
      </c>
      <c r="N46" s="209" t="n"/>
      <c r="O46" s="16" t="inlineStr">
        <is>
          <t>Owns business outcomes; builds a culture of accountability</t>
        </is>
      </c>
      <c r="P46" s="209" t="n"/>
      <c r="Q46" s="16" t="inlineStr">
        <is>
          <t>Organising &amp; Executing; Enterprising &amp; Performing · Results — Ensures accountability</t>
        </is>
      </c>
      <c r="R46" s="209" t="n"/>
    </row>
    <row r="47" ht="67" customHeight="1">
      <c r="A47" s="13" t="inlineStr">
        <is>
          <t>Core</t>
        </is>
      </c>
      <c r="B47" s="16" t="inlineStr">
        <is>
          <t>Problem Solving &amp; Critical Thinking</t>
        </is>
      </c>
      <c r="C47" s="209" t="n"/>
      <c r="D47" s="16" t="inlineStr">
        <is>
          <t>Breaks problems down, finds root causes and makes sound judgements.</t>
        </is>
      </c>
      <c r="E47" s="210" t="n"/>
      <c r="F47" s="209" t="n"/>
      <c r="G47" s="16" t="inlineStr">
        <is>
          <t>Solves simple, familiar problems with guidance</t>
        </is>
      </c>
      <c r="H47" s="209" t="n"/>
      <c r="I47" s="16" t="inlineStr">
        <is>
          <t>Solves routine problems with known methods</t>
        </is>
      </c>
      <c r="J47" s="209" t="n"/>
      <c r="K47" s="16" t="inlineStr">
        <is>
          <t>Analyses non-routine problems; finds root causes</t>
        </is>
      </c>
      <c r="L47" s="209" t="n"/>
      <c r="M47" s="16" t="inlineStr">
        <is>
          <t>Solves complex, ambiguous problems; designs new approaches</t>
        </is>
      </c>
      <c r="N47" s="209" t="n"/>
      <c r="O47" s="16" t="inlineStr">
        <is>
          <t>Frames enterprise-level problems; sets the approach for others</t>
        </is>
      </c>
      <c r="P47" s="209" t="n"/>
      <c r="Q47" s="16" t="inlineStr">
        <is>
          <t>Analysing &amp; Interpreting · Thought — Manages complexity; Decision quality</t>
        </is>
      </c>
      <c r="R47" s="209" t="n"/>
    </row>
    <row r="48" ht="80" customHeight="1">
      <c r="A48" s="13" t="inlineStr">
        <is>
          <t>Core</t>
        </is>
      </c>
      <c r="B48" s="16" t="inlineStr">
        <is>
          <t>Communication &amp; Collaboration</t>
        </is>
      </c>
      <c r="C48" s="209" t="n"/>
      <c r="D48" s="16" t="inlineStr">
        <is>
          <t>Shares information clearly; works effectively within and across teams.</t>
        </is>
      </c>
      <c r="E48" s="210" t="n"/>
      <c r="F48" s="209" t="n"/>
      <c r="G48" s="16" t="inlineStr">
        <is>
          <t>Communicates clearly within the team</t>
        </is>
      </c>
      <c r="H48" s="209" t="n"/>
      <c r="I48" s="16" t="inlineStr">
        <is>
          <t>Explains own work clearly; cooperates across the team</t>
        </is>
      </c>
      <c r="J48" s="209" t="n"/>
      <c r="K48" s="16" t="inlineStr">
        <is>
          <t>Communicates with clients / stakeholders; collaborates across teams</t>
        </is>
      </c>
      <c r="L48" s="209" t="n"/>
      <c r="M48" s="16" t="inlineStr">
        <is>
          <t>Influences through communication; resolves conflict</t>
        </is>
      </c>
      <c r="N48" s="209" t="n"/>
      <c r="O48" s="16" t="inlineStr">
        <is>
          <t>Represents IRIS externally; builds cross-business partnerships</t>
        </is>
      </c>
      <c r="P48" s="209" t="n"/>
      <c r="Q48" s="16" t="inlineStr">
        <is>
          <t>Interacting &amp; Presenting; Supporting &amp; Co-operating · People — Communicates effectively; Collaborates · Good communicator; collaborates across the company</t>
        </is>
      </c>
      <c r="R48" s="209" t="n"/>
    </row>
    <row r="49" ht="80" customHeight="1">
      <c r="A49" s="13" t="inlineStr">
        <is>
          <t>Core</t>
        </is>
      </c>
      <c r="B49" s="16" t="inlineStr">
        <is>
          <t>Client &amp; Quality Focus</t>
        </is>
      </c>
      <c r="C49" s="209" t="n"/>
      <c r="D49" s="16" t="inlineStr">
        <is>
          <t>Understands client needs; gets it right first time; meets SLAs.</t>
        </is>
      </c>
      <c r="E49" s="210" t="n"/>
      <c r="F49" s="209" t="n"/>
      <c r="G49" s="16" t="inlineStr">
        <is>
          <t>Follows quality checklists</t>
        </is>
      </c>
      <c r="H49" s="209" t="n"/>
      <c r="I49" s="16" t="inlineStr">
        <is>
          <t>Delivers accurate work to standard and SLA</t>
        </is>
      </c>
      <c r="J49" s="209" t="n"/>
      <c r="K49" s="16" t="inlineStr">
        <is>
          <t>Anticipates client needs; prevents errors in own area</t>
        </is>
      </c>
      <c r="L49" s="209" t="n"/>
      <c r="M49" s="16" t="inlineStr">
        <is>
          <t>Sets quality standards; improves client experience for a team</t>
        </is>
      </c>
      <c r="N49" s="209" t="n"/>
      <c r="O49" s="16" t="inlineStr">
        <is>
          <t>Defines client and quality strategy for a business</t>
        </is>
      </c>
      <c r="P49" s="209" t="n"/>
      <c r="Q49" s="16" t="inlineStr">
        <is>
          <t>Organising &amp; Executing · Thought — Customer focus</t>
        </is>
      </c>
      <c r="R49" s="209" t="n"/>
    </row>
    <row r="50" ht="67" customHeight="1">
      <c r="A50" s="13" t="inlineStr">
        <is>
          <t>Core</t>
        </is>
      </c>
      <c r="B50" s="16" t="inlineStr">
        <is>
          <t>Learning Agility &amp; Adaptability</t>
        </is>
      </c>
      <c r="C50" s="209" t="n"/>
      <c r="D50" s="16" t="inlineStr">
        <is>
          <t>Learns fast, adapts to change and stays resilient under pressure.</t>
        </is>
      </c>
      <c r="E50" s="210" t="n"/>
      <c r="F50" s="209" t="n"/>
      <c r="G50" s="16" t="inlineStr">
        <is>
          <t>Learns new tasks with structured support</t>
        </is>
      </c>
      <c r="H50" s="209" t="n"/>
      <c r="I50" s="16" t="inlineStr">
        <is>
          <t>Picks up new tools and processes quickly</t>
        </is>
      </c>
      <c r="J50" s="209" t="n"/>
      <c r="K50" s="16" t="inlineStr">
        <is>
          <t>Adapts to changing priorities; learns independently</t>
        </is>
      </c>
      <c r="L50" s="209" t="n"/>
      <c r="M50" s="16" t="inlineStr">
        <is>
          <t>Leads others through change; builds team capability</t>
        </is>
      </c>
      <c r="N50" s="209" t="n"/>
      <c r="O50" s="16" t="inlineStr">
        <is>
          <t>Anticipates change; builds a learning organisation</t>
        </is>
      </c>
      <c r="P50" s="209" t="n"/>
      <c r="Q50" s="16" t="inlineStr">
        <is>
          <t>Adapting &amp; Coping · Self — Nimble learning; Situational adaptability</t>
        </is>
      </c>
      <c r="R50" s="209" t="n"/>
    </row>
    <row r="51" ht="67" customHeight="1">
      <c r="A51" s="13" t="inlineStr">
        <is>
          <t>Core</t>
        </is>
      </c>
      <c r="B51" s="16" t="inlineStr">
        <is>
          <t>Integrity, Compliance &amp; Information Security</t>
        </is>
      </c>
      <c r="C51" s="209" t="n"/>
      <c r="D51" s="16" t="inlineStr">
        <is>
          <t>Acts ethically; follows Code of Conduct, POSH, data-privacy and information-security rules.</t>
        </is>
      </c>
      <c r="E51" s="210" t="n"/>
      <c r="F51" s="209" t="n"/>
      <c r="G51" s="16" t="inlineStr">
        <is>
          <t>Knows and follows the policies</t>
        </is>
      </c>
      <c r="H51" s="209" t="n"/>
      <c r="I51" s="16" t="inlineStr">
        <is>
          <t>Applies policies consistently in own work</t>
        </is>
      </c>
      <c r="J51" s="209" t="n"/>
      <c r="K51" s="16" t="inlineStr">
        <is>
          <t>Spots and escalates compliance / security risks</t>
        </is>
      </c>
      <c r="L51" s="209" t="n"/>
      <c r="M51" s="16" t="inlineStr">
        <is>
          <t>Embeds compliance and security in team processes</t>
        </is>
      </c>
      <c r="N51" s="209" t="n"/>
      <c r="O51" s="16" t="inlineStr">
        <is>
          <t>Sets ethical and compliance standards for the business</t>
        </is>
      </c>
      <c r="P51" s="209" t="n"/>
      <c r="Q51" s="16" t="inlineStr">
        <is>
          <t>Supporting &amp; Co-operating · adhering to principles · People — Instils trust</t>
        </is>
      </c>
      <c r="R51" s="209" t="n"/>
    </row>
    <row r="52" ht="80" customHeight="1">
      <c r="A52" s="13" t="inlineStr">
        <is>
          <t>Future-ready</t>
        </is>
      </c>
      <c r="B52" s="16" t="inlineStr">
        <is>
          <t>AI Literacy &amp; Augmentation</t>
        </is>
      </c>
      <c r="C52" s="209" t="n"/>
      <c r="D52" s="16" t="inlineStr">
        <is>
          <t>Uses AI tools productively, checks their output critically and uses them responsibly.</t>
        </is>
      </c>
      <c r="E52" s="210" t="n"/>
      <c r="F52" s="209" t="n"/>
      <c r="G52" s="16" t="inlineStr">
        <is>
          <t>Aware of AI tools, their uses and risks</t>
        </is>
      </c>
      <c r="H52" s="209" t="n"/>
      <c r="I52" s="16" t="inlineStr">
        <is>
          <t>Uses approved AI tools for routine tasks and checks the output</t>
        </is>
      </c>
      <c r="J52" s="209" t="n"/>
      <c r="K52" s="16" t="inlineStr">
        <is>
          <t>Builds AI into own workflow; evaluates accuracy and bias</t>
        </is>
      </c>
      <c r="L52" s="209" t="n"/>
      <c r="M52" s="16" t="inlineStr">
        <is>
          <t>Designs AI-enabled processes for a team; sets safe-use practices</t>
        </is>
      </c>
      <c r="N52" s="209" t="n"/>
      <c r="O52" s="16" t="inlineStr">
        <is>
          <t>Leads AI strategy and governance for a function or IRIS</t>
        </is>
      </c>
      <c r="P52" s="209" t="n"/>
      <c r="Q52" s="16" t="inlineStr">
        <is>
          <t>Analysing &amp; Interpreting · Thought — Tech savvy</t>
        </is>
      </c>
      <c r="R52" s="209" t="n"/>
    </row>
    <row r="53" ht="67" customHeight="1">
      <c r="A53" s="13" t="inlineStr">
        <is>
          <t>Future-ready</t>
        </is>
      </c>
      <c r="B53" s="16" t="inlineStr">
        <is>
          <t>Data Literacy &amp; Analytics</t>
        </is>
      </c>
      <c r="C53" s="209" t="n"/>
      <c r="D53" s="16" t="inlineStr">
        <is>
          <t>Reads, questions and uses data to make decisions.</t>
        </is>
      </c>
      <c r="E53" s="210" t="n"/>
      <c r="F53" s="209" t="n"/>
      <c r="G53" s="16" t="inlineStr">
        <is>
          <t>Reads basic reports and numbers</t>
        </is>
      </c>
      <c r="H53" s="209" t="n"/>
      <c r="I53" s="16" t="inlineStr">
        <is>
          <t>Uses Excel / reports to check and present data</t>
        </is>
      </c>
      <c r="J53" s="209" t="n"/>
      <c r="K53" s="16" t="inlineStr">
        <is>
          <t>Analyses data · SQL, BI, advanced Excel to find insight</t>
        </is>
      </c>
      <c r="L53" s="209" t="n"/>
      <c r="M53" s="16" t="inlineStr">
        <is>
          <t>Defines metrics and dashboards for a team</t>
        </is>
      </c>
      <c r="N53" s="209" t="n"/>
      <c r="O53" s="16" t="inlineStr">
        <is>
          <t>Sets data strategy and data-driven decisions for a business</t>
        </is>
      </c>
      <c r="P53" s="209" t="n"/>
      <c r="Q53" s="16" t="inlineStr">
        <is>
          <t>Analysing &amp; Interpreting · Thought — Manages complexity</t>
        </is>
      </c>
      <c r="R53" s="209" t="n"/>
    </row>
    <row r="54" ht="67" customHeight="1">
      <c r="A54" s="13" t="inlineStr">
        <is>
          <t>Future-ready</t>
        </is>
      </c>
      <c r="B54" s="16" t="inlineStr">
        <is>
          <t>Digital Fluency &amp; Automation</t>
        </is>
      </c>
      <c r="C54" s="209" t="n"/>
      <c r="D54" s="16" t="inlineStr">
        <is>
          <t>Masters the digital tools of the role and automates repetitive work.</t>
        </is>
      </c>
      <c r="E54" s="210" t="n"/>
      <c r="F54" s="209" t="n"/>
      <c r="G54" s="16" t="inlineStr">
        <is>
          <t>Uses standard office and role tools</t>
        </is>
      </c>
      <c r="H54" s="209" t="n"/>
      <c r="I54" s="16" t="inlineStr">
        <is>
          <t>Uses role tools efficiently; follows digital workflows</t>
        </is>
      </c>
      <c r="J54" s="209" t="n"/>
      <c r="K54" s="16" t="inlineStr">
        <is>
          <t>Automates own repetitive work · macros, scripts, workflows</t>
        </is>
      </c>
      <c r="L54" s="209" t="n"/>
      <c r="M54" s="16" t="inlineStr">
        <is>
          <t>Automates team processes; selects tools</t>
        </is>
      </c>
      <c r="N54" s="209" t="n"/>
      <c r="O54" s="16" t="inlineStr">
        <is>
          <t>Drives digital transformation across a business</t>
        </is>
      </c>
      <c r="P54" s="209" t="n"/>
      <c r="Q54" s="16" t="inlineStr">
        <is>
          <t>Creating &amp; Conceptualising · Thought — Tech savvy</t>
        </is>
      </c>
      <c r="R54" s="209" t="n"/>
    </row>
    <row r="55" ht="54" customHeight="1">
      <c r="A55" s="13" t="inlineStr">
        <is>
          <t>Future-ready</t>
        </is>
      </c>
      <c r="B55" s="16" t="inlineStr">
        <is>
          <t>Innovation &amp; Continuous Improvement</t>
        </is>
      </c>
      <c r="C55" s="209" t="n"/>
      <c r="D55" s="16" t="inlineStr">
        <is>
          <t>Finds better ways of working and turns ideas into measurable improvements.</t>
        </is>
      </c>
      <c r="E55" s="210" t="n"/>
      <c r="F55" s="209" t="n"/>
      <c r="G55" s="16" t="inlineStr">
        <is>
          <t>Suggests small improvements</t>
        </is>
      </c>
      <c r="H55" s="209" t="n"/>
      <c r="I55" s="16" t="inlineStr">
        <is>
          <t>Improves own work methods</t>
        </is>
      </c>
      <c r="J55" s="209" t="n"/>
      <c r="K55" s="16" t="inlineStr">
        <is>
          <t>Delivers measurable improvements in own area</t>
        </is>
      </c>
      <c r="L55" s="209" t="n"/>
      <c r="M55" s="16" t="inlineStr">
        <is>
          <t>Leads improvement initiatives for a team</t>
        </is>
      </c>
      <c r="N55" s="209" t="n"/>
      <c r="O55" s="16" t="inlineStr">
        <is>
          <t>Creates new products, methods or business models</t>
        </is>
      </c>
      <c r="P55" s="209" t="n"/>
      <c r="Q55" s="16" t="inlineStr">
        <is>
          <t>Creating &amp; Conceptualising · Thought — Cultivates innovation</t>
        </is>
      </c>
      <c r="R55" s="209" t="n"/>
    </row>
    <row r="56" ht="54" customHeight="1">
      <c r="A56" s="13" t="inlineStr">
        <is>
          <t>Leadership</t>
        </is>
      </c>
      <c r="B56" s="16" t="inlineStr">
        <is>
          <t>Leading &amp; Developing People</t>
        </is>
      </c>
      <c r="C56" s="209" t="n"/>
      <c r="D56" s="16" t="inlineStr">
        <is>
          <t>Sets direction, coaches and grows people; builds capability.</t>
        </is>
      </c>
      <c r="E56" s="210" t="n"/>
      <c r="F56" s="209" t="n"/>
      <c r="G56" s="16" t="inlineStr">
        <is>
          <t>Not required</t>
        </is>
      </c>
      <c r="H56" s="209" t="n"/>
      <c r="I56" s="16" t="inlineStr">
        <is>
          <t>Guides and reviews 1–3 people · POD Lead</t>
        </is>
      </c>
      <c r="J56" s="209" t="n"/>
      <c r="K56" s="16" t="inlineStr">
        <is>
          <t>Leads a team; coaches and gives feedback</t>
        </is>
      </c>
      <c r="L56" s="209" t="n"/>
      <c r="M56" s="16" t="inlineStr">
        <is>
          <t>Leads leaders; builds bench strength</t>
        </is>
      </c>
      <c r="N56" s="209" t="n"/>
      <c r="O56" s="16" t="inlineStr">
        <is>
          <t>Builds the leadership pipeline and culture</t>
        </is>
      </c>
      <c r="P56" s="209" t="n"/>
      <c r="Q56" s="16" t="inlineStr">
        <is>
          <t>Leading &amp; Deciding · People — Develops talent; Builds effective teams · Is a good coach; supports career development; inclusive team</t>
        </is>
      </c>
      <c r="R56" s="209" t="n"/>
    </row>
    <row r="57" ht="67" customHeight="1">
      <c r="A57" s="13" t="inlineStr">
        <is>
          <t>Leadership</t>
        </is>
      </c>
      <c r="B57" s="16" t="inlineStr">
        <is>
          <t>Decision Making &amp; Delegation</t>
        </is>
      </c>
      <c r="C57" s="209" t="n"/>
      <c r="D57" s="16" t="inlineStr">
        <is>
          <t>Makes timely decisions with the right information; delegates well.</t>
        </is>
      </c>
      <c r="E57" s="210" t="n"/>
      <c r="F57" s="209" t="n"/>
      <c r="G57" s="16" t="inlineStr">
        <is>
          <t>Not required</t>
        </is>
      </c>
      <c r="H57" s="209" t="n"/>
      <c r="I57" s="16" t="inlineStr">
        <is>
          <t>Decides allocation within a pod</t>
        </is>
      </c>
      <c r="J57" s="209" t="n"/>
      <c r="K57" s="16" t="inlineStr">
        <is>
          <t>Decides team priorities and resourcing</t>
        </is>
      </c>
      <c r="L57" s="209" t="n"/>
      <c r="M57" s="16" t="inlineStr">
        <is>
          <t>Makes cross-team trade-offs; delegates authority</t>
        </is>
      </c>
      <c r="N57" s="209" t="n"/>
      <c r="O57" s="16" t="inlineStr">
        <is>
          <t>Makes enterprise / business-line decisions</t>
        </is>
      </c>
      <c r="P57" s="209" t="n"/>
      <c r="Q57" s="16" t="inlineStr">
        <is>
          <t>Leading &amp; Deciding · Results — Decision quality; Directs work · Empowers, does not micromanage; strong decision maker</t>
        </is>
      </c>
      <c r="R57" s="209" t="n"/>
    </row>
    <row r="58" ht="80" customHeight="1">
      <c r="A58" s="13" t="inlineStr">
        <is>
          <t>Leadership</t>
        </is>
      </c>
      <c r="B58" s="16" t="inlineStr">
        <is>
          <t>Strategic &amp; Business Acumen</t>
        </is>
      </c>
      <c r="C58" s="209" t="n"/>
      <c r="D58" s="16" t="inlineStr">
        <is>
          <t>Links work to business goals, finances, markets and regulation.</t>
        </is>
      </c>
      <c r="E58" s="210" t="n"/>
      <c r="F58" s="209" t="n"/>
      <c r="G58" s="16" t="inlineStr">
        <is>
          <t>Not required</t>
        </is>
      </c>
      <c r="H58" s="209" t="n"/>
      <c r="I58" s="16" t="inlineStr">
        <is>
          <t>Understands how own work drives client and business results</t>
        </is>
      </c>
      <c r="J58" s="209" t="n"/>
      <c r="K58" s="16" t="inlineStr">
        <is>
          <t>Plans team work against business goals and budgets</t>
        </is>
      </c>
      <c r="L58" s="209" t="n"/>
      <c r="M58" s="16" t="inlineStr">
        <is>
          <t>Shapes functional strategy, budget and market approach</t>
        </is>
      </c>
      <c r="N58" s="209" t="n"/>
      <c r="O58" s="16" t="inlineStr">
        <is>
          <t>Sets business strategy and P&amp;L direction</t>
        </is>
      </c>
      <c r="P58" s="209" t="n"/>
      <c r="Q58" s="16" t="inlineStr">
        <is>
          <t>Enterprising &amp; Performing · Thought — Business insight; Strategic mindset · Clear vision and strategy</t>
        </is>
      </c>
      <c r="R58" s="209" t="n"/>
    </row>
    <row r="59" ht="67" customHeight="1">
      <c r="A59" s="13" t="inlineStr">
        <is>
          <t>Leadership</t>
        </is>
      </c>
      <c r="B59" s="16" t="inlineStr">
        <is>
          <t>Influence &amp; Change Leadership</t>
        </is>
      </c>
      <c r="C59" s="209" t="n"/>
      <c r="D59" s="16" t="inlineStr">
        <is>
          <t>Builds support across stakeholders and leads change.</t>
        </is>
      </c>
      <c r="E59" s="210" t="n"/>
      <c r="F59" s="209" t="n"/>
      <c r="G59" s="16" t="inlineStr">
        <is>
          <t>Not required</t>
        </is>
      </c>
      <c r="H59" s="209" t="n"/>
      <c r="I59" s="16" t="inlineStr">
        <is>
          <t>Influences peers in own area</t>
        </is>
      </c>
      <c r="J59" s="209" t="n"/>
      <c r="K59" s="16" t="inlineStr">
        <is>
          <t>Influences across teams; leads local change</t>
        </is>
      </c>
      <c r="L59" s="209" t="n"/>
      <c r="M59" s="16" t="inlineStr">
        <is>
          <t>Influences senior stakeholders; leads function-wide change</t>
        </is>
      </c>
      <c r="N59" s="209" t="n"/>
      <c r="O59" s="16" t="inlineStr">
        <is>
          <t>Leads enterprise change; influences clients, regulators and partners</t>
        </is>
      </c>
      <c r="P59" s="209" t="n"/>
      <c r="Q59" s="16" t="inlineStr">
        <is>
          <t>Interacting &amp; Presenting · People — Persuades; Drives vision &amp; purpose · Collaborates across the company; results-oriented</t>
        </is>
      </c>
      <c r="R59" s="209" t="n"/>
    </row>
    <row r="60" ht="15" customHeight="1"/>
    <row r="61" ht="15" customHeight="1">
      <c r="A61" s="171" t="inlineStr">
        <is>
          <r>
            <rPr>
              <rFont val="Calibri"/>
              <b val="1"/>
              <i val="1"/>
              <sz val="10"/>
            </rPr>
            <t>All employees:</t>
          </r>
          <r>
            <rPr>
              <rFont val="Calibri"/>
              <i val="1"/>
              <sz val="10"/>
            </rPr>
            <t xml:space="preserve"> mandatory learning path POSH → Code of Conduct → Information Security &amp; Privacy before confirmation. Statutory roles require the qualification.</t>
          </r>
        </is>
      </c>
    </row>
    <row r="62" ht="15" customHeight="1"/>
    <row r="63" ht="20" customHeight="1">
      <c r="A63" s="6" t="inlineStr">
        <is>
          <t>D. Department capability frameworks</t>
        </is>
      </c>
    </row>
    <row r="64" ht="20" customHeight="1">
      <c r="A64" s="172" t="inlineStr">
        <is>
          <t>Technology — 10 people · Technology &amp; engineering · levels A1–C1 + X1</t>
        </is>
      </c>
    </row>
    <row r="65" ht="15" customHeight="1">
      <c r="A65" s="17" t="inlineStr">
        <is>
          <t>Job families: Engineering &amp; Development · Engineering &amp; Architecture · Design &amp; Creative · Product Management</t>
        </is>
      </c>
    </row>
    <row r="66" ht="15" customHeight="1">
      <c r="A66" s="12" t="inlineStr">
        <is>
          <t>Capability health today · indicative, from survey + KRAs</t>
        </is>
      </c>
      <c r="B66" s="210" t="n"/>
      <c r="C66" s="210" t="n"/>
      <c r="D66" s="210" t="n"/>
      <c r="E66" s="209" t="n"/>
      <c r="F66" s="12" t="inlineStr">
        <is>
          <t>Result</t>
        </is>
      </c>
      <c r="G66" s="210" t="n"/>
      <c r="H66" s="210" t="n"/>
      <c r="I66" s="210" t="n"/>
      <c r="J66" s="210" t="n"/>
      <c r="K66" s="210" t="n"/>
      <c r="L66" s="210" t="n"/>
      <c r="M66" s="210" t="n"/>
      <c r="N66" s="210" t="n"/>
      <c r="O66" s="210" t="n"/>
      <c r="P66" s="210" t="n"/>
      <c r="Q66" s="210" t="n"/>
      <c r="R66" s="209" t="n"/>
    </row>
    <row r="67" ht="15" customHeight="1">
      <c r="A67" s="13" t="inlineStr">
        <is>
          <t>People assessed · meet or exceed their level</t>
        </is>
      </c>
      <c r="B67" s="210" t="n"/>
      <c r="C67" s="210" t="n"/>
      <c r="D67" s="210" t="n"/>
      <c r="E67" s="209" t="n"/>
      <c r="F67" s="16" t="inlineStr">
        <is>
          <t>6 · 2</t>
        </is>
      </c>
      <c r="G67" s="210" t="n"/>
      <c r="H67" s="210" t="n"/>
      <c r="I67" s="210" t="n"/>
      <c r="J67" s="210" t="n"/>
      <c r="K67" s="210" t="n"/>
      <c r="L67" s="210" t="n"/>
      <c r="M67" s="210" t="n"/>
      <c r="N67" s="210" t="n"/>
      <c r="O67" s="210" t="n"/>
      <c r="P67" s="210" t="n"/>
      <c r="Q67" s="210" t="n"/>
      <c r="R67" s="209" t="n"/>
    </row>
    <row r="68" ht="15" customHeight="1">
      <c r="A68" s="13" t="inlineStr">
        <is>
          <t>Average index · Core · Future-ready · Functional · Leadership · % of required</t>
        </is>
      </c>
      <c r="B68" s="210" t="n"/>
      <c r="C68" s="210" t="n"/>
      <c r="D68" s="210" t="n"/>
      <c r="E68" s="209" t="n"/>
      <c r="F68" s="16" t="inlineStr">
        <is>
          <t>89% · 90% · 83% · 90% · 92%</t>
        </is>
      </c>
      <c r="G68" s="210" t="n"/>
      <c r="H68" s="210" t="n"/>
      <c r="I68" s="210" t="n"/>
      <c r="J68" s="210" t="n"/>
      <c r="K68" s="210" t="n"/>
      <c r="L68" s="210" t="n"/>
      <c r="M68" s="210" t="n"/>
      <c r="N68" s="210" t="n"/>
      <c r="O68" s="210" t="n"/>
      <c r="P68" s="210" t="n"/>
      <c r="Q68" s="210" t="n"/>
      <c r="R68" s="209" t="n"/>
    </row>
    <row r="69" ht="15" customHeight="1">
      <c r="A69" s="13" t="inlineStr">
        <is>
          <t>Most common competency gaps · people</t>
        </is>
      </c>
      <c r="B69" s="210" t="n"/>
      <c r="C69" s="210" t="n"/>
      <c r="D69" s="210" t="n"/>
      <c r="E69" s="209" t="n"/>
      <c r="F69" s="16" t="inlineStr">
        <is>
          <t>SQL &amp; data · System design · Ownership · Learning agility · Programming &amp; stack · Product &amp; domain</t>
        </is>
      </c>
      <c r="G69" s="210" t="n"/>
      <c r="H69" s="210" t="n"/>
      <c r="I69" s="210" t="n"/>
      <c r="J69" s="210" t="n"/>
      <c r="K69" s="210" t="n"/>
      <c r="L69" s="210" t="n"/>
      <c r="M69" s="210" t="n"/>
      <c r="N69" s="210" t="n"/>
      <c r="O69" s="210" t="n"/>
      <c r="P69" s="210" t="n"/>
      <c r="Q69" s="210" t="n"/>
      <c r="R69" s="209" t="n"/>
    </row>
    <row r="70" ht="28" customHeight="1">
      <c r="A70" s="13" t="inlineStr">
        <is>
          <t>Role-based development priorities · people</t>
        </is>
      </c>
      <c r="B70" s="210" t="n"/>
      <c r="C70" s="210" t="n"/>
      <c r="D70" s="210" t="n"/>
      <c r="E70" s="209" t="n"/>
      <c r="F70" s="16" t="inlineStr">
        <is>
          <t>AI, GenAI &amp; Prompt Engineering · Programming &amp; Tech-Stack Depth · People Leadership &amp; Mentoring · Project, Program &amp; Agile Management · Stakeholder &amp; Client Management · Strategic Thinking &amp; Business Acumen</t>
        </is>
      </c>
      <c r="G70" s="210" t="n"/>
      <c r="H70" s="210" t="n"/>
      <c r="I70" s="210" t="n"/>
      <c r="J70" s="210" t="n"/>
      <c r="K70" s="210" t="n"/>
      <c r="L70" s="210" t="n"/>
      <c r="M70" s="210" t="n"/>
      <c r="N70" s="210" t="n"/>
      <c r="O70" s="210" t="n"/>
      <c r="P70" s="210" t="n"/>
      <c r="Q70" s="210" t="n"/>
      <c r="R70" s="209" t="n"/>
    </row>
    <row r="71" ht="15" customHeight="1">
      <c r="A71" s="13" t="inlineStr">
        <is>
          <t>Manager-identified training themes</t>
        </is>
      </c>
      <c r="B71" s="210" t="n"/>
      <c r="C71" s="210" t="n"/>
      <c r="D71" s="210" t="n"/>
      <c r="E71" s="209" t="n"/>
      <c r="F71" s="16" t="inlineStr">
        <is>
          <t>system design · thinking · product · ai system · optimal</t>
        </is>
      </c>
      <c r="G71" s="210" t="n"/>
      <c r="H71" s="210" t="n"/>
      <c r="I71" s="210" t="n"/>
      <c r="J71" s="210" t="n"/>
      <c r="K71" s="210" t="n"/>
      <c r="L71" s="210" t="n"/>
      <c r="M71" s="210" t="n"/>
      <c r="N71" s="210" t="n"/>
      <c r="O71" s="210" t="n"/>
      <c r="P71" s="210" t="n"/>
      <c r="Q71" s="210" t="n"/>
      <c r="R71" s="209" t="n"/>
    </row>
    <row r="72" ht="15" customHeight="1">
      <c r="A72" s="13" t="inlineStr">
        <is>
          <t>What helped people learn · survey</t>
        </is>
      </c>
      <c r="B72" s="210" t="n"/>
      <c r="C72" s="210" t="n"/>
      <c r="D72" s="210" t="n"/>
      <c r="E72" s="209" t="n"/>
      <c r="F72" s="16" t="inlineStr">
        <is>
          <t>Mentoring / guidance from seniors · On-the-job / hands-on</t>
        </is>
      </c>
      <c r="G72" s="210" t="n"/>
      <c r="H72" s="210" t="n"/>
      <c r="I72" s="210" t="n"/>
      <c r="J72" s="210" t="n"/>
      <c r="K72" s="210" t="n"/>
      <c r="L72" s="210" t="n"/>
      <c r="M72" s="210" t="n"/>
      <c r="N72" s="210" t="n"/>
      <c r="O72" s="210" t="n"/>
      <c r="P72" s="210" t="n"/>
      <c r="Q72" s="210" t="n"/>
      <c r="R72" s="209" t="n"/>
    </row>
    <row r="73" ht="15" customHeight="1">
      <c r="A73" s="13" t="inlineStr">
        <is>
          <t>How the work is changing</t>
        </is>
      </c>
      <c r="B73" s="210" t="n"/>
      <c r="C73" s="210" t="n"/>
      <c r="D73" s="210" t="n"/>
      <c r="E73" s="209" t="n"/>
      <c r="F73" s="16" t="inlineStr">
        <is>
          <t>3 of 5 say the role is changing because of AI / automation</t>
        </is>
      </c>
      <c r="G73" s="210" t="n"/>
      <c r="H73" s="210" t="n"/>
      <c r="I73" s="210" t="n"/>
      <c r="J73" s="210" t="n"/>
      <c r="K73" s="210" t="n"/>
      <c r="L73" s="210" t="n"/>
      <c r="M73" s="210" t="n"/>
      <c r="N73" s="210" t="n"/>
      <c r="O73" s="210" t="n"/>
      <c r="P73" s="210" t="n"/>
      <c r="Q73" s="210" t="n"/>
      <c r="R73" s="209" t="n"/>
    </row>
    <row r="74" ht="15" customHeight="1">
      <c r="A74" s="13" t="inlineStr">
        <is>
          <t>Lateral moves the evidence supports · people</t>
        </is>
      </c>
      <c r="B74" s="210" t="n"/>
      <c r="C74" s="210" t="n"/>
      <c r="D74" s="210" t="n"/>
      <c r="E74" s="209" t="n"/>
      <c r="F74" s="16" t="inlineStr">
        <is>
          <t>No strong match yet</t>
        </is>
      </c>
      <c r="G74" s="210" t="n"/>
      <c r="H74" s="210" t="n"/>
      <c r="I74" s="210" t="n"/>
      <c r="J74" s="210" t="n"/>
      <c r="K74" s="210" t="n"/>
      <c r="L74" s="210" t="n"/>
      <c r="M74" s="210" t="n"/>
      <c r="N74" s="210" t="n"/>
      <c r="O74" s="210" t="n"/>
      <c r="P74" s="210" t="n"/>
      <c r="Q74" s="210" t="n"/>
      <c r="R74" s="209" t="n"/>
    </row>
    <row r="75" ht="15" customHeight="1"/>
    <row r="76" ht="28" customHeight="1">
      <c r="A76" s="12" t="inlineStr">
        <is>
          <t>Cluster</t>
        </is>
      </c>
      <c r="B76" s="12" t="inlineStr">
        <is>
          <t>Competency · ★ = must-have</t>
        </is>
      </c>
      <c r="C76" s="12" t="inlineStr">
        <is>
          <t>Definition</t>
        </is>
      </c>
      <c r="D76" s="12" t="inlineStr">
        <is>
          <t>Must-have for</t>
        </is>
      </c>
      <c r="E76" s="12" t="inlineStr">
        <is>
          <t>A1</t>
        </is>
      </c>
      <c r="F76" s="12" t="inlineStr">
        <is>
          <t>A2</t>
        </is>
      </c>
      <c r="G76" s="12" t="inlineStr">
        <is>
          <t>A3</t>
        </is>
      </c>
      <c r="H76" s="12" t="inlineStr">
        <is>
          <t>B1</t>
        </is>
      </c>
      <c r="I76" s="12" t="inlineStr">
        <is>
          <t>B2</t>
        </is>
      </c>
      <c r="J76" s="12" t="inlineStr">
        <is>
          <t>B3</t>
        </is>
      </c>
      <c r="K76" s="12" t="inlineStr">
        <is>
          <t>B+</t>
        </is>
      </c>
      <c r="L76" s="12" t="inlineStr">
        <is>
          <t>C1</t>
        </is>
      </c>
      <c r="M76" s="12" t="inlineStr">
        <is>
          <t>C2</t>
        </is>
      </c>
      <c r="N76" s="12" t="inlineStr">
        <is>
          <t>C+</t>
        </is>
      </c>
      <c r="O76" s="12" t="inlineStr">
        <is>
          <t>D1</t>
        </is>
      </c>
      <c r="P76" s="12" t="inlineStr">
        <is>
          <t>What good looks like · by proficiency</t>
        </is>
      </c>
      <c r="Q76" s="12" t="inlineStr">
        <is>
          <t>What IRIS top performers do · survey</t>
        </is>
      </c>
      <c r="R76" s="12" t="inlineStr">
        <is>
          <t>How to assess</t>
        </is>
      </c>
      <c r="S76" s="12" t="inlineStr">
        <is>
          <t>Credentials</t>
        </is>
      </c>
      <c r="T76" s="12" t="inlineStr">
        <is>
          <t>Reference</t>
        </is>
      </c>
    </row>
    <row r="77" ht="67" customHeight="1">
      <c r="A77" s="173" t="inlineStr">
        <is>
          <t>Functional</t>
        </is>
      </c>
      <c r="B77" s="173" t="inlineStr">
        <is>
          <t>★ Programming &amp; Tech-Stack Depth</t>
        </is>
      </c>
      <c r="C77" s="173" t="inlineStr">
        <is>
          <t>Builds and maintains quality code in the team's stack ·.NET, Java, Python, Angular / React.</t>
        </is>
      </c>
      <c r="D77" s="173" t="inlineStr">
        <is>
          <t>Engineering &amp; Development, Engineering &amp; Architecture</t>
        </is>
      </c>
      <c r="E77" s="174" t="n">
        <v>1</v>
      </c>
      <c r="F77" s="174" t="n">
        <v>2</v>
      </c>
      <c r="G77" s="174" t="n">
        <v>3</v>
      </c>
      <c r="H77" s="174" t="n">
        <v>3</v>
      </c>
      <c r="I77" s="174" t="n">
        <v>4</v>
      </c>
      <c r="J77" s="174" t="n">
        <v>4</v>
      </c>
      <c r="K77" s="174" t="n">
        <v>4</v>
      </c>
      <c r="L77" s="174" t="n">
        <v>4</v>
      </c>
      <c r="M77" s="174" t="n">
        <v>5</v>
      </c>
      <c r="N77" s="174" t="n">
        <v>5</v>
      </c>
      <c r="O77" s="174" t="n">
        <v>4</v>
      </c>
      <c r="P77" s="173" t="inlineStr">
        <is>
          <t>3 · Builds features with clean, tested code
4 · Sets coding standards; solves performance and design issues across modules</t>
        </is>
      </c>
      <c r="Q77" s="173" t="inlineStr">
        <is>
          <t>angular, coding, java, .net, spring</t>
        </is>
      </c>
      <c r="R77" s="173" t="inlineStr">
        <is>
          <t>Coding test + code review</t>
        </is>
      </c>
      <c r="S77" s="173" t="inlineStr">
        <is>
          <t>Cloud / language certifications · optional</t>
        </is>
      </c>
      <c r="T77" s="173" t="inlineStr">
        <is>
          <t>Family set</t>
        </is>
      </c>
    </row>
    <row r="78" ht="67" customHeight="1">
      <c r="A78" s="173" t="inlineStr">
        <is>
          <t>Functional</t>
        </is>
      </c>
      <c r="B78" s="173" t="inlineStr">
        <is>
          <t>★ System Design &amp; Architecture</t>
        </is>
      </c>
      <c r="C78" s="173" t="inlineStr">
        <is>
          <t>Designs components, integrations and scalable, secure solutions.</t>
        </is>
      </c>
      <c r="D78" s="173" t="inlineStr">
        <is>
          <t>Engineering &amp; Development, Engineering &amp; Architecture</t>
        </is>
      </c>
      <c r="E78" s="174" t="n">
        <v>1</v>
      </c>
      <c r="F78" s="174" t="n">
        <v>2</v>
      </c>
      <c r="G78" s="174" t="n">
        <v>3</v>
      </c>
      <c r="H78" s="174" t="n">
        <v>3</v>
      </c>
      <c r="I78" s="174" t="n">
        <v>4</v>
      </c>
      <c r="J78" s="174" t="n">
        <v>4</v>
      </c>
      <c r="K78" s="174" t="n">
        <v>4</v>
      </c>
      <c r="L78" s="174" t="n">
        <v>4</v>
      </c>
      <c r="M78" s="174" t="n">
        <v>5</v>
      </c>
      <c r="N78" s="174" t="n">
        <v>5</v>
      </c>
      <c r="O78" s="174" t="n">
        <v>4</v>
      </c>
      <c r="P78" s="173" t="inlineStr">
        <is>
          <t>3 · Designs components and integrations for a module
4 · Designs scalable, secure solutions across products; reviews designs</t>
        </is>
      </c>
      <c r="Q78" s="173" t="inlineStr">
        <is>
          <t>architect, scalability, solution design, system design</t>
        </is>
      </c>
      <c r="R78" s="173" t="inlineStr">
        <is>
          <t>System-design interview / design review</t>
        </is>
      </c>
      <c r="S78" s="173" t="inlineStr">
        <is>
          <t>AWS / Azure architect · optional</t>
        </is>
      </c>
      <c r="T78" s="173" t="inlineStr">
        <is>
          <t>Family set</t>
        </is>
      </c>
    </row>
    <row r="79" ht="54" customHeight="1">
      <c r="A79" s="173" t="inlineStr">
        <is>
          <t>Functional</t>
        </is>
      </c>
      <c r="B79" s="173" t="inlineStr">
        <is>
          <t>Database, SQL &amp; Data Engineering</t>
        </is>
      </c>
      <c r="C79" s="173" t="inlineStr">
        <is>
          <t>Writes and tunes SQL, data models and ETL.</t>
        </is>
      </c>
      <c r="D79" s="173" t="inlineStr">
        <is>
          <t>—</t>
        </is>
      </c>
      <c r="E79" s="174" t="n">
        <v>1</v>
      </c>
      <c r="F79" s="174" t="n">
        <v>2</v>
      </c>
      <c r="G79" s="174" t="n">
        <v>3</v>
      </c>
      <c r="H79" s="174" t="n">
        <v>3</v>
      </c>
      <c r="I79" s="174" t="n">
        <v>4</v>
      </c>
      <c r="J79" s="174" t="n">
        <v>4</v>
      </c>
      <c r="K79" s="174" t="n">
        <v>4</v>
      </c>
      <c r="L79" s="174" t="n">
        <v>4</v>
      </c>
      <c r="M79" s="174" t="n">
        <v>5</v>
      </c>
      <c r="N79" s="174" t="n">
        <v>5</v>
      </c>
      <c r="O79" s="174" t="n">
        <v>4</v>
      </c>
      <c r="P79" s="173" t="inlineStr">
        <is>
          <t>3 · Writes and tunes queries, procedures and ETL
4 · Designs data models and pipelines; optimises at scale</t>
        </is>
      </c>
      <c r="Q79" s="173" t="inlineStr">
        <is>
          <t>database, SQL, ssis, oracle, query</t>
        </is>
      </c>
      <c r="R79" s="173" t="inlineStr">
        <is>
          <t>SQL test / case</t>
        </is>
      </c>
      <c r="S79" s="173" t="inlineStr">
        <is>
          <t>Database certifications · optional</t>
        </is>
      </c>
      <c r="T79" s="173" t="inlineStr">
        <is>
          <t>Family set</t>
        </is>
      </c>
    </row>
    <row r="80" ht="54" customHeight="1">
      <c r="A80" s="173" t="inlineStr">
        <is>
          <t>Functional</t>
        </is>
      </c>
      <c r="B80" s="173" t="inlineStr">
        <is>
          <t>Cloud, DevOps &amp; CI/CD</t>
        </is>
      </c>
      <c r="C80" s="173" t="inlineStr">
        <is>
          <t>Builds, deploys and runs software through pipelines and cloud platforms.</t>
        </is>
      </c>
      <c r="D80" s="173" t="inlineStr">
        <is>
          <t>—</t>
        </is>
      </c>
      <c r="E80" s="174" t="n">
        <v>1</v>
      </c>
      <c r="F80" s="174" t="n">
        <v>2</v>
      </c>
      <c r="G80" s="174" t="n">
        <v>3</v>
      </c>
      <c r="H80" s="174" t="n">
        <v>3</v>
      </c>
      <c r="I80" s="174" t="n">
        <v>4</v>
      </c>
      <c r="J80" s="174" t="n">
        <v>4</v>
      </c>
      <c r="K80" s="174" t="n">
        <v>4</v>
      </c>
      <c r="L80" s="174" t="n">
        <v>4</v>
      </c>
      <c r="M80" s="174" t="n">
        <v>5</v>
      </c>
      <c r="N80" s="174" t="n">
        <v>5</v>
      </c>
      <c r="O80" s="174" t="n">
        <v>4</v>
      </c>
      <c r="P80" s="173" t="inlineStr">
        <is>
          <t>3 · Builds and runs CI/CD pipelines and environments
4 · Designs platform, monitoring and release strategy</t>
        </is>
      </c>
      <c r="Q80" s="173" t="inlineStr">
        <is>
          <t>release, deploy, cloud, devops, AWS</t>
        </is>
      </c>
      <c r="R80" s="173" t="inlineStr">
        <is>
          <t>Practical task</t>
        </is>
      </c>
      <c r="S80" s="173" t="inlineStr">
        <is>
          <t>AWS / Azure / Kubernetes certifications</t>
        </is>
      </c>
      <c r="T80" s="173" t="inlineStr">
        <is>
          <t>Family set</t>
        </is>
      </c>
    </row>
    <row r="81" ht="67" customHeight="1">
      <c r="A81" s="173" t="inlineStr">
        <is>
          <t>Functional</t>
        </is>
      </c>
      <c r="B81" s="173" t="inlineStr">
        <is>
          <t>AI, GenAI &amp; Prompt Engineering</t>
        </is>
      </c>
      <c r="C81" s="173" t="inlineStr">
        <is>
          <t>Uses or builds AI and LLM solutions to improve products and work.</t>
        </is>
      </c>
      <c r="D81" s="173" t="inlineStr">
        <is>
          <t>—</t>
        </is>
      </c>
      <c r="E81" s="174" t="n">
        <v>1</v>
      </c>
      <c r="F81" s="174" t="n">
        <v>2</v>
      </c>
      <c r="G81" s="174" t="n">
        <v>3</v>
      </c>
      <c r="H81" s="174" t="n">
        <v>3</v>
      </c>
      <c r="I81" s="174" t="n">
        <v>4</v>
      </c>
      <c r="J81" s="174" t="n">
        <v>4</v>
      </c>
      <c r="K81" s="174" t="n">
        <v>4</v>
      </c>
      <c r="L81" s="174" t="n">
        <v>4</v>
      </c>
      <c r="M81" s="174" t="n">
        <v>5</v>
      </c>
      <c r="N81" s="174" t="n">
        <v>5</v>
      </c>
      <c r="O81" s="174" t="n">
        <v>4</v>
      </c>
      <c r="P81" s="173" t="inlineStr">
        <is>
          <t>3 · Uses AI / LLM tools in own work and validates output
4 · Builds AI features or AI-enabled processes; sets safe-use practice</t>
        </is>
      </c>
      <c r="Q81" s="173" t="inlineStr">
        <is>
          <t>AI, prompt, claude, copilot</t>
        </is>
      </c>
      <c r="R81" s="173" t="inlineStr">
        <is>
          <t>Work sample / portfolio</t>
        </is>
      </c>
      <c r="S81" s="173" t="inlineStr">
        <is>
          <t>Vendor AI certifications · optional</t>
        </is>
      </c>
      <c r="T81" s="173" t="inlineStr">
        <is>
          <t>Family set</t>
        </is>
      </c>
    </row>
    <row r="82" ht="54" customHeight="1">
      <c r="A82" s="173" t="inlineStr">
        <is>
          <t>Functional</t>
        </is>
      </c>
      <c r="B82" s="173" t="inlineStr">
        <is>
          <t>★ Product, Platform &amp; Domain Knowledge</t>
        </is>
      </c>
      <c r="C82" s="173" t="inlineStr">
        <is>
          <t>Knows IRIS products, platforms and the client's domain.</t>
        </is>
      </c>
      <c r="D82" s="173" t="inlineStr">
        <is>
          <t>Design &amp; Creative, Product Management</t>
        </is>
      </c>
      <c r="E82" s="174" t="n">
        <v>1</v>
      </c>
      <c r="F82" s="174" t="n">
        <v>2</v>
      </c>
      <c r="G82" s="174" t="n">
        <v>3</v>
      </c>
      <c r="H82" s="174" t="n">
        <v>3</v>
      </c>
      <c r="I82" s="174" t="n">
        <v>4</v>
      </c>
      <c r="J82" s="174" t="n">
        <v>4</v>
      </c>
      <c r="K82" s="174" t="n">
        <v>4</v>
      </c>
      <c r="L82" s="174" t="n">
        <v>4</v>
      </c>
      <c r="M82" s="174" t="n">
        <v>5</v>
      </c>
      <c r="N82" s="174" t="n">
        <v>5</v>
      </c>
      <c r="O82" s="174" t="n">
        <v>4</v>
      </c>
      <c r="P82" s="173" t="inlineStr">
        <is>
          <t>3 · Handles most product and domain scenarios
4 · Recognised product / domain expert; trains others</t>
        </is>
      </c>
      <c r="Q82" s="173" t="inlineStr">
        <is>
          <t>product, module, functional knowledge</t>
        </is>
      </c>
      <c r="R82" s="173" t="inlineStr">
        <is>
          <t>Scenario interview</t>
        </is>
      </c>
      <c r="S82" s="173" t="inlineStr">
        <is>
          <t>Internal product certification</t>
        </is>
      </c>
      <c r="T82" s="173" t="inlineStr">
        <is>
          <t>Family set</t>
        </is>
      </c>
    </row>
    <row r="83" ht="67" customHeight="1">
      <c r="A83" s="173" t="inlineStr">
        <is>
          <t>Functional</t>
        </is>
      </c>
      <c r="B83" s="173" t="inlineStr">
        <is>
          <t>Cybersecurity &amp; Infrastructure</t>
        </is>
      </c>
      <c r="C83" s="173" t="inlineStr">
        <is>
          <t>Runs secure servers, networks, endpoints and access.</t>
        </is>
      </c>
      <c r="D83" s="173" t="inlineStr">
        <is>
          <t>—</t>
        </is>
      </c>
      <c r="E83" s="174" t="n">
        <v>1</v>
      </c>
      <c r="F83" s="174" t="n">
        <v>2</v>
      </c>
      <c r="G83" s="174" t="n">
        <v>3</v>
      </c>
      <c r="H83" s="174" t="n">
        <v>3</v>
      </c>
      <c r="I83" s="174" t="n">
        <v>4</v>
      </c>
      <c r="J83" s="174" t="n">
        <v>4</v>
      </c>
      <c r="K83" s="174" t="n">
        <v>4</v>
      </c>
      <c r="L83" s="174" t="n">
        <v>4</v>
      </c>
      <c r="M83" s="174" t="n">
        <v>5</v>
      </c>
      <c r="N83" s="174" t="n">
        <v>5</v>
      </c>
      <c r="O83" s="174" t="n">
        <v>4</v>
      </c>
      <c r="P83" s="173" t="inlineStr">
        <is>
          <t>3 · Administers secure servers, networks and access
4 · Designs secure infrastructure; leads audits and incident response</t>
        </is>
      </c>
      <c r="Q83" s="173" t="inlineStr">
        <is>
          <t>—</t>
        </is>
      </c>
      <c r="R83" s="173" t="inlineStr">
        <is>
          <t>Practical task</t>
        </is>
      </c>
      <c r="S83" s="173" t="inlineStr">
        <is>
          <t>Microsoft / CCNA / ISO 27001 / ITIL</t>
        </is>
      </c>
      <c r="T83" s="173" t="inlineStr">
        <is>
          <t>Family set</t>
        </is>
      </c>
    </row>
    <row r="84" ht="67" customHeight="1">
      <c r="A84" s="173" t="inlineStr">
        <is>
          <t>Functional</t>
        </is>
      </c>
      <c r="B84" s="173" t="inlineStr">
        <is>
          <t>Stakeholder &amp; Client Management</t>
        </is>
      </c>
      <c r="C84" s="173" t="inlineStr">
        <is>
          <t>Manages clients and stakeholders; handles changing requests.</t>
        </is>
      </c>
      <c r="D84" s="173" t="inlineStr">
        <is>
          <t>—</t>
        </is>
      </c>
      <c r="E84" s="174" t="n">
        <v>1</v>
      </c>
      <c r="F84" s="174" t="n">
        <v>2</v>
      </c>
      <c r="G84" s="174" t="n">
        <v>3</v>
      </c>
      <c r="H84" s="174" t="n">
        <v>3</v>
      </c>
      <c r="I84" s="174" t="n">
        <v>4</v>
      </c>
      <c r="J84" s="174" t="n">
        <v>4</v>
      </c>
      <c r="K84" s="174" t="n">
        <v>4</v>
      </c>
      <c r="L84" s="174" t="n">
        <v>4</v>
      </c>
      <c r="M84" s="174" t="n">
        <v>5</v>
      </c>
      <c r="N84" s="174" t="n">
        <v>5</v>
      </c>
      <c r="O84" s="174" t="n">
        <v>4</v>
      </c>
      <c r="P84" s="173" t="inlineStr">
        <is>
          <t>3 · Manages client communication and expectations for own work
4 · Owns key relationships; resolves escalations</t>
        </is>
      </c>
      <c r="Q84" s="173" t="inlineStr">
        <is>
          <t>client, escalat</t>
        </is>
      </c>
      <c r="R84" s="173" t="inlineStr">
        <is>
          <t>Role play / behavioural interview</t>
        </is>
      </c>
      <c r="S84" s="173" t="inlineStr">
        <is>
          <t>—</t>
        </is>
      </c>
      <c r="T84" s="173" t="inlineStr">
        <is>
          <t>Family set</t>
        </is>
      </c>
    </row>
    <row r="85" ht="54" customHeight="1">
      <c r="A85" s="173" t="inlineStr">
        <is>
          <t>Functional</t>
        </is>
      </c>
      <c r="B85" s="173" t="inlineStr">
        <is>
          <t>Strategic Thinking &amp; Business Acumen</t>
        </is>
      </c>
      <c r="C85" s="173" t="inlineStr">
        <is>
          <t>Links work to business outcomes, budgets and strategy.</t>
        </is>
      </c>
      <c r="D85" s="173" t="inlineStr">
        <is>
          <t>—</t>
        </is>
      </c>
      <c r="E85" s="174" t="n">
        <v>1</v>
      </c>
      <c r="F85" s="174" t="n">
        <v>2</v>
      </c>
      <c r="G85" s="174" t="n">
        <v>3</v>
      </c>
      <c r="H85" s="174" t="n">
        <v>3</v>
      </c>
      <c r="I85" s="174" t="n">
        <v>4</v>
      </c>
      <c r="J85" s="174" t="n">
        <v>4</v>
      </c>
      <c r="K85" s="174" t="n">
        <v>4</v>
      </c>
      <c r="L85" s="174" t="n">
        <v>4</v>
      </c>
      <c r="M85" s="174" t="n">
        <v>5</v>
      </c>
      <c r="N85" s="174" t="n">
        <v>5</v>
      </c>
      <c r="O85" s="174" t="n">
        <v>4</v>
      </c>
      <c r="P85" s="173" t="inlineStr">
        <is>
          <t>3 · Connects work to business goals and budgets
4 · Shapes strategy, pricing or investment choices</t>
        </is>
      </c>
      <c r="Q85" s="173" t="inlineStr">
        <is>
          <t>strategy, growth</t>
        </is>
      </c>
      <c r="R85" s="173" t="inlineStr">
        <is>
          <t>Case interview</t>
        </is>
      </c>
      <c r="S85" s="173" t="inlineStr">
        <is>
          <t>MBA / PGDM · preferred at C+</t>
        </is>
      </c>
      <c r="T85" s="173" t="inlineStr">
        <is>
          <t>Family set</t>
        </is>
      </c>
    </row>
    <row r="86" ht="54" customHeight="1">
      <c r="A86" s="173" t="inlineStr">
        <is>
          <t>Functional</t>
        </is>
      </c>
      <c r="B86" s="173" t="inlineStr">
        <is>
          <t>★ Communication &amp; Presentation</t>
        </is>
      </c>
      <c r="C86" s="173" t="inlineStr">
        <is>
          <t>Writes and presents clearly to clients and teams.</t>
        </is>
      </c>
      <c r="D86" s="173" t="inlineStr">
        <is>
          <t>Design &amp; Creative</t>
        </is>
      </c>
      <c r="E86" s="174" t="n">
        <v>1</v>
      </c>
      <c r="F86" s="174" t="n">
        <v>2</v>
      </c>
      <c r="G86" s="174" t="n">
        <v>3</v>
      </c>
      <c r="H86" s="174" t="n">
        <v>3</v>
      </c>
      <c r="I86" s="174" t="n">
        <v>4</v>
      </c>
      <c r="J86" s="174" t="n">
        <v>4</v>
      </c>
      <c r="K86" s="174" t="n">
        <v>4</v>
      </c>
      <c r="L86" s="174" t="n">
        <v>4</v>
      </c>
      <c r="M86" s="174" t="n">
        <v>5</v>
      </c>
      <c r="N86" s="174" t="n">
        <v>5</v>
      </c>
      <c r="O86" s="174" t="n">
        <v>4</v>
      </c>
      <c r="P86" s="173" t="inlineStr">
        <is>
          <t>3 · Writes and presents clearly to clients and teams
4 · Presents to senior stakeholders; shapes messaging</t>
        </is>
      </c>
      <c r="Q86" s="173" t="inlineStr">
        <is>
          <t>—</t>
        </is>
      </c>
      <c r="R86" s="173" t="inlineStr">
        <is>
          <t>Presentation / writing test</t>
        </is>
      </c>
      <c r="S86" s="173" t="inlineStr">
        <is>
          <t>—</t>
        </is>
      </c>
      <c r="T86" s="173" t="inlineStr">
        <is>
          <t>Family set</t>
        </is>
      </c>
    </row>
    <row r="87" ht="54" customHeight="1">
      <c r="A87" s="173" t="inlineStr">
        <is>
          <t>Functional</t>
        </is>
      </c>
      <c r="B87" s="173" t="inlineStr">
        <is>
          <t>Marketing Tech &amp; Digital Marketing</t>
        </is>
      </c>
      <c r="C87" s="173" t="inlineStr">
        <is>
          <t>Runs CRM, campaigns, SEO and digital channels.</t>
        </is>
      </c>
      <c r="D87" s="173" t="inlineStr">
        <is>
          <t>—</t>
        </is>
      </c>
      <c r="E87" s="174" t="n">
        <v>1</v>
      </c>
      <c r="F87" s="174" t="n">
        <v>2</v>
      </c>
      <c r="G87" s="174" t="n">
        <v>3</v>
      </c>
      <c r="H87" s="174" t="n">
        <v>3</v>
      </c>
      <c r="I87" s="174" t="n">
        <v>4</v>
      </c>
      <c r="J87" s="174" t="n">
        <v>4</v>
      </c>
      <c r="K87" s="174" t="n">
        <v>4</v>
      </c>
      <c r="L87" s="174" t="n">
        <v>4</v>
      </c>
      <c r="M87" s="174" t="n">
        <v>5</v>
      </c>
      <c r="N87" s="174" t="n">
        <v>5</v>
      </c>
      <c r="O87" s="174" t="n">
        <v>4</v>
      </c>
      <c r="P87" s="173" t="inlineStr">
        <is>
          <t>3 · Runs campaigns, CRM, SEO and social channels
4 · Owns digital strategy, funnel and marketing analytics</t>
        </is>
      </c>
      <c r="Q87" s="173" t="inlineStr">
        <is>
          <t>—</t>
        </is>
      </c>
      <c r="R87" s="173" t="inlineStr">
        <is>
          <t>Portfolio / case</t>
        </is>
      </c>
      <c r="S87" s="173" t="inlineStr">
        <is>
          <t>Google / HubSpot certifications</t>
        </is>
      </c>
      <c r="T87" s="173" t="inlineStr">
        <is>
          <t>Family set</t>
        </is>
      </c>
    </row>
    <row r="88" ht="67" customHeight="1">
      <c r="A88" s="173" t="inlineStr">
        <is>
          <t>Functional</t>
        </is>
      </c>
      <c r="B88" s="173" t="inlineStr">
        <is>
          <t>Process Improvement &amp; Quality Mindset</t>
        </is>
      </c>
      <c r="C88" s="173" t="inlineStr">
        <is>
          <t>Gets it right first time; improves processes and checklists.</t>
        </is>
      </c>
      <c r="D88" s="173" t="inlineStr">
        <is>
          <t>—</t>
        </is>
      </c>
      <c r="E88" s="174" t="n">
        <v>1</v>
      </c>
      <c r="F88" s="174" t="n">
        <v>2</v>
      </c>
      <c r="G88" s="174" t="n">
        <v>3</v>
      </c>
      <c r="H88" s="174" t="n">
        <v>3</v>
      </c>
      <c r="I88" s="174" t="n">
        <v>4</v>
      </c>
      <c r="J88" s="174" t="n">
        <v>4</v>
      </c>
      <c r="K88" s="174" t="n">
        <v>4</v>
      </c>
      <c r="L88" s="174" t="n">
        <v>4</v>
      </c>
      <c r="M88" s="174" t="n">
        <v>5</v>
      </c>
      <c r="N88" s="174" t="n">
        <v>5</v>
      </c>
      <c r="O88" s="174" t="n">
        <v>4</v>
      </c>
      <c r="P88" s="173" t="inlineStr">
        <is>
          <t>3 · Delivers right-first-time; improves own checklists
4 · Redesigns team processes; reduces error rates measurably</t>
        </is>
      </c>
      <c r="Q88" s="173" t="inlineStr">
        <is>
          <t>review</t>
        </is>
      </c>
      <c r="R88" s="173" t="inlineStr">
        <is>
          <t>Work sample / case</t>
        </is>
      </c>
      <c r="S88" s="173" t="inlineStr">
        <is>
          <t>Lean / Six Sigma · optional</t>
        </is>
      </c>
      <c r="T88" s="173" t="inlineStr">
        <is>
          <t>Family set</t>
        </is>
      </c>
    </row>
    <row r="89" ht="67" customHeight="1">
      <c r="A89" s="173" t="inlineStr">
        <is>
          <t>Functional</t>
        </is>
      </c>
      <c r="B89" s="173" t="inlineStr">
        <is>
          <t>★ Business Analysis &amp; Requirements Engineering</t>
        </is>
      </c>
      <c r="C89" s="173" t="inlineStr">
        <is>
          <t>Captures, documents and validates requirements.</t>
        </is>
      </c>
      <c r="D89" s="173" t="inlineStr">
        <is>
          <t>Product Management</t>
        </is>
      </c>
      <c r="E89" s="174" t="n">
        <v>1</v>
      </c>
      <c r="F89" s="174" t="n">
        <v>2</v>
      </c>
      <c r="G89" s="174" t="n">
        <v>3</v>
      </c>
      <c r="H89" s="174" t="n">
        <v>3</v>
      </c>
      <c r="I89" s="174" t="n">
        <v>4</v>
      </c>
      <c r="J89" s="174" t="n">
        <v>4</v>
      </c>
      <c r="K89" s="174" t="n">
        <v>4</v>
      </c>
      <c r="L89" s="174" t="n">
        <v>4</v>
      </c>
      <c r="M89" s="174" t="n">
        <v>5</v>
      </c>
      <c r="N89" s="174" t="n">
        <v>5</v>
      </c>
      <c r="O89" s="174" t="n">
        <v>4</v>
      </c>
      <c r="P89" s="173" t="inlineStr">
        <is>
          <t>3 · Writes BRD / FSD / user stories and validates them
4 · Leads complex requirement programmes; sets BA standards</t>
        </is>
      </c>
      <c r="Q89" s="173" t="inlineStr">
        <is>
          <t>requirement, business analysis, use case</t>
        </is>
      </c>
      <c r="R89" s="173" t="inlineStr">
        <is>
          <t>Case study</t>
        </is>
      </c>
      <c r="S89" s="173" t="inlineStr">
        <is>
          <t>CBAP / CCBA · optional</t>
        </is>
      </c>
      <c r="T89" s="173" t="inlineStr">
        <is>
          <t>Family set</t>
        </is>
      </c>
    </row>
    <row r="90" ht="54" customHeight="1">
      <c r="A90" s="173" t="inlineStr">
        <is>
          <t>Functional</t>
        </is>
      </c>
      <c r="B90" s="173" t="inlineStr">
        <is>
          <t>Data Analytics, BI &amp; Visualisation</t>
        </is>
      </c>
      <c r="C90" s="173" t="inlineStr">
        <is>
          <t>Turns data into MIS, dashboards and insight.</t>
        </is>
      </c>
      <c r="D90" s="173" t="inlineStr">
        <is>
          <t>—</t>
        </is>
      </c>
      <c r="E90" s="174" t="n">
        <v>1</v>
      </c>
      <c r="F90" s="174" t="n">
        <v>2</v>
      </c>
      <c r="G90" s="174" t="n">
        <v>3</v>
      </c>
      <c r="H90" s="174" t="n">
        <v>3</v>
      </c>
      <c r="I90" s="174" t="n">
        <v>4</v>
      </c>
      <c r="J90" s="174" t="n">
        <v>4</v>
      </c>
      <c r="K90" s="174" t="n">
        <v>4</v>
      </c>
      <c r="L90" s="174" t="n">
        <v>4</v>
      </c>
      <c r="M90" s="174" t="n">
        <v>5</v>
      </c>
      <c r="N90" s="174" t="n">
        <v>5</v>
      </c>
      <c r="O90" s="174" t="n">
        <v>4</v>
      </c>
      <c r="P90" s="173" t="inlineStr">
        <is>
          <t>3 · Builds MIS, dashboards and analysis
4 · Defines metrics and analytics approach for a business</t>
        </is>
      </c>
      <c r="Q90" s="173" t="inlineStr">
        <is>
          <t>analytic</t>
        </is>
      </c>
      <c r="R90" s="173" t="inlineStr">
        <is>
          <t>Data case / practical</t>
        </is>
      </c>
      <c r="S90" s="173" t="inlineStr">
        <is>
          <t>Power BI / Tableau · optional</t>
        </is>
      </c>
      <c r="T90" s="173" t="inlineStr">
        <is>
          <t>Family set</t>
        </is>
      </c>
    </row>
    <row r="91" ht="28" customHeight="1">
      <c r="A91" s="134" t="inlineStr">
        <is>
          <t>Leadership</t>
        </is>
      </c>
      <c r="B91" s="134" t="inlineStr">
        <is>
          <t>Leadership cluster · 4 competencies, part C</t>
        </is>
      </c>
      <c r="C91" s="134" t="inlineStr">
        <is>
          <t>Leading people, decisions, strategy and change</t>
        </is>
      </c>
      <c r="D91" s="134" t="inlineStr">
        <is>
          <t>POD Leads and People Managers</t>
        </is>
      </c>
      <c r="E91" s="47" t="inlineStr">
        <is>
          <t>—</t>
        </is>
      </c>
      <c r="F91" s="47" t="inlineStr">
        <is>
          <t>—</t>
        </is>
      </c>
      <c r="G91" s="47" t="inlineStr">
        <is>
          <t>—</t>
        </is>
      </c>
      <c r="H91" s="47" t="inlineStr">
        <is>
          <t>1/2</t>
        </is>
      </c>
      <c r="I91" s="47" t="inlineStr">
        <is>
          <t>2/3</t>
        </is>
      </c>
      <c r="J91" s="47" t="inlineStr">
        <is>
          <t>3/4</t>
        </is>
      </c>
      <c r="K91" s="47" t="inlineStr">
        <is>
          <t>4/4</t>
        </is>
      </c>
      <c r="L91" s="47" t="inlineStr">
        <is>
          <t>4/4</t>
        </is>
      </c>
      <c r="M91" s="47" t="inlineStr">
        <is>
          <t>4/4</t>
        </is>
      </c>
      <c r="N91" s="47" t="inlineStr">
        <is>
          <t>5/5</t>
        </is>
      </c>
      <c r="O91" s="47" t="inlineStr">
        <is>
          <t>5/5</t>
        </is>
      </c>
      <c r="P91" s="134" t="inlineStr">
        <is>
          <t>Required level shown as IC / Manager</t>
        </is>
      </c>
      <c r="Q91" s="134" t="inlineStr">
        <is>
          <t>—</t>
        </is>
      </c>
      <c r="R91" s="134" t="inlineStr">
        <is>
          <t>Behavioural interview; 360 feedback</t>
        </is>
      </c>
      <c r="S91" s="134" t="inlineStr">
        <is>
          <t>—</t>
        </is>
      </c>
      <c r="T91" s="134" t="inlineStr">
        <is>
          <t>S14, S15, S16</t>
        </is>
      </c>
    </row>
    <row r="92" ht="15" customHeight="1"/>
    <row r="93" ht="15" customHeight="1">
      <c r="A93" s="12" t="inlineStr">
        <is>
          <t>Job family</t>
        </is>
      </c>
      <c r="B93" s="12" t="inlineStr">
        <is>
          <t>Education / credentials</t>
        </is>
      </c>
      <c r="C93" s="209" t="n"/>
      <c r="D93" s="12" t="inlineStr">
        <is>
          <t>Gate requirements</t>
        </is>
      </c>
      <c r="E93" s="209" t="n"/>
      <c r="F93" s="12" t="inlineStr">
        <is>
          <t>Learning focus — Band A</t>
        </is>
      </c>
      <c r="G93" s="210" t="n"/>
      <c r="H93" s="210" t="n"/>
      <c r="I93" s="210" t="n"/>
      <c r="J93" s="210" t="n"/>
      <c r="K93" s="209" t="n"/>
      <c r="L93" s="12" t="inlineStr">
        <is>
          <t>Learning focus — Band B</t>
        </is>
      </c>
      <c r="M93" s="210" t="n"/>
      <c r="N93" s="210" t="n"/>
      <c r="O93" s="210" t="n"/>
      <c r="P93" s="209" t="n"/>
      <c r="Q93" s="12" t="inlineStr">
        <is>
          <t>Learning focus — Band C+</t>
        </is>
      </c>
      <c r="R93" s="209" t="n"/>
      <c r="S93" s="12" t="inlineStr">
        <is>
          <t>Future skills</t>
        </is>
      </c>
      <c r="T93" s="209" t="n"/>
    </row>
    <row r="94" ht="80" customHeight="1">
      <c r="A94" s="13" t="inlineStr">
        <is>
          <t>Engineering &amp; Development</t>
        </is>
      </c>
      <c r="B94" s="16" t="inlineStr">
        <is>
          <t>BE / B.Tech / MCA / M.Tech / B.Sc · CS</t>
        </is>
      </c>
      <c r="C94" s="209" t="n"/>
      <c r="D94" s="16" t="inlineStr">
        <is>
          <t>Secure coding · OWASP, code review, unit testing</t>
        </is>
      </c>
      <c r="E94" s="209" t="n"/>
      <c r="F94" s="16" t="inlineStr">
        <is>
          <t>Mandatory path · POSH, Code of Conduct, InfoSec; Programming &amp; Tech-Stack Depth, System Design &amp; Architecture to Working → Practitioner; AI literacy to 2; learn by mentoring and KT.</t>
        </is>
      </c>
      <c r="G94" s="210" t="n"/>
      <c r="H94" s="210" t="n"/>
      <c r="I94" s="210" t="n"/>
      <c r="J94" s="210" t="n"/>
      <c r="K94" s="209" t="n"/>
      <c r="L94" s="16" t="inlineStr">
        <is>
          <t>Programming &amp; Tech-Stack Depth, System Design &amp; Architecture to Advanced; Database, SQL &amp; Data Engineering, Cloud, DevOps &amp; CI/CD, AI, GenAI &amp; Prompt Engineering to Practitioner; POD Leads / Managers: leading people, delegation, feedback.</t>
        </is>
      </c>
      <c r="M94" s="210" t="n"/>
      <c r="N94" s="210" t="n"/>
      <c r="O94" s="210" t="n"/>
      <c r="P94" s="209" t="n"/>
      <c r="Q94" s="16" t="inlineStr">
        <is>
          <t>Expert in one must-have; strategy &amp; business acumen; building the bench; AI-enabled processes for the function.</t>
        </is>
      </c>
      <c r="R94" s="209" t="n"/>
      <c r="S94" s="16" t="inlineStr">
        <is>
          <t>AI-assisted coding, cloud-native &amp; API-first design, LLM integration</t>
        </is>
      </c>
      <c r="T94" s="209" t="n"/>
    </row>
    <row r="95" ht="80" customHeight="1">
      <c r="A95" s="13" t="inlineStr">
        <is>
          <t>Engineering &amp; Architecture</t>
        </is>
      </c>
      <c r="B95" s="16" t="inlineStr">
        <is>
          <t>BE / B.Tech / MCA / M.Tech</t>
        </is>
      </c>
      <c r="C95" s="209" t="n"/>
      <c r="D95" s="16" t="inlineStr">
        <is>
          <t>Architecture governance, security by design</t>
        </is>
      </c>
      <c r="E95" s="209" t="n"/>
      <c r="F95" s="16" t="inlineStr">
        <is>
          <t>Mandatory path · POSH, Code of Conduct, InfoSec; System Design &amp; Architecture, Programming &amp; Tech-Stack Depth to Working → Practitioner; AI literacy to 2; learn by mentoring and KT.</t>
        </is>
      </c>
      <c r="G95" s="210" t="n"/>
      <c r="H95" s="210" t="n"/>
      <c r="I95" s="210" t="n"/>
      <c r="J95" s="210" t="n"/>
      <c r="K95" s="209" t="n"/>
      <c r="L95" s="16" t="inlineStr">
        <is>
          <t>System Design &amp; Architecture, Programming &amp; Tech-Stack Depth to Advanced; Cloud, DevOps &amp; CI/CD, Cybersecurity &amp; Infrastructure, Stakeholder &amp; Client Management to Practitioner; POD Leads / Managers: leading people, delegation, feedback.</t>
        </is>
      </c>
      <c r="M95" s="210" t="n"/>
      <c r="N95" s="210" t="n"/>
      <c r="O95" s="210" t="n"/>
      <c r="P95" s="209" t="n"/>
      <c r="Q95" s="16" t="inlineStr">
        <is>
          <t>Expert in one must-have; strategy &amp; business acumen; building the bench; AI-enabled processes for the function.</t>
        </is>
      </c>
      <c r="R95" s="209" t="n"/>
      <c r="S95" s="16" t="inlineStr">
        <is>
          <t>AI / LLM platform architecture, xBRL-CSV &amp; open-data APIs, cost-optimised cloud</t>
        </is>
      </c>
      <c r="T95" s="209" t="n"/>
    </row>
    <row r="96" ht="80" customHeight="1">
      <c r="A96" s="13" t="inlineStr">
        <is>
          <t>Design &amp; Creative</t>
        </is>
      </c>
      <c r="B96" s="16" t="inlineStr">
        <is>
          <t>Graduate in design / communication</t>
        </is>
      </c>
      <c r="C96" s="209" t="n"/>
      <c r="D96" s="16" t="inlineStr">
        <is>
          <t>Brand and accessibility standards · WCAG</t>
        </is>
      </c>
      <c r="E96" s="209" t="n"/>
      <c r="F96" s="16" t="inlineStr">
        <is>
          <t>Mandatory path · POSH, Code of Conduct, InfoSec; Product, Platform &amp; Domain Knowledge, Communication &amp; Presentation to Working → Practitioner; AI literacy to 2; learn by mentoring and KT.</t>
        </is>
      </c>
      <c r="G96" s="210" t="n"/>
      <c r="H96" s="210" t="n"/>
      <c r="I96" s="210" t="n"/>
      <c r="J96" s="210" t="n"/>
      <c r="K96" s="209" t="n"/>
      <c r="L96" s="16" t="inlineStr">
        <is>
          <t>Product, Platform &amp; Domain Knowledge, Communication &amp; Presentation to Advanced; Marketing Tech &amp; Digital Marketing, Process Improvement &amp; Quality Mindset, AI, GenAI &amp; Prompt Engineering to Practitioner; POD Leads / Managers: leading people, delegation, feedback.</t>
        </is>
      </c>
      <c r="M96" s="210" t="n"/>
      <c r="N96" s="210" t="n"/>
      <c r="O96" s="210" t="n"/>
      <c r="P96" s="209" t="n"/>
      <c r="Q96" s="16" t="inlineStr">
        <is>
          <t>Expert in one must-have; strategy &amp; business acumen; building the bench; AI-enabled processes for the function.</t>
        </is>
      </c>
      <c r="R96" s="209" t="n"/>
      <c r="S96" s="16" t="inlineStr">
        <is>
          <t>AI-assisted design, design systems</t>
        </is>
      </c>
      <c r="T96" s="209" t="n"/>
    </row>
    <row r="97" ht="80" customHeight="1">
      <c r="A97" s="13" t="inlineStr">
        <is>
          <t>Product Management</t>
        </is>
      </c>
      <c r="B97" s="16" t="inlineStr">
        <is>
          <t>Graduate; MBA / PGDM preferred</t>
        </is>
      </c>
      <c r="C97" s="209" t="n"/>
      <c r="D97" s="16" t="inlineStr">
        <is>
          <t>Product discovery, roadmap and P&amp;L basics</t>
        </is>
      </c>
      <c r="E97" s="209" t="n"/>
      <c r="F97" s="16" t="inlineStr">
        <is>
          <t>Mandatory path · POSH, Code of Conduct, InfoSec; Product, Platform &amp; Domain Knowledge, Business Analysis &amp; Requirements Engineering to Working → Practitioner; AI literacy to 2; learn by mentoring and KT.</t>
        </is>
      </c>
      <c r="G97" s="210" t="n"/>
      <c r="H97" s="210" t="n"/>
      <c r="I97" s="210" t="n"/>
      <c r="J97" s="210" t="n"/>
      <c r="K97" s="209" t="n"/>
      <c r="L97" s="16" t="inlineStr">
        <is>
          <t>Product, Platform &amp; Domain Knowledge, Business Analysis &amp; Requirements Engineering to Advanced; Data Analytics, BI &amp; Visualisation, Strategic Thinking &amp; Business Acumen, Stakeholder &amp; Client Management to Practitioner; POD Leads / Managers: leading people, delegation, feedback.</t>
        </is>
      </c>
      <c r="M97" s="210" t="n"/>
      <c r="N97" s="210" t="n"/>
      <c r="O97" s="210" t="n"/>
      <c r="P97" s="209" t="n"/>
      <c r="Q97" s="16" t="inlineStr">
        <is>
          <t>Expert in one must-have; strategy &amp; business acumen; building the bench; AI-enabled processes for the function.</t>
        </is>
      </c>
      <c r="R97" s="209" t="n"/>
      <c r="S97" s="16" t="inlineStr">
        <is>
          <t>AI product strategy, platform &amp; API products, ESG / digital-reporting markets</t>
        </is>
      </c>
      <c r="T97" s="209" t="n"/>
    </row>
    <row r="98" ht="15" customHeight="1"/>
    <row r="99" ht="15" customHeight="1"/>
    <row r="100" ht="20" customHeight="1">
      <c r="A100" s="172" t="inlineStr">
        <is>
          <t>Datatech - Outreach — 8 people · Sales &amp; marketing · levels A2–B2</t>
        </is>
      </c>
    </row>
    <row r="101" ht="15" customHeight="1">
      <c r="A101" s="17" t="inlineStr">
        <is>
          <t>Job families: Sales &amp; Business Development · Data &amp; Analytics</t>
        </is>
      </c>
    </row>
    <row r="102" ht="15" customHeight="1">
      <c r="A102" s="12" t="inlineStr">
        <is>
          <t>Capability health today · indicative, from survey + KRAs</t>
        </is>
      </c>
      <c r="B102" s="210" t="n"/>
      <c r="C102" s="210" t="n"/>
      <c r="D102" s="210" t="n"/>
      <c r="E102" s="209" t="n"/>
      <c r="F102" s="12" t="inlineStr">
        <is>
          <t>Result</t>
        </is>
      </c>
      <c r="G102" s="210" t="n"/>
      <c r="H102" s="210" t="n"/>
      <c r="I102" s="210" t="n"/>
      <c r="J102" s="210" t="n"/>
      <c r="K102" s="210" t="n"/>
      <c r="L102" s="210" t="n"/>
      <c r="M102" s="210" t="n"/>
      <c r="N102" s="210" t="n"/>
      <c r="O102" s="210" t="n"/>
      <c r="P102" s="210" t="n"/>
      <c r="Q102" s="210" t="n"/>
      <c r="R102" s="209" t="n"/>
    </row>
    <row r="103" ht="15" customHeight="1">
      <c r="A103" s="13" t="inlineStr">
        <is>
          <t>People assessed · meet or exceed their level</t>
        </is>
      </c>
      <c r="B103" s="210" t="n"/>
      <c r="C103" s="210" t="n"/>
      <c r="D103" s="210" t="n"/>
      <c r="E103" s="209" t="n"/>
      <c r="F103" s="16" t="inlineStr">
        <is>
          <t>8 · 3</t>
        </is>
      </c>
      <c r="G103" s="210" t="n"/>
      <c r="H103" s="210" t="n"/>
      <c r="I103" s="210" t="n"/>
      <c r="J103" s="210" t="n"/>
      <c r="K103" s="210" t="n"/>
      <c r="L103" s="210" t="n"/>
      <c r="M103" s="210" t="n"/>
      <c r="N103" s="210" t="n"/>
      <c r="O103" s="210" t="n"/>
      <c r="P103" s="210" t="n"/>
      <c r="Q103" s="210" t="n"/>
      <c r="R103" s="209" t="n"/>
    </row>
    <row r="104" ht="15" customHeight="1">
      <c r="A104" s="13" t="inlineStr">
        <is>
          <t>Average index · Core · Future-ready · Functional · Leadership · % of required</t>
        </is>
      </c>
      <c r="B104" s="210" t="n"/>
      <c r="C104" s="210" t="n"/>
      <c r="D104" s="210" t="n"/>
      <c r="E104" s="209" t="n"/>
      <c r="F104" s="16" t="inlineStr">
        <is>
          <t>84% · 88% · 64% · 88% · 101%</t>
        </is>
      </c>
      <c r="G104" s="210" t="n"/>
      <c r="H104" s="210" t="n"/>
      <c r="I104" s="210" t="n"/>
      <c r="J104" s="210" t="n"/>
      <c r="K104" s="210" t="n"/>
      <c r="L104" s="210" t="n"/>
      <c r="M104" s="210" t="n"/>
      <c r="N104" s="210" t="n"/>
      <c r="O104" s="210" t="n"/>
      <c r="P104" s="210" t="n"/>
      <c r="Q104" s="210" t="n"/>
      <c r="R104" s="209" t="n"/>
    </row>
    <row r="105" ht="15" customHeight="1">
      <c r="A105" s="13" t="inlineStr">
        <is>
          <t>Most common competency gaps · people</t>
        </is>
      </c>
      <c r="B105" s="210" t="n"/>
      <c r="C105" s="210" t="n"/>
      <c r="D105" s="210" t="n"/>
      <c r="E105" s="209" t="n"/>
      <c r="F105" s="16" t="inlineStr">
        <is>
          <t>Communication · Product &amp; domain · Business acumen · Ownership · AI literacy · Innovation</t>
        </is>
      </c>
      <c r="G105" s="210" t="n"/>
      <c r="H105" s="210" t="n"/>
      <c r="I105" s="210" t="n"/>
      <c r="J105" s="210" t="n"/>
      <c r="K105" s="210" t="n"/>
      <c r="L105" s="210" t="n"/>
      <c r="M105" s="210" t="n"/>
      <c r="N105" s="210" t="n"/>
      <c r="O105" s="210" t="n"/>
      <c r="P105" s="210" t="n"/>
      <c r="Q105" s="210" t="n"/>
      <c r="R105" s="209" t="n"/>
    </row>
    <row r="106" ht="28" customHeight="1">
      <c r="A106" s="13" t="inlineStr">
        <is>
          <t>Role-based development priorities · people</t>
        </is>
      </c>
      <c r="B106" s="210" t="n"/>
      <c r="C106" s="210" t="n"/>
      <c r="D106" s="210" t="n"/>
      <c r="E106" s="209" t="n"/>
      <c r="F106" s="16" t="inlineStr">
        <is>
          <t>Sales, Negotiation &amp; Account Growth · Advanced Excel &amp; Productivity Tools · Project, Program &amp; Agile Management · People Leadership &amp; Mentoring · Communication &amp; Presentation · SB.INS-F: Role-specific methods</t>
        </is>
      </c>
      <c r="G106" s="210" t="n"/>
      <c r="H106" s="210" t="n"/>
      <c r="I106" s="210" t="n"/>
      <c r="J106" s="210" t="n"/>
      <c r="K106" s="210" t="n"/>
      <c r="L106" s="210" t="n"/>
      <c r="M106" s="210" t="n"/>
      <c r="N106" s="210" t="n"/>
      <c r="O106" s="210" t="n"/>
      <c r="P106" s="210" t="n"/>
      <c r="Q106" s="210" t="n"/>
      <c r="R106" s="209" t="n"/>
    </row>
    <row r="107" ht="15" customHeight="1">
      <c r="A107" s="13" t="inlineStr">
        <is>
          <t>Manager-identified training themes</t>
        </is>
      </c>
      <c r="B107" s="210" t="n"/>
      <c r="C107" s="210" t="n"/>
      <c r="D107" s="210" t="n"/>
      <c r="E107" s="209" t="n"/>
      <c r="F107" s="16" t="inlineStr">
        <is>
          <t>management · handling · objection · sales · knowledge</t>
        </is>
      </c>
      <c r="G107" s="210" t="n"/>
      <c r="H107" s="210" t="n"/>
      <c r="I107" s="210" t="n"/>
      <c r="J107" s="210" t="n"/>
      <c r="K107" s="210" t="n"/>
      <c r="L107" s="210" t="n"/>
      <c r="M107" s="210" t="n"/>
      <c r="N107" s="210" t="n"/>
      <c r="O107" s="210" t="n"/>
      <c r="P107" s="210" t="n"/>
      <c r="Q107" s="210" t="n"/>
      <c r="R107" s="209" t="n"/>
    </row>
    <row r="108" ht="15" customHeight="1">
      <c r="A108" s="13" t="inlineStr">
        <is>
          <t>What helped people learn · survey</t>
        </is>
      </c>
      <c r="B108" s="210" t="n"/>
      <c r="C108" s="210" t="n"/>
      <c r="D108" s="210" t="n"/>
      <c r="E108" s="209" t="n"/>
      <c r="F108" s="16" t="inlineStr">
        <is>
          <t>Formal / classroom training · Mentoring / guidance from seniors · On-the-job / hands-on</t>
        </is>
      </c>
      <c r="G108" s="210" t="n"/>
      <c r="H108" s="210" t="n"/>
      <c r="I108" s="210" t="n"/>
      <c r="J108" s="210" t="n"/>
      <c r="K108" s="210" t="n"/>
      <c r="L108" s="210" t="n"/>
      <c r="M108" s="210" t="n"/>
      <c r="N108" s="210" t="n"/>
      <c r="O108" s="210" t="n"/>
      <c r="P108" s="210" t="n"/>
      <c r="Q108" s="210" t="n"/>
      <c r="R108" s="209" t="n"/>
    </row>
    <row r="109" ht="15" customHeight="1">
      <c r="A109" s="13" t="inlineStr">
        <is>
          <t>How the work is changing</t>
        </is>
      </c>
      <c r="B109" s="210" t="n"/>
      <c r="C109" s="210" t="n"/>
      <c r="D109" s="210" t="n"/>
      <c r="E109" s="209" t="n"/>
      <c r="F109" s="16" t="inlineStr">
        <is>
          <t>1 of 6 say the role is changing because of AI / automation</t>
        </is>
      </c>
      <c r="G109" s="210" t="n"/>
      <c r="H109" s="210" t="n"/>
      <c r="I109" s="210" t="n"/>
      <c r="J109" s="210" t="n"/>
      <c r="K109" s="210" t="n"/>
      <c r="L109" s="210" t="n"/>
      <c r="M109" s="210" t="n"/>
      <c r="N109" s="210" t="n"/>
      <c r="O109" s="210" t="n"/>
      <c r="P109" s="210" t="n"/>
      <c r="Q109" s="210" t="n"/>
      <c r="R109" s="209" t="n"/>
    </row>
    <row r="110" ht="15" customHeight="1">
      <c r="A110" s="13" t="inlineStr">
        <is>
          <t>Lateral moves the evidence supports · people</t>
        </is>
      </c>
      <c r="B110" s="210" t="n"/>
      <c r="C110" s="210" t="n"/>
      <c r="D110" s="210" t="n"/>
      <c r="E110" s="209" t="n"/>
      <c r="F110" s="16" t="inlineStr">
        <is>
          <t>No strong match yet</t>
        </is>
      </c>
      <c r="G110" s="210" t="n"/>
      <c r="H110" s="210" t="n"/>
      <c r="I110" s="210" t="n"/>
      <c r="J110" s="210" t="n"/>
      <c r="K110" s="210" t="n"/>
      <c r="L110" s="210" t="n"/>
      <c r="M110" s="210" t="n"/>
      <c r="N110" s="210" t="n"/>
      <c r="O110" s="210" t="n"/>
      <c r="P110" s="210" t="n"/>
      <c r="Q110" s="210" t="n"/>
      <c r="R110" s="209" t="n"/>
    </row>
    <row r="111" ht="15" customHeight="1"/>
    <row r="112" ht="28" customHeight="1">
      <c r="A112" s="12" t="inlineStr">
        <is>
          <t>Cluster</t>
        </is>
      </c>
      <c r="B112" s="12" t="inlineStr">
        <is>
          <t>Competency · ★ = must-have</t>
        </is>
      </c>
      <c r="C112" s="12" t="inlineStr">
        <is>
          <t>Definition</t>
        </is>
      </c>
      <c r="D112" s="12" t="inlineStr">
        <is>
          <t>Must-have for</t>
        </is>
      </c>
      <c r="E112" s="12" t="inlineStr">
        <is>
          <t>A1</t>
        </is>
      </c>
      <c r="F112" s="12" t="inlineStr">
        <is>
          <t>A2</t>
        </is>
      </c>
      <c r="G112" s="12" t="inlineStr">
        <is>
          <t>A3</t>
        </is>
      </c>
      <c r="H112" s="12" t="inlineStr">
        <is>
          <t>B1</t>
        </is>
      </c>
      <c r="I112" s="12" t="inlineStr">
        <is>
          <t>B2</t>
        </is>
      </c>
      <c r="J112" s="12" t="inlineStr">
        <is>
          <t>B3</t>
        </is>
      </c>
      <c r="K112" s="12" t="inlineStr">
        <is>
          <t>B+</t>
        </is>
      </c>
      <c r="L112" s="12" t="inlineStr">
        <is>
          <t>C1</t>
        </is>
      </c>
      <c r="M112" s="12" t="inlineStr">
        <is>
          <t>C2</t>
        </is>
      </c>
      <c r="N112" s="12" t="inlineStr">
        <is>
          <t>C+</t>
        </is>
      </c>
      <c r="O112" s="12" t="inlineStr">
        <is>
          <t>D1</t>
        </is>
      </c>
      <c r="P112" s="12" t="inlineStr">
        <is>
          <t>What good looks like · by proficiency</t>
        </is>
      </c>
      <c r="Q112" s="12" t="inlineStr">
        <is>
          <t>What IRIS top performers do · survey</t>
        </is>
      </c>
      <c r="R112" s="12" t="inlineStr">
        <is>
          <t>How to assess</t>
        </is>
      </c>
      <c r="S112" s="12" t="inlineStr">
        <is>
          <t>Credentials</t>
        </is>
      </c>
      <c r="T112" s="12" t="inlineStr">
        <is>
          <t>Reference</t>
        </is>
      </c>
    </row>
    <row r="113" ht="67" customHeight="1">
      <c r="A113" s="173" t="inlineStr">
        <is>
          <t>Functional</t>
        </is>
      </c>
      <c r="B113" s="173" t="inlineStr">
        <is>
          <t>★ Sales, Negotiation &amp; Account Growth</t>
        </is>
      </c>
      <c r="C113" s="173" t="inlineStr">
        <is>
          <t>Builds pipeline, negotiates and grows accounts.</t>
        </is>
      </c>
      <c r="D113" s="173" t="inlineStr">
        <is>
          <t>Sales &amp; Business Development</t>
        </is>
      </c>
      <c r="E113" s="174" t="n">
        <v>1</v>
      </c>
      <c r="F113" s="174" t="n">
        <v>2</v>
      </c>
      <c r="G113" s="174" t="n">
        <v>3</v>
      </c>
      <c r="H113" s="174" t="n">
        <v>3</v>
      </c>
      <c r="I113" s="174" t="n">
        <v>4</v>
      </c>
      <c r="J113" s="174" t="n">
        <v>4</v>
      </c>
      <c r="K113" s="174" t="n">
        <v>4</v>
      </c>
      <c r="L113" s="174" t="n">
        <v>4</v>
      </c>
      <c r="M113" s="174" t="n">
        <v>5</v>
      </c>
      <c r="N113" s="174" t="n">
        <v>5</v>
      </c>
      <c r="O113" s="174" t="n">
        <v>4</v>
      </c>
      <c r="P113" s="173" t="inlineStr">
        <is>
          <t>3 · Builds pipeline and closes deals
4 · Owns key accounts; negotiates complex deals; grows revenue</t>
        </is>
      </c>
      <c r="Q113" s="173" t="inlineStr">
        <is>
          <t>pipeline, lead, deal, negotiation, sales</t>
        </is>
      </c>
      <c r="R113" s="173" t="inlineStr">
        <is>
          <t>Sales role play</t>
        </is>
      </c>
      <c r="S113" s="173" t="inlineStr">
        <is>
          <t>—</t>
        </is>
      </c>
      <c r="T113" s="173" t="inlineStr">
        <is>
          <t>Family set</t>
        </is>
      </c>
    </row>
    <row r="114" ht="54" customHeight="1">
      <c r="A114" s="173" t="inlineStr">
        <is>
          <t>Functional</t>
        </is>
      </c>
      <c r="B114" s="173" t="inlineStr">
        <is>
          <t>★ Marketing Tech &amp; Digital Marketing</t>
        </is>
      </c>
      <c r="C114" s="173" t="inlineStr">
        <is>
          <t>Runs CRM, campaigns, SEO and digital channels.</t>
        </is>
      </c>
      <c r="D114" s="173" t="inlineStr">
        <is>
          <t>Sales &amp; Business Development</t>
        </is>
      </c>
      <c r="E114" s="174" t="n">
        <v>1</v>
      </c>
      <c r="F114" s="174" t="n">
        <v>2</v>
      </c>
      <c r="G114" s="174" t="n">
        <v>3</v>
      </c>
      <c r="H114" s="174" t="n">
        <v>3</v>
      </c>
      <c r="I114" s="174" t="n">
        <v>4</v>
      </c>
      <c r="J114" s="174" t="n">
        <v>4</v>
      </c>
      <c r="K114" s="174" t="n">
        <v>4</v>
      </c>
      <c r="L114" s="174" t="n">
        <v>4</v>
      </c>
      <c r="M114" s="174" t="n">
        <v>5</v>
      </c>
      <c r="N114" s="174" t="n">
        <v>5</v>
      </c>
      <c r="O114" s="174" t="n">
        <v>4</v>
      </c>
      <c r="P114" s="173" t="inlineStr">
        <is>
          <t>3 · Runs campaigns, CRM, SEO and social channels
4 · Owns digital strategy, funnel and marketing analytics</t>
        </is>
      </c>
      <c r="Q114" s="173" t="inlineStr">
        <is>
          <t>CRM</t>
        </is>
      </c>
      <c r="R114" s="173" t="inlineStr">
        <is>
          <t>Portfolio / case</t>
        </is>
      </c>
      <c r="S114" s="173" t="inlineStr">
        <is>
          <t>Google / HubSpot certifications</t>
        </is>
      </c>
      <c r="T114" s="173" t="inlineStr">
        <is>
          <t>Family set</t>
        </is>
      </c>
    </row>
    <row r="115" ht="67" customHeight="1">
      <c r="A115" s="173" t="inlineStr">
        <is>
          <t>Functional</t>
        </is>
      </c>
      <c r="B115" s="173" t="inlineStr">
        <is>
          <t>Stakeholder &amp; Client Management</t>
        </is>
      </c>
      <c r="C115" s="173" t="inlineStr">
        <is>
          <t>Manages clients and stakeholders; handles changing requests.</t>
        </is>
      </c>
      <c r="D115" s="173" t="inlineStr">
        <is>
          <t>—</t>
        </is>
      </c>
      <c r="E115" s="174" t="n">
        <v>1</v>
      </c>
      <c r="F115" s="174" t="n">
        <v>2</v>
      </c>
      <c r="G115" s="174" t="n">
        <v>3</v>
      </c>
      <c r="H115" s="174" t="n">
        <v>3</v>
      </c>
      <c r="I115" s="174" t="n">
        <v>4</v>
      </c>
      <c r="J115" s="174" t="n">
        <v>4</v>
      </c>
      <c r="K115" s="174" t="n">
        <v>4</v>
      </c>
      <c r="L115" s="174" t="n">
        <v>4</v>
      </c>
      <c r="M115" s="174" t="n">
        <v>5</v>
      </c>
      <c r="N115" s="174" t="n">
        <v>5</v>
      </c>
      <c r="O115" s="174" t="n">
        <v>4</v>
      </c>
      <c r="P115" s="173" t="inlineStr">
        <is>
          <t>3 · Manages client communication and expectations for own work
4 · Owns key relationships; resolves escalations</t>
        </is>
      </c>
      <c r="Q115" s="173" t="inlineStr">
        <is>
          <t>client, relationship, stakeholder, coordinat, customer</t>
        </is>
      </c>
      <c r="R115" s="173" t="inlineStr">
        <is>
          <t>Role play / behavioural interview</t>
        </is>
      </c>
      <c r="S115" s="173" t="inlineStr">
        <is>
          <t>—</t>
        </is>
      </c>
      <c r="T115" s="173" t="inlineStr">
        <is>
          <t>Family set</t>
        </is>
      </c>
    </row>
    <row r="116" ht="54" customHeight="1">
      <c r="A116" s="173" t="inlineStr">
        <is>
          <t>Functional</t>
        </is>
      </c>
      <c r="B116" s="173" t="inlineStr">
        <is>
          <t>Communication &amp; Presentation</t>
        </is>
      </c>
      <c r="C116" s="173" t="inlineStr">
        <is>
          <t>Writes and presents clearly to clients and teams.</t>
        </is>
      </c>
      <c r="D116" s="173" t="inlineStr">
        <is>
          <t>—</t>
        </is>
      </c>
      <c r="E116" s="174" t="n">
        <v>1</v>
      </c>
      <c r="F116" s="174" t="n">
        <v>2</v>
      </c>
      <c r="G116" s="174" t="n">
        <v>3</v>
      </c>
      <c r="H116" s="174" t="n">
        <v>3</v>
      </c>
      <c r="I116" s="174" t="n">
        <v>4</v>
      </c>
      <c r="J116" s="174" t="n">
        <v>4</v>
      </c>
      <c r="K116" s="174" t="n">
        <v>4</v>
      </c>
      <c r="L116" s="174" t="n">
        <v>4</v>
      </c>
      <c r="M116" s="174" t="n">
        <v>5</v>
      </c>
      <c r="N116" s="174" t="n">
        <v>5</v>
      </c>
      <c r="O116" s="174" t="n">
        <v>4</v>
      </c>
      <c r="P116" s="173" t="inlineStr">
        <is>
          <t>3 · Writes and presents clearly to clients and teams
4 · Presents to senior stakeholders; shapes messaging</t>
        </is>
      </c>
      <c r="Q116" s="173" t="inlineStr">
        <is>
          <t>communication, present</t>
        </is>
      </c>
      <c r="R116" s="173" t="inlineStr">
        <is>
          <t>Presentation / writing test</t>
        </is>
      </c>
      <c r="S116" s="173" t="inlineStr">
        <is>
          <t>—</t>
        </is>
      </c>
      <c r="T116" s="173" t="inlineStr">
        <is>
          <t>Family set</t>
        </is>
      </c>
    </row>
    <row r="117" ht="54" customHeight="1">
      <c r="A117" s="173" t="inlineStr">
        <is>
          <t>Functional</t>
        </is>
      </c>
      <c r="B117" s="173" t="inlineStr">
        <is>
          <t>Product, Platform &amp; Domain Knowledge</t>
        </is>
      </c>
      <c r="C117" s="173" t="inlineStr">
        <is>
          <t>Knows IRIS products, platforms and the client's domain.</t>
        </is>
      </c>
      <c r="D117" s="173" t="inlineStr">
        <is>
          <t>—</t>
        </is>
      </c>
      <c r="E117" s="174" t="n">
        <v>1</v>
      </c>
      <c r="F117" s="174" t="n">
        <v>2</v>
      </c>
      <c r="G117" s="174" t="n">
        <v>3</v>
      </c>
      <c r="H117" s="174" t="n">
        <v>3</v>
      </c>
      <c r="I117" s="174" t="n">
        <v>4</v>
      </c>
      <c r="J117" s="174" t="n">
        <v>4</v>
      </c>
      <c r="K117" s="174" t="n">
        <v>4</v>
      </c>
      <c r="L117" s="174" t="n">
        <v>4</v>
      </c>
      <c r="M117" s="174" t="n">
        <v>5</v>
      </c>
      <c r="N117" s="174" t="n">
        <v>5</v>
      </c>
      <c r="O117" s="174" t="n">
        <v>4</v>
      </c>
      <c r="P117" s="173" t="inlineStr">
        <is>
          <t>3 · Handles most product and domain scenarios
4 · Recognised product / domain expert; trains others</t>
        </is>
      </c>
      <c r="Q117" s="173" t="inlineStr">
        <is>
          <t>product, domain</t>
        </is>
      </c>
      <c r="R117" s="173" t="inlineStr">
        <is>
          <t>Scenario interview</t>
        </is>
      </c>
      <c r="S117" s="173" t="inlineStr">
        <is>
          <t>Internal product certification</t>
        </is>
      </c>
      <c r="T117" s="173" t="inlineStr">
        <is>
          <t>Family set</t>
        </is>
      </c>
    </row>
    <row r="118" ht="54" customHeight="1">
      <c r="A118" s="173" t="inlineStr">
        <is>
          <t>Functional</t>
        </is>
      </c>
      <c r="B118" s="173" t="inlineStr">
        <is>
          <t>Strategic Thinking &amp; Business Acumen</t>
        </is>
      </c>
      <c r="C118" s="173" t="inlineStr">
        <is>
          <t>Links work to business outcomes, budgets and strategy.</t>
        </is>
      </c>
      <c r="D118" s="173" t="inlineStr">
        <is>
          <t>—</t>
        </is>
      </c>
      <c r="E118" s="174" t="n">
        <v>1</v>
      </c>
      <c r="F118" s="174" t="n">
        <v>2</v>
      </c>
      <c r="G118" s="174" t="n">
        <v>3</v>
      </c>
      <c r="H118" s="174" t="n">
        <v>3</v>
      </c>
      <c r="I118" s="174" t="n">
        <v>4</v>
      </c>
      <c r="J118" s="174" t="n">
        <v>4</v>
      </c>
      <c r="K118" s="174" t="n">
        <v>4</v>
      </c>
      <c r="L118" s="174" t="n">
        <v>4</v>
      </c>
      <c r="M118" s="174" t="n">
        <v>5</v>
      </c>
      <c r="N118" s="174" t="n">
        <v>5</v>
      </c>
      <c r="O118" s="174" t="n">
        <v>4</v>
      </c>
      <c r="P118" s="173" t="inlineStr">
        <is>
          <t>3 · Connects work to business goals and budgets
4 · Shapes strategy, pricing or investment choices</t>
        </is>
      </c>
      <c r="Q118" s="173" t="inlineStr">
        <is>
          <t>revenue, strategy, market, pricing</t>
        </is>
      </c>
      <c r="R118" s="173" t="inlineStr">
        <is>
          <t>Case interview</t>
        </is>
      </c>
      <c r="S118" s="173" t="inlineStr">
        <is>
          <t>MBA / PGDM · preferred at C+</t>
        </is>
      </c>
      <c r="T118" s="173" t="inlineStr">
        <is>
          <t>Family set</t>
        </is>
      </c>
    </row>
    <row r="119" ht="54" customHeight="1">
      <c r="A119" s="173" t="inlineStr">
        <is>
          <t>Functional</t>
        </is>
      </c>
      <c r="B119" s="173" t="inlineStr">
        <is>
          <t>★ Data Analytics, BI &amp; Visualisation</t>
        </is>
      </c>
      <c r="C119" s="173" t="inlineStr">
        <is>
          <t>Turns data into MIS, dashboards and insight.</t>
        </is>
      </c>
      <c r="D119" s="173" t="inlineStr">
        <is>
          <t>Data &amp; Analytics</t>
        </is>
      </c>
      <c r="E119" s="174" t="n">
        <v>1</v>
      </c>
      <c r="F119" s="174" t="n">
        <v>2</v>
      </c>
      <c r="G119" s="174" t="n">
        <v>3</v>
      </c>
      <c r="H119" s="174" t="n">
        <v>3</v>
      </c>
      <c r="I119" s="174" t="n">
        <v>4</v>
      </c>
      <c r="J119" s="174" t="n">
        <v>4</v>
      </c>
      <c r="K119" s="174" t="n">
        <v>4</v>
      </c>
      <c r="L119" s="174" t="n">
        <v>4</v>
      </c>
      <c r="M119" s="174" t="n">
        <v>5</v>
      </c>
      <c r="N119" s="174" t="n">
        <v>5</v>
      </c>
      <c r="O119" s="174" t="n">
        <v>4</v>
      </c>
      <c r="P119" s="173" t="inlineStr">
        <is>
          <t>3 · Builds MIS, dashboards and analysis
4 · Defines metrics and analytics approach for a business</t>
        </is>
      </c>
      <c r="Q119" s="173" t="inlineStr">
        <is>
          <t>—</t>
        </is>
      </c>
      <c r="R119" s="173" t="inlineStr">
        <is>
          <t>Data case / practical</t>
        </is>
      </c>
      <c r="S119" s="173" t="inlineStr">
        <is>
          <t>Power BI / Tableau · optional</t>
        </is>
      </c>
      <c r="T119" s="173" t="inlineStr">
        <is>
          <t>Family set</t>
        </is>
      </c>
    </row>
    <row r="120" ht="54" customHeight="1">
      <c r="A120" s="173" t="inlineStr">
        <is>
          <t>Functional</t>
        </is>
      </c>
      <c r="B120" s="173" t="inlineStr">
        <is>
          <t>★ Database, SQL &amp; Data Engineering</t>
        </is>
      </c>
      <c r="C120" s="173" t="inlineStr">
        <is>
          <t>Writes and tunes SQL, data models and ETL.</t>
        </is>
      </c>
      <c r="D120" s="173" t="inlineStr">
        <is>
          <t>Data &amp; Analytics</t>
        </is>
      </c>
      <c r="E120" s="174" t="n">
        <v>1</v>
      </c>
      <c r="F120" s="174" t="n">
        <v>2</v>
      </c>
      <c r="G120" s="174" t="n">
        <v>3</v>
      </c>
      <c r="H120" s="174" t="n">
        <v>3</v>
      </c>
      <c r="I120" s="174" t="n">
        <v>4</v>
      </c>
      <c r="J120" s="174" t="n">
        <v>4</v>
      </c>
      <c r="K120" s="174" t="n">
        <v>4</v>
      </c>
      <c r="L120" s="174" t="n">
        <v>4</v>
      </c>
      <c r="M120" s="174" t="n">
        <v>5</v>
      </c>
      <c r="N120" s="174" t="n">
        <v>5</v>
      </c>
      <c r="O120" s="174" t="n">
        <v>4</v>
      </c>
      <c r="P120" s="173" t="inlineStr">
        <is>
          <t>3 · Writes and tunes queries, procedures and ETL
4 · Designs data models and pipelines; optimises at scale</t>
        </is>
      </c>
      <c r="Q120" s="173" t="inlineStr">
        <is>
          <t>queries, database</t>
        </is>
      </c>
      <c r="R120" s="173" t="inlineStr">
        <is>
          <t>SQL test / case</t>
        </is>
      </c>
      <c r="S120" s="173" t="inlineStr">
        <is>
          <t>Database certifications · optional</t>
        </is>
      </c>
      <c r="T120" s="173" t="inlineStr">
        <is>
          <t>Family set</t>
        </is>
      </c>
    </row>
    <row r="121" ht="67" customHeight="1">
      <c r="A121" s="173" t="inlineStr">
        <is>
          <t>Functional</t>
        </is>
      </c>
      <c r="B121" s="173" t="inlineStr">
        <is>
          <t>Advanced Excel &amp; Productivity Tools</t>
        </is>
      </c>
      <c r="C121" s="173" t="inlineStr">
        <is>
          <t>Uses Excel, Word, HTML and conversion tools expertly.</t>
        </is>
      </c>
      <c r="D121" s="173" t="inlineStr">
        <is>
          <t>—</t>
        </is>
      </c>
      <c r="E121" s="174" t="n">
        <v>1</v>
      </c>
      <c r="F121" s="174" t="n">
        <v>2</v>
      </c>
      <c r="G121" s="174" t="n">
        <v>3</v>
      </c>
      <c r="H121" s="174" t="n">
        <v>3</v>
      </c>
      <c r="I121" s="174" t="n">
        <v>4</v>
      </c>
      <c r="J121" s="174" t="n">
        <v>4</v>
      </c>
      <c r="K121" s="174" t="n">
        <v>4</v>
      </c>
      <c r="L121" s="174" t="n">
        <v>4</v>
      </c>
      <c r="M121" s="174" t="n">
        <v>5</v>
      </c>
      <c r="N121" s="174" t="n">
        <v>5</v>
      </c>
      <c r="O121" s="174" t="n">
        <v>4</v>
      </c>
      <c r="P121" s="173" t="inlineStr">
        <is>
          <t>3 · Uses advanced Excel, Word, HTML and conversion tools fluently
4 · Builds templates and automation used by the team</t>
        </is>
      </c>
      <c r="Q121" s="173" t="inlineStr">
        <is>
          <t>—</t>
        </is>
      </c>
      <c r="R121" s="173" t="inlineStr">
        <is>
          <t>Practical test</t>
        </is>
      </c>
      <c r="S121" s="173" t="inlineStr">
        <is>
          <t>MOS Excel · optional</t>
        </is>
      </c>
      <c r="T121" s="173" t="inlineStr">
        <is>
          <t>Family set</t>
        </is>
      </c>
    </row>
    <row r="122" ht="54" customHeight="1">
      <c r="A122" s="173" t="inlineStr">
        <is>
          <t>Functional</t>
        </is>
      </c>
      <c r="B122" s="173" t="inlineStr">
        <is>
          <t>Regulatory &amp; BFSI Domain</t>
        </is>
      </c>
      <c r="C122" s="173" t="inlineStr">
        <is>
          <t>Understands regulators, returns, filings and BFSI rules.</t>
        </is>
      </c>
      <c r="D122" s="173" t="inlineStr">
        <is>
          <t>—</t>
        </is>
      </c>
      <c r="E122" s="174" t="n">
        <v>1</v>
      </c>
      <c r="F122" s="174" t="n">
        <v>2</v>
      </c>
      <c r="G122" s="174" t="n">
        <v>3</v>
      </c>
      <c r="H122" s="174" t="n">
        <v>3</v>
      </c>
      <c r="I122" s="174" t="n">
        <v>4</v>
      </c>
      <c r="J122" s="174" t="n">
        <v>4</v>
      </c>
      <c r="K122" s="174" t="n">
        <v>4</v>
      </c>
      <c r="L122" s="174" t="n">
        <v>4</v>
      </c>
      <c r="M122" s="174" t="n">
        <v>5</v>
      </c>
      <c r="N122" s="174" t="n">
        <v>5</v>
      </c>
      <c r="O122" s="174" t="n">
        <v>4</v>
      </c>
      <c r="P122" s="173" t="inlineStr">
        <is>
          <t>3 · Knows the relevant regulators, returns and rules
4 · Interprets new regulation; advises clients and product</t>
        </is>
      </c>
      <c r="Q122" s="173" t="inlineStr">
        <is>
          <t>SEBI</t>
        </is>
      </c>
      <c r="R122" s="173" t="inlineStr">
        <is>
          <t>Domain interview</t>
        </is>
      </c>
      <c r="S122" s="173" t="inlineStr">
        <is>
          <t>Domain certifications · optional</t>
        </is>
      </c>
      <c r="T122" s="173" t="inlineStr">
        <is>
          <t>Family set</t>
        </is>
      </c>
    </row>
    <row r="123" ht="67" customHeight="1">
      <c r="A123" s="173" t="inlineStr">
        <is>
          <t>Functional</t>
        </is>
      </c>
      <c r="B123" s="173" t="inlineStr">
        <is>
          <t>Process Improvement &amp; Quality Mindset</t>
        </is>
      </c>
      <c r="C123" s="173" t="inlineStr">
        <is>
          <t>Gets it right first time; improves processes and checklists.</t>
        </is>
      </c>
      <c r="D123" s="173" t="inlineStr">
        <is>
          <t>—</t>
        </is>
      </c>
      <c r="E123" s="174" t="n">
        <v>1</v>
      </c>
      <c r="F123" s="174" t="n">
        <v>2</v>
      </c>
      <c r="G123" s="174" t="n">
        <v>3</v>
      </c>
      <c r="H123" s="174" t="n">
        <v>3</v>
      </c>
      <c r="I123" s="174" t="n">
        <v>4</v>
      </c>
      <c r="J123" s="174" t="n">
        <v>4</v>
      </c>
      <c r="K123" s="174" t="n">
        <v>4</v>
      </c>
      <c r="L123" s="174" t="n">
        <v>4</v>
      </c>
      <c r="M123" s="174" t="n">
        <v>5</v>
      </c>
      <c r="N123" s="174" t="n">
        <v>5</v>
      </c>
      <c r="O123" s="174" t="n">
        <v>4</v>
      </c>
      <c r="P123" s="173" t="inlineStr">
        <is>
          <t>3 · Delivers right-first-time; improves own checklists
4 · Redesigns team processes; reduces error rates measurably</t>
        </is>
      </c>
      <c r="Q123" s="173" t="inlineStr">
        <is>
          <t>accura, validation, sla</t>
        </is>
      </c>
      <c r="R123" s="173" t="inlineStr">
        <is>
          <t>Work sample / case</t>
        </is>
      </c>
      <c r="S123" s="173" t="inlineStr">
        <is>
          <t>Lean / Six Sigma · optional</t>
        </is>
      </c>
      <c r="T123" s="173" t="inlineStr">
        <is>
          <t>Family set</t>
        </is>
      </c>
    </row>
    <row r="124" ht="54" customHeight="1">
      <c r="A124" s="173" t="inlineStr">
        <is>
          <t>Functional</t>
        </is>
      </c>
      <c r="B124" s="173" t="inlineStr">
        <is>
          <t>Accounting &amp; Reporting Standards · IFRS/US GAAP</t>
        </is>
      </c>
      <c r="C124" s="173" t="inlineStr">
        <is>
          <t>Reads financial statements; applies IFRS / US GAAP / Ind AS.</t>
        </is>
      </c>
      <c r="D124" s="173" t="inlineStr">
        <is>
          <t>—</t>
        </is>
      </c>
      <c r="E124" s="174" t="n">
        <v>1</v>
      </c>
      <c r="F124" s="174" t="n">
        <v>2</v>
      </c>
      <c r="G124" s="174" t="n">
        <v>3</v>
      </c>
      <c r="H124" s="174" t="n">
        <v>3</v>
      </c>
      <c r="I124" s="174" t="n">
        <v>4</v>
      </c>
      <c r="J124" s="174" t="n">
        <v>4</v>
      </c>
      <c r="K124" s="174" t="n">
        <v>4</v>
      </c>
      <c r="L124" s="174" t="n">
        <v>4</v>
      </c>
      <c r="M124" s="174" t="n">
        <v>5</v>
      </c>
      <c r="N124" s="174" t="n">
        <v>5</v>
      </c>
      <c r="O124" s="174" t="n">
        <v>4</v>
      </c>
      <c r="P124" s="173" t="inlineStr">
        <is>
          <t>3 · Applies IFRS / US GAAP / Ind AS correctly
4 · Advises on complex disclosures and standards changes</t>
        </is>
      </c>
      <c r="Q124" s="173" t="inlineStr">
        <is>
          <t>—</t>
        </is>
      </c>
      <c r="R124" s="173" t="inlineStr">
        <is>
          <t>Accounting test</t>
        </is>
      </c>
      <c r="S124" s="173" t="inlineStr">
        <is>
          <t>CA / CMA / ACCA / CFA / IFRS certificate</t>
        </is>
      </c>
      <c r="T124" s="173" t="inlineStr">
        <is>
          <t>Family set</t>
        </is>
      </c>
    </row>
    <row r="125" ht="28" customHeight="1">
      <c r="A125" s="134" t="inlineStr">
        <is>
          <t>Leadership</t>
        </is>
      </c>
      <c r="B125" s="134" t="inlineStr">
        <is>
          <t>Leadership cluster · 4 competencies, part C</t>
        </is>
      </c>
      <c r="C125" s="134" t="inlineStr">
        <is>
          <t>Leading people, decisions, strategy and change</t>
        </is>
      </c>
      <c r="D125" s="134" t="inlineStr">
        <is>
          <t>POD Leads and People Managers</t>
        </is>
      </c>
      <c r="E125" s="47" t="inlineStr">
        <is>
          <t>—</t>
        </is>
      </c>
      <c r="F125" s="47" t="inlineStr">
        <is>
          <t>—</t>
        </is>
      </c>
      <c r="G125" s="47" t="inlineStr">
        <is>
          <t>—</t>
        </is>
      </c>
      <c r="H125" s="47" t="inlineStr">
        <is>
          <t>1/2</t>
        </is>
      </c>
      <c r="I125" s="47" t="inlineStr">
        <is>
          <t>2/3</t>
        </is>
      </c>
      <c r="J125" s="47" t="inlineStr">
        <is>
          <t>3/4</t>
        </is>
      </c>
      <c r="K125" s="47" t="inlineStr">
        <is>
          <t>4/4</t>
        </is>
      </c>
      <c r="L125" s="47" t="inlineStr">
        <is>
          <t>4/4</t>
        </is>
      </c>
      <c r="M125" s="47" t="inlineStr">
        <is>
          <t>4/4</t>
        </is>
      </c>
      <c r="N125" s="47" t="inlineStr">
        <is>
          <t>5/5</t>
        </is>
      </c>
      <c r="O125" s="47" t="inlineStr">
        <is>
          <t>5/5</t>
        </is>
      </c>
      <c r="P125" s="134" t="inlineStr">
        <is>
          <t>Required level shown as IC / Manager</t>
        </is>
      </c>
      <c r="Q125" s="134" t="inlineStr">
        <is>
          <t>—</t>
        </is>
      </c>
      <c r="R125" s="134" t="inlineStr">
        <is>
          <t>Behavioural interview; 360 feedback</t>
        </is>
      </c>
      <c r="S125" s="134" t="inlineStr">
        <is>
          <t>—</t>
        </is>
      </c>
      <c r="T125" s="134" t="inlineStr">
        <is>
          <t>S14, S15, S16</t>
        </is>
      </c>
    </row>
    <row r="126" ht="15" customHeight="1"/>
    <row r="127" ht="15" customHeight="1">
      <c r="A127" s="12" t="inlineStr">
        <is>
          <t>Job family</t>
        </is>
      </c>
      <c r="B127" s="12" t="inlineStr">
        <is>
          <t>Education / credentials</t>
        </is>
      </c>
      <c r="C127" s="209" t="n"/>
      <c r="D127" s="12" t="inlineStr">
        <is>
          <t>Gate requirements</t>
        </is>
      </c>
      <c r="E127" s="209" t="n"/>
      <c r="F127" s="12" t="inlineStr">
        <is>
          <t>Learning focus — Band A</t>
        </is>
      </c>
      <c r="G127" s="210" t="n"/>
      <c r="H127" s="210" t="n"/>
      <c r="I127" s="210" t="n"/>
      <c r="J127" s="210" t="n"/>
      <c r="K127" s="209" t="n"/>
      <c r="L127" s="12" t="inlineStr">
        <is>
          <t>Learning focus — Band B</t>
        </is>
      </c>
      <c r="M127" s="210" t="n"/>
      <c r="N127" s="210" t="n"/>
      <c r="O127" s="210" t="n"/>
      <c r="P127" s="209" t="n"/>
      <c r="Q127" s="12" t="inlineStr">
        <is>
          <t>Learning focus — Band C+</t>
        </is>
      </c>
      <c r="R127" s="209" t="n"/>
      <c r="S127" s="12" t="inlineStr">
        <is>
          <t>Future skills</t>
        </is>
      </c>
      <c r="T127" s="209" t="n"/>
    </row>
    <row r="128" ht="80" customHeight="1">
      <c r="A128" s="13" t="inlineStr">
        <is>
          <t>Sales &amp; Business Development</t>
        </is>
      </c>
      <c r="B128" s="16" t="inlineStr">
        <is>
          <t>Graduate; MBA preferred from B2</t>
        </is>
      </c>
      <c r="C128" s="209" t="n"/>
      <c r="D128" s="16" t="inlineStr">
        <is>
          <t>CRM hygiene; contract basics</t>
        </is>
      </c>
      <c r="E128" s="209" t="n"/>
      <c r="F128" s="16" t="inlineStr">
        <is>
          <t>Mandatory path · POSH, Code of Conduct, InfoSec; Sales, Negotiation &amp; Account Growth, Marketing Tech &amp; Digital Marketing to Working → Practitioner; AI literacy to 2; learn by mentoring and KT.</t>
        </is>
      </c>
      <c r="G128" s="210" t="n"/>
      <c r="H128" s="210" t="n"/>
      <c r="I128" s="210" t="n"/>
      <c r="J128" s="210" t="n"/>
      <c r="K128" s="209" t="n"/>
      <c r="L128" s="16" t="inlineStr">
        <is>
          <t>Sales, Negotiation &amp; Account Growth, Marketing Tech &amp; Digital Marketing to Advanced; Stakeholder &amp; Client Management, Communication &amp; Presentation, Product, Platform &amp; Domain Knowledge to Practitioner; POD Leads / Managers: leading people, delegation, feedback.</t>
        </is>
      </c>
      <c r="M128" s="210" t="n"/>
      <c r="N128" s="210" t="n"/>
      <c r="O128" s="210" t="n"/>
      <c r="P128" s="209" t="n"/>
      <c r="Q128" s="16" t="inlineStr">
        <is>
          <t>Expert in one must-have; strategy &amp; business acumen; building the bench; AI-enabled processes for the function.</t>
        </is>
      </c>
      <c r="R128" s="209" t="n"/>
      <c r="S128" s="16" t="inlineStr">
        <is>
          <t>Data-driven selling, AI prospecting, ESG / regtech market knowledge</t>
        </is>
      </c>
      <c r="T128" s="209" t="n"/>
    </row>
    <row r="129" ht="80" customHeight="1">
      <c r="A129" s="13" t="inlineStr">
        <is>
          <t>Data &amp; Analytics</t>
        </is>
      </c>
      <c r="B129" s="16" t="inlineStr">
        <is>
          <t>Graduate in commerce / statistics / engineering</t>
        </is>
      </c>
      <c r="C129" s="209" t="n"/>
      <c r="D129" s="16" t="inlineStr">
        <is>
          <t>Data quality and confidentiality</t>
        </is>
      </c>
      <c r="E129" s="209" t="n"/>
      <c r="F129" s="16" t="inlineStr">
        <is>
          <t>Mandatory path · POSH, Code of Conduct, InfoSec; Data Analytics, BI &amp; Visualisation, Database, SQL &amp; Data Engineering to Working → Practitioner; AI literacy to 2; learn by mentoring and KT.</t>
        </is>
      </c>
      <c r="G129" s="210" t="n"/>
      <c r="H129" s="210" t="n"/>
      <c r="I129" s="210" t="n"/>
      <c r="J129" s="210" t="n"/>
      <c r="K129" s="209" t="n"/>
      <c r="L129" s="16" t="inlineStr">
        <is>
          <t>Data Analytics, BI &amp; Visualisation, Database, SQL &amp; Data Engineering to Advanced; Advanced Excel &amp; Productivity Tools, Regulatory &amp; BFSI Domain, Process Improvement &amp; Quality Mindset to Practitioner; POD Leads / Managers: leading people, delegation, feedback.</t>
        </is>
      </c>
      <c r="M129" s="210" t="n"/>
      <c r="N129" s="210" t="n"/>
      <c r="O129" s="210" t="n"/>
      <c r="P129" s="209" t="n"/>
      <c r="Q129" s="16" t="inlineStr">
        <is>
          <t>Expert in one must-have; strategy &amp; business acumen; building the bench; AI-enabled processes for the function.</t>
        </is>
      </c>
      <c r="R129" s="209" t="n"/>
      <c r="S129" s="16" t="inlineStr">
        <is>
          <t>AI &amp; big data, Python / SQL analytics, self-service BI</t>
        </is>
      </c>
      <c r="T129" s="209" t="n"/>
    </row>
    <row r="130" ht="15" customHeight="1"/>
    <row r="131" ht="15" customHeight="1"/>
    <row r="132" ht="20" customHeight="1">
      <c r="A132" s="172" t="inlineStr">
        <is>
          <t>Marketing — 5 people · Sales &amp; marketing · levels A2–B2 + X1</t>
        </is>
      </c>
    </row>
    <row r="133" ht="15" customHeight="1">
      <c r="A133" s="17" t="inlineStr">
        <is>
          <t>Job families: Marketing &amp; Communications · Design &amp; Creative</t>
        </is>
      </c>
    </row>
    <row r="134" ht="15" customHeight="1">
      <c r="A134" s="12" t="inlineStr">
        <is>
          <t>Capability health today · indicative, from survey + KRAs</t>
        </is>
      </c>
      <c r="B134" s="210" t="n"/>
      <c r="C134" s="210" t="n"/>
      <c r="D134" s="210" t="n"/>
      <c r="E134" s="209" t="n"/>
      <c r="F134" s="12" t="inlineStr">
        <is>
          <t>Result</t>
        </is>
      </c>
      <c r="G134" s="210" t="n"/>
      <c r="H134" s="210" t="n"/>
      <c r="I134" s="210" t="n"/>
      <c r="J134" s="210" t="n"/>
      <c r="K134" s="210" t="n"/>
      <c r="L134" s="210" t="n"/>
      <c r="M134" s="210" t="n"/>
      <c r="N134" s="210" t="n"/>
      <c r="O134" s="210" t="n"/>
      <c r="P134" s="210" t="n"/>
      <c r="Q134" s="210" t="n"/>
      <c r="R134" s="209" t="n"/>
    </row>
    <row r="135" ht="15" customHeight="1">
      <c r="A135" s="13" t="inlineStr">
        <is>
          <t>People assessed · meet or exceed their level</t>
        </is>
      </c>
      <c r="B135" s="210" t="n"/>
      <c r="C135" s="210" t="n"/>
      <c r="D135" s="210" t="n"/>
      <c r="E135" s="209" t="n"/>
      <c r="F135" s="16" t="inlineStr">
        <is>
          <t>4 · 3</t>
        </is>
      </c>
      <c r="G135" s="210" t="n"/>
      <c r="H135" s="210" t="n"/>
      <c r="I135" s="210" t="n"/>
      <c r="J135" s="210" t="n"/>
      <c r="K135" s="210" t="n"/>
      <c r="L135" s="210" t="n"/>
      <c r="M135" s="210" t="n"/>
      <c r="N135" s="210" t="n"/>
      <c r="O135" s="210" t="n"/>
      <c r="P135" s="210" t="n"/>
      <c r="Q135" s="210" t="n"/>
      <c r="R135" s="209" t="n"/>
    </row>
    <row r="136" ht="15" customHeight="1">
      <c r="A136" s="13" t="inlineStr">
        <is>
          <t>Average index · Core · Future-ready · Functional · Leadership · % of required</t>
        </is>
      </c>
      <c r="B136" s="210" t="n"/>
      <c r="C136" s="210" t="n"/>
      <c r="D136" s="210" t="n"/>
      <c r="E136" s="209" t="n"/>
      <c r="F136" s="16" t="inlineStr">
        <is>
          <t>86% · 85% · 86% · 86% · 92%</t>
        </is>
      </c>
      <c r="G136" s="210" t="n"/>
      <c r="H136" s="210" t="n"/>
      <c r="I136" s="210" t="n"/>
      <c r="J136" s="210" t="n"/>
      <c r="K136" s="210" t="n"/>
      <c r="L136" s="210" t="n"/>
      <c r="M136" s="210" t="n"/>
      <c r="N136" s="210" t="n"/>
      <c r="O136" s="210" t="n"/>
      <c r="P136" s="210" t="n"/>
      <c r="Q136" s="210" t="n"/>
      <c r="R136" s="209" t="n"/>
    </row>
    <row r="137" ht="15" customHeight="1">
      <c r="A137" s="13" t="inlineStr">
        <is>
          <t>Most common competency gaps · people</t>
        </is>
      </c>
      <c r="B137" s="210" t="n"/>
      <c r="C137" s="210" t="n"/>
      <c r="D137" s="210" t="n"/>
      <c r="E137" s="209" t="n"/>
      <c r="F137" s="16" t="inlineStr">
        <is>
          <t>Product &amp; domain · Communication · AI / GenAI · Business acumen · Digital fluency · Digital marketing</t>
        </is>
      </c>
      <c r="G137" s="210" t="n"/>
      <c r="H137" s="210" t="n"/>
      <c r="I137" s="210" t="n"/>
      <c r="J137" s="210" t="n"/>
      <c r="K137" s="210" t="n"/>
      <c r="L137" s="210" t="n"/>
      <c r="M137" s="210" t="n"/>
      <c r="N137" s="210" t="n"/>
      <c r="O137" s="210" t="n"/>
      <c r="P137" s="210" t="n"/>
      <c r="Q137" s="210" t="n"/>
      <c r="R137" s="209" t="n"/>
    </row>
    <row r="138" ht="28" customHeight="1">
      <c r="A138" s="13" t="inlineStr">
        <is>
          <t>Role-based development priorities · people</t>
        </is>
      </c>
      <c r="B138" s="210" t="n"/>
      <c r="C138" s="210" t="n"/>
      <c r="D138" s="210" t="n"/>
      <c r="E138" s="209" t="n"/>
      <c r="F138" s="16" t="inlineStr">
        <is>
          <t>AI, GenAI &amp; Prompt Engineering · Data Analytics, BI &amp; Visualisation · Project, Program &amp; Agile Management · People Leadership &amp; Mentoring · Strategic Thinking &amp; Business Acumen · MK.BRD-F: visual design</t>
        </is>
      </c>
      <c r="G138" s="210" t="n"/>
      <c r="H138" s="210" t="n"/>
      <c r="I138" s="210" t="n"/>
      <c r="J138" s="210" t="n"/>
      <c r="K138" s="210" t="n"/>
      <c r="L138" s="210" t="n"/>
      <c r="M138" s="210" t="n"/>
      <c r="N138" s="210" t="n"/>
      <c r="O138" s="210" t="n"/>
      <c r="P138" s="210" t="n"/>
      <c r="Q138" s="210" t="n"/>
      <c r="R138" s="209" t="n"/>
    </row>
    <row r="139" ht="15" customHeight="1">
      <c r="A139" s="13" t="inlineStr">
        <is>
          <t>Manager-identified training themes</t>
        </is>
      </c>
      <c r="B139" s="210" t="n"/>
      <c r="C139" s="210" t="n"/>
      <c r="D139" s="210" t="n"/>
      <c r="E139" s="209" t="n"/>
      <c r="F139" s="16" t="inlineStr">
        <is>
          <t>Performance marketing, Leadership coaching</t>
        </is>
      </c>
      <c r="G139" s="210" t="n"/>
      <c r="H139" s="210" t="n"/>
      <c r="I139" s="210" t="n"/>
      <c r="J139" s="210" t="n"/>
      <c r="K139" s="210" t="n"/>
      <c r="L139" s="210" t="n"/>
      <c r="M139" s="210" t="n"/>
      <c r="N139" s="210" t="n"/>
      <c r="O139" s="210" t="n"/>
      <c r="P139" s="210" t="n"/>
      <c r="Q139" s="210" t="n"/>
      <c r="R139" s="209" t="n"/>
    </row>
    <row r="140" ht="15" customHeight="1">
      <c r="A140" s="13" t="inlineStr">
        <is>
          <t>What helped people learn · survey</t>
        </is>
      </c>
      <c r="B140" s="210" t="n"/>
      <c r="C140" s="210" t="n"/>
      <c r="D140" s="210" t="n"/>
      <c r="E140" s="209" t="n"/>
      <c r="F140" s="16" t="inlineStr">
        <is>
          <t>—</t>
        </is>
      </c>
      <c r="G140" s="210" t="n"/>
      <c r="H140" s="210" t="n"/>
      <c r="I140" s="210" t="n"/>
      <c r="J140" s="210" t="n"/>
      <c r="K140" s="210" t="n"/>
      <c r="L140" s="210" t="n"/>
      <c r="M140" s="210" t="n"/>
      <c r="N140" s="210" t="n"/>
      <c r="O140" s="210" t="n"/>
      <c r="P140" s="210" t="n"/>
      <c r="Q140" s="210" t="n"/>
      <c r="R140" s="209" t="n"/>
    </row>
    <row r="141" ht="15" customHeight="1">
      <c r="A141" s="13" t="inlineStr">
        <is>
          <t>How the work is changing</t>
        </is>
      </c>
      <c r="B141" s="210" t="n"/>
      <c r="C141" s="210" t="n"/>
      <c r="D141" s="210" t="n"/>
      <c r="E141" s="209" t="n"/>
      <c r="F141" s="16" t="inlineStr">
        <is>
          <t>1 of 4 say the role is changing because of AI / automation</t>
        </is>
      </c>
      <c r="G141" s="210" t="n"/>
      <c r="H141" s="210" t="n"/>
      <c r="I141" s="210" t="n"/>
      <c r="J141" s="210" t="n"/>
      <c r="K141" s="210" t="n"/>
      <c r="L141" s="210" t="n"/>
      <c r="M141" s="210" t="n"/>
      <c r="N141" s="210" t="n"/>
      <c r="O141" s="210" t="n"/>
      <c r="P141" s="210" t="n"/>
      <c r="Q141" s="210" t="n"/>
      <c r="R141" s="209" t="n"/>
    </row>
    <row r="142" ht="15" customHeight="1">
      <c r="A142" s="13" t="inlineStr">
        <is>
          <t>Lateral moves the evidence supports · people</t>
        </is>
      </c>
      <c r="B142" s="210" t="n"/>
      <c r="C142" s="210" t="n"/>
      <c r="D142" s="210" t="n"/>
      <c r="E142" s="209" t="n"/>
      <c r="F142" s="16" t="inlineStr">
        <is>
          <t>No strong match yet</t>
        </is>
      </c>
      <c r="G142" s="210" t="n"/>
      <c r="H142" s="210" t="n"/>
      <c r="I142" s="210" t="n"/>
      <c r="J142" s="210" t="n"/>
      <c r="K142" s="210" t="n"/>
      <c r="L142" s="210" t="n"/>
      <c r="M142" s="210" t="n"/>
      <c r="N142" s="210" t="n"/>
      <c r="O142" s="210" t="n"/>
      <c r="P142" s="210" t="n"/>
      <c r="Q142" s="210" t="n"/>
      <c r="R142" s="209" t="n"/>
    </row>
    <row r="143" ht="15" customHeight="1"/>
    <row r="144" ht="28" customHeight="1">
      <c r="A144" s="12" t="inlineStr">
        <is>
          <t>Cluster</t>
        </is>
      </c>
      <c r="B144" s="12" t="inlineStr">
        <is>
          <t>Competency · ★ = must-have</t>
        </is>
      </c>
      <c r="C144" s="12" t="inlineStr">
        <is>
          <t>Definition</t>
        </is>
      </c>
      <c r="D144" s="12" t="inlineStr">
        <is>
          <t>Must-have for</t>
        </is>
      </c>
      <c r="E144" s="12" t="inlineStr">
        <is>
          <t>A1</t>
        </is>
      </c>
      <c r="F144" s="12" t="inlineStr">
        <is>
          <t>A2</t>
        </is>
      </c>
      <c r="G144" s="12" t="inlineStr">
        <is>
          <t>A3</t>
        </is>
      </c>
      <c r="H144" s="12" t="inlineStr">
        <is>
          <t>B1</t>
        </is>
      </c>
      <c r="I144" s="12" t="inlineStr">
        <is>
          <t>B2</t>
        </is>
      </c>
      <c r="J144" s="12" t="inlineStr">
        <is>
          <t>B3</t>
        </is>
      </c>
      <c r="K144" s="12" t="inlineStr">
        <is>
          <t>B+</t>
        </is>
      </c>
      <c r="L144" s="12" t="inlineStr">
        <is>
          <t>C1</t>
        </is>
      </c>
      <c r="M144" s="12" t="inlineStr">
        <is>
          <t>C2</t>
        </is>
      </c>
      <c r="N144" s="12" t="inlineStr">
        <is>
          <t>C+</t>
        </is>
      </c>
      <c r="O144" s="12" t="inlineStr">
        <is>
          <t>D1</t>
        </is>
      </c>
      <c r="P144" s="12" t="inlineStr">
        <is>
          <t>What good looks like · by proficiency</t>
        </is>
      </c>
      <c r="Q144" s="12" t="inlineStr">
        <is>
          <t>What IRIS top performers do · survey</t>
        </is>
      </c>
      <c r="R144" s="12" t="inlineStr">
        <is>
          <t>How to assess</t>
        </is>
      </c>
      <c r="S144" s="12" t="inlineStr">
        <is>
          <t>Credentials</t>
        </is>
      </c>
      <c r="T144" s="12" t="inlineStr">
        <is>
          <t>Reference</t>
        </is>
      </c>
    </row>
    <row r="145" ht="54" customHeight="1">
      <c r="A145" s="173" t="inlineStr">
        <is>
          <t>Functional</t>
        </is>
      </c>
      <c r="B145" s="173" t="inlineStr">
        <is>
          <t>★ Marketing Tech &amp; Digital Marketing</t>
        </is>
      </c>
      <c r="C145" s="173" t="inlineStr">
        <is>
          <t>Runs CRM, campaigns, SEO and digital channels.</t>
        </is>
      </c>
      <c r="D145" s="173" t="inlineStr">
        <is>
          <t>Marketing &amp; Communications</t>
        </is>
      </c>
      <c r="E145" s="174" t="n">
        <v>1</v>
      </c>
      <c r="F145" s="174" t="n">
        <v>2</v>
      </c>
      <c r="G145" s="174" t="n">
        <v>3</v>
      </c>
      <c r="H145" s="174" t="n">
        <v>3</v>
      </c>
      <c r="I145" s="174" t="n">
        <v>4</v>
      </c>
      <c r="J145" s="174" t="n">
        <v>4</v>
      </c>
      <c r="K145" s="174" t="n">
        <v>4</v>
      </c>
      <c r="L145" s="174" t="n">
        <v>4</v>
      </c>
      <c r="M145" s="174" t="n">
        <v>5</v>
      </c>
      <c r="N145" s="174" t="n">
        <v>5</v>
      </c>
      <c r="O145" s="174" t="n">
        <v>4</v>
      </c>
      <c r="P145" s="173" t="inlineStr">
        <is>
          <t>3 · Runs campaigns, CRM, SEO and social channels
4 · Owns digital strategy, funnel and marketing analytics</t>
        </is>
      </c>
      <c r="Q145" s="173" t="inlineStr">
        <is>
          <t>content, SEO, social media</t>
        </is>
      </c>
      <c r="R145" s="173" t="inlineStr">
        <is>
          <t>Portfolio / case</t>
        </is>
      </c>
      <c r="S145" s="173" t="inlineStr">
        <is>
          <t>Google / HubSpot certifications</t>
        </is>
      </c>
      <c r="T145" s="173" t="inlineStr">
        <is>
          <t>Family set</t>
        </is>
      </c>
    </row>
    <row r="146" ht="54" customHeight="1">
      <c r="A146" s="173" t="inlineStr">
        <is>
          <t>Functional</t>
        </is>
      </c>
      <c r="B146" s="173" t="inlineStr">
        <is>
          <t>★ Communication &amp; Presentation</t>
        </is>
      </c>
      <c r="C146" s="173" t="inlineStr">
        <is>
          <t>Writes and presents clearly to clients and teams.</t>
        </is>
      </c>
      <c r="D146" s="173" t="inlineStr">
        <is>
          <t>Marketing &amp; Communications, Design &amp; Creative</t>
        </is>
      </c>
      <c r="E146" s="174" t="n">
        <v>1</v>
      </c>
      <c r="F146" s="174" t="n">
        <v>2</v>
      </c>
      <c r="G146" s="174" t="n">
        <v>3</v>
      </c>
      <c r="H146" s="174" t="n">
        <v>3</v>
      </c>
      <c r="I146" s="174" t="n">
        <v>4</v>
      </c>
      <c r="J146" s="174" t="n">
        <v>4</v>
      </c>
      <c r="K146" s="174" t="n">
        <v>4</v>
      </c>
      <c r="L146" s="174" t="n">
        <v>4</v>
      </c>
      <c r="M146" s="174" t="n">
        <v>5</v>
      </c>
      <c r="N146" s="174" t="n">
        <v>5</v>
      </c>
      <c r="O146" s="174" t="n">
        <v>4</v>
      </c>
      <c r="P146" s="173" t="inlineStr">
        <is>
          <t>3 · Writes and presents clearly to clients and teams
4 · Presents to senior stakeholders; shapes messaging</t>
        </is>
      </c>
      <c r="Q146" s="173" t="inlineStr">
        <is>
          <t>writing, email</t>
        </is>
      </c>
      <c r="R146" s="173" t="inlineStr">
        <is>
          <t>Presentation / writing test</t>
        </is>
      </c>
      <c r="S146" s="173" t="inlineStr">
        <is>
          <t>—</t>
        </is>
      </c>
      <c r="T146" s="173" t="inlineStr">
        <is>
          <t>Family set</t>
        </is>
      </c>
    </row>
    <row r="147" ht="54" customHeight="1">
      <c r="A147" s="173" t="inlineStr">
        <is>
          <t>Functional</t>
        </is>
      </c>
      <c r="B147" s="173" t="inlineStr">
        <is>
          <t>Data Analytics, BI &amp; Visualisation</t>
        </is>
      </c>
      <c r="C147" s="173" t="inlineStr">
        <is>
          <t>Turns data into MIS, dashboards and insight.</t>
        </is>
      </c>
      <c r="D147" s="173" t="inlineStr">
        <is>
          <t>—</t>
        </is>
      </c>
      <c r="E147" s="174" t="n">
        <v>1</v>
      </c>
      <c r="F147" s="174" t="n">
        <v>2</v>
      </c>
      <c r="G147" s="174" t="n">
        <v>3</v>
      </c>
      <c r="H147" s="174" t="n">
        <v>3</v>
      </c>
      <c r="I147" s="174" t="n">
        <v>4</v>
      </c>
      <c r="J147" s="174" t="n">
        <v>4</v>
      </c>
      <c r="K147" s="174" t="n">
        <v>4</v>
      </c>
      <c r="L147" s="174" t="n">
        <v>4</v>
      </c>
      <c r="M147" s="174" t="n">
        <v>5</v>
      </c>
      <c r="N147" s="174" t="n">
        <v>5</v>
      </c>
      <c r="O147" s="174" t="n">
        <v>4</v>
      </c>
      <c r="P147" s="173" t="inlineStr">
        <is>
          <t>3 · Builds MIS, dashboards and analysis
4 · Defines metrics and analytics approach for a business</t>
        </is>
      </c>
      <c r="Q147" s="173" t="inlineStr">
        <is>
          <t>—</t>
        </is>
      </c>
      <c r="R147" s="173" t="inlineStr">
        <is>
          <t>Data case / practical</t>
        </is>
      </c>
      <c r="S147" s="173" t="inlineStr">
        <is>
          <t>Power BI / Tableau · optional</t>
        </is>
      </c>
      <c r="T147" s="173" t="inlineStr">
        <is>
          <t>Family set</t>
        </is>
      </c>
    </row>
    <row r="148" ht="67" customHeight="1">
      <c r="A148" s="173" t="inlineStr">
        <is>
          <t>Functional</t>
        </is>
      </c>
      <c r="B148" s="173" t="inlineStr">
        <is>
          <t>AI, GenAI &amp; Prompt Engineering</t>
        </is>
      </c>
      <c r="C148" s="173" t="inlineStr">
        <is>
          <t>Uses or builds AI and LLM solutions to improve products and work.</t>
        </is>
      </c>
      <c r="D148" s="173" t="inlineStr">
        <is>
          <t>—</t>
        </is>
      </c>
      <c r="E148" s="174" t="n">
        <v>1</v>
      </c>
      <c r="F148" s="174" t="n">
        <v>2</v>
      </c>
      <c r="G148" s="174" t="n">
        <v>3</v>
      </c>
      <c r="H148" s="174" t="n">
        <v>3</v>
      </c>
      <c r="I148" s="174" t="n">
        <v>4</v>
      </c>
      <c r="J148" s="174" t="n">
        <v>4</v>
      </c>
      <c r="K148" s="174" t="n">
        <v>4</v>
      </c>
      <c r="L148" s="174" t="n">
        <v>4</v>
      </c>
      <c r="M148" s="174" t="n">
        <v>5</v>
      </c>
      <c r="N148" s="174" t="n">
        <v>5</v>
      </c>
      <c r="O148" s="174" t="n">
        <v>4</v>
      </c>
      <c r="P148" s="173" t="inlineStr">
        <is>
          <t>3 · Uses AI / LLM tools in own work and validates output
4 · Builds AI features or AI-enabled processes; sets safe-use practice</t>
        </is>
      </c>
      <c r="Q148" s="173" t="inlineStr">
        <is>
          <t>claude, gemini</t>
        </is>
      </c>
      <c r="R148" s="173" t="inlineStr">
        <is>
          <t>Work sample / portfolio</t>
        </is>
      </c>
      <c r="S148" s="173" t="inlineStr">
        <is>
          <t>Vendor AI certifications · optional</t>
        </is>
      </c>
      <c r="T148" s="173" t="inlineStr">
        <is>
          <t>Family set</t>
        </is>
      </c>
    </row>
    <row r="149" ht="54" customHeight="1">
      <c r="A149" s="173" t="inlineStr">
        <is>
          <t>Functional</t>
        </is>
      </c>
      <c r="B149" s="173" t="inlineStr">
        <is>
          <t>★ Product, Platform &amp; Domain Knowledge</t>
        </is>
      </c>
      <c r="C149" s="173" t="inlineStr">
        <is>
          <t>Knows IRIS products, platforms and the client's domain.</t>
        </is>
      </c>
      <c r="D149" s="173" t="inlineStr">
        <is>
          <t>Design &amp; Creative</t>
        </is>
      </c>
      <c r="E149" s="174" t="n">
        <v>1</v>
      </c>
      <c r="F149" s="174" t="n">
        <v>2</v>
      </c>
      <c r="G149" s="174" t="n">
        <v>3</v>
      </c>
      <c r="H149" s="174" t="n">
        <v>3</v>
      </c>
      <c r="I149" s="174" t="n">
        <v>4</v>
      </c>
      <c r="J149" s="174" t="n">
        <v>4</v>
      </c>
      <c r="K149" s="174" t="n">
        <v>4</v>
      </c>
      <c r="L149" s="174" t="n">
        <v>4</v>
      </c>
      <c r="M149" s="174" t="n">
        <v>5</v>
      </c>
      <c r="N149" s="174" t="n">
        <v>5</v>
      </c>
      <c r="O149" s="174" t="n">
        <v>4</v>
      </c>
      <c r="P149" s="173" t="inlineStr">
        <is>
          <t>3 · Handles most product and domain scenarios
4 · Recognised product / domain expert; trains others</t>
        </is>
      </c>
      <c r="Q149" s="173" t="inlineStr">
        <is>
          <t>—</t>
        </is>
      </c>
      <c r="R149" s="173" t="inlineStr">
        <is>
          <t>Scenario interview</t>
        </is>
      </c>
      <c r="S149" s="173" t="inlineStr">
        <is>
          <t>Internal product certification</t>
        </is>
      </c>
      <c r="T149" s="173" t="inlineStr">
        <is>
          <t>Family set</t>
        </is>
      </c>
    </row>
    <row r="150" ht="54" customHeight="1">
      <c r="A150" s="173" t="inlineStr">
        <is>
          <t>Functional</t>
        </is>
      </c>
      <c r="B150" s="173" t="inlineStr">
        <is>
          <t>Strategic Thinking &amp; Business Acumen</t>
        </is>
      </c>
      <c r="C150" s="173" t="inlineStr">
        <is>
          <t>Links work to business outcomes, budgets and strategy.</t>
        </is>
      </c>
      <c r="D150" s="173" t="inlineStr">
        <is>
          <t>—</t>
        </is>
      </c>
      <c r="E150" s="174" t="n">
        <v>1</v>
      </c>
      <c r="F150" s="174" t="n">
        <v>2</v>
      </c>
      <c r="G150" s="174" t="n">
        <v>3</v>
      </c>
      <c r="H150" s="174" t="n">
        <v>3</v>
      </c>
      <c r="I150" s="174" t="n">
        <v>4</v>
      </c>
      <c r="J150" s="174" t="n">
        <v>4</v>
      </c>
      <c r="K150" s="174" t="n">
        <v>4</v>
      </c>
      <c r="L150" s="174" t="n">
        <v>4</v>
      </c>
      <c r="M150" s="174" t="n">
        <v>5</v>
      </c>
      <c r="N150" s="174" t="n">
        <v>5</v>
      </c>
      <c r="O150" s="174" t="n">
        <v>4</v>
      </c>
      <c r="P150" s="173" t="inlineStr">
        <is>
          <t>3 · Connects work to business goals and budgets
4 · Shapes strategy, pricing or investment choices</t>
        </is>
      </c>
      <c r="Q150" s="173" t="inlineStr">
        <is>
          <t>market</t>
        </is>
      </c>
      <c r="R150" s="173" t="inlineStr">
        <is>
          <t>Case interview</t>
        </is>
      </c>
      <c r="S150" s="173" t="inlineStr">
        <is>
          <t>MBA / PGDM · preferred at C+</t>
        </is>
      </c>
      <c r="T150" s="173" t="inlineStr">
        <is>
          <t>Family set</t>
        </is>
      </c>
    </row>
    <row r="151" ht="67" customHeight="1">
      <c r="A151" s="173" t="inlineStr">
        <is>
          <t>Functional</t>
        </is>
      </c>
      <c r="B151" s="173" t="inlineStr">
        <is>
          <t>Process Improvement &amp; Quality Mindset</t>
        </is>
      </c>
      <c r="C151" s="173" t="inlineStr">
        <is>
          <t>Gets it right first time; improves processes and checklists.</t>
        </is>
      </c>
      <c r="D151" s="173" t="inlineStr">
        <is>
          <t>—</t>
        </is>
      </c>
      <c r="E151" s="174" t="n">
        <v>1</v>
      </c>
      <c r="F151" s="174" t="n">
        <v>2</v>
      </c>
      <c r="G151" s="174" t="n">
        <v>3</v>
      </c>
      <c r="H151" s="174" t="n">
        <v>3</v>
      </c>
      <c r="I151" s="174" t="n">
        <v>4</v>
      </c>
      <c r="J151" s="174" t="n">
        <v>4</v>
      </c>
      <c r="K151" s="174" t="n">
        <v>4</v>
      </c>
      <c r="L151" s="174" t="n">
        <v>4</v>
      </c>
      <c r="M151" s="174" t="n">
        <v>5</v>
      </c>
      <c r="N151" s="174" t="n">
        <v>5</v>
      </c>
      <c r="O151" s="174" t="n">
        <v>4</v>
      </c>
      <c r="P151" s="173" t="inlineStr">
        <is>
          <t>3 · Delivers right-first-time; improves own checklists
4 · Redesigns team processes; reduces error rates measurably</t>
        </is>
      </c>
      <c r="Q151" s="173" t="inlineStr">
        <is>
          <t>review</t>
        </is>
      </c>
      <c r="R151" s="173" t="inlineStr">
        <is>
          <t>Work sample / case</t>
        </is>
      </c>
      <c r="S151" s="173" t="inlineStr">
        <is>
          <t>Lean / Six Sigma · optional</t>
        </is>
      </c>
      <c r="T151" s="173" t="inlineStr">
        <is>
          <t>Family set</t>
        </is>
      </c>
    </row>
    <row r="152" ht="67" customHeight="1">
      <c r="A152" s="173" t="inlineStr">
        <is>
          <t>Functional</t>
        </is>
      </c>
      <c r="B152" s="173" t="inlineStr">
        <is>
          <t>Stakeholder &amp; Client Management</t>
        </is>
      </c>
      <c r="C152" s="173" t="inlineStr">
        <is>
          <t>Manages clients and stakeholders; handles changing requests.</t>
        </is>
      </c>
      <c r="D152" s="173" t="inlineStr">
        <is>
          <t>—</t>
        </is>
      </c>
      <c r="E152" s="174" t="n">
        <v>1</v>
      </c>
      <c r="F152" s="174" t="n">
        <v>2</v>
      </c>
      <c r="G152" s="174" t="n">
        <v>3</v>
      </c>
      <c r="H152" s="174" t="n">
        <v>3</v>
      </c>
      <c r="I152" s="174" t="n">
        <v>4</v>
      </c>
      <c r="J152" s="174" t="n">
        <v>4</v>
      </c>
      <c r="K152" s="174" t="n">
        <v>4</v>
      </c>
      <c r="L152" s="174" t="n">
        <v>4</v>
      </c>
      <c r="M152" s="174" t="n">
        <v>5</v>
      </c>
      <c r="N152" s="174" t="n">
        <v>5</v>
      </c>
      <c r="O152" s="174" t="n">
        <v>4</v>
      </c>
      <c r="P152" s="173" t="inlineStr">
        <is>
          <t>3 · Manages client communication and expectations for own work
4 · Owns key relationships; resolves escalations</t>
        </is>
      </c>
      <c r="Q152" s="173" t="inlineStr">
        <is>
          <t>—</t>
        </is>
      </c>
      <c r="R152" s="173" t="inlineStr">
        <is>
          <t>Role play / behavioural interview</t>
        </is>
      </c>
      <c r="S152" s="173" t="inlineStr">
        <is>
          <t>—</t>
        </is>
      </c>
      <c r="T152" s="173" t="inlineStr">
        <is>
          <t>Family set</t>
        </is>
      </c>
    </row>
    <row r="153" ht="28" customHeight="1">
      <c r="A153" s="134" t="inlineStr">
        <is>
          <t>Leadership</t>
        </is>
      </c>
      <c r="B153" s="134" t="inlineStr">
        <is>
          <t>Leadership cluster · 4 competencies, part C</t>
        </is>
      </c>
      <c r="C153" s="134" t="inlineStr">
        <is>
          <t>Leading people, decisions, strategy and change</t>
        </is>
      </c>
      <c r="D153" s="134" t="inlineStr">
        <is>
          <t>POD Leads and People Managers</t>
        </is>
      </c>
      <c r="E153" s="47" t="inlineStr">
        <is>
          <t>—</t>
        </is>
      </c>
      <c r="F153" s="47" t="inlineStr">
        <is>
          <t>—</t>
        </is>
      </c>
      <c r="G153" s="47" t="inlineStr">
        <is>
          <t>—</t>
        </is>
      </c>
      <c r="H153" s="47" t="inlineStr">
        <is>
          <t>1/2</t>
        </is>
      </c>
      <c r="I153" s="47" t="inlineStr">
        <is>
          <t>2/3</t>
        </is>
      </c>
      <c r="J153" s="47" t="inlineStr">
        <is>
          <t>3/4</t>
        </is>
      </c>
      <c r="K153" s="47" t="inlineStr">
        <is>
          <t>4/4</t>
        </is>
      </c>
      <c r="L153" s="47" t="inlineStr">
        <is>
          <t>4/4</t>
        </is>
      </c>
      <c r="M153" s="47" t="inlineStr">
        <is>
          <t>4/4</t>
        </is>
      </c>
      <c r="N153" s="47" t="inlineStr">
        <is>
          <t>5/5</t>
        </is>
      </c>
      <c r="O153" s="47" t="inlineStr">
        <is>
          <t>5/5</t>
        </is>
      </c>
      <c r="P153" s="134" t="inlineStr">
        <is>
          <t>Required level shown as IC / Manager</t>
        </is>
      </c>
      <c r="Q153" s="134" t="inlineStr">
        <is>
          <t>—</t>
        </is>
      </c>
      <c r="R153" s="134" t="inlineStr">
        <is>
          <t>Behavioural interview; 360 feedback</t>
        </is>
      </c>
      <c r="S153" s="134" t="inlineStr">
        <is>
          <t>—</t>
        </is>
      </c>
      <c r="T153" s="134" t="inlineStr">
        <is>
          <t>S14, S15, S16</t>
        </is>
      </c>
    </row>
    <row r="154" ht="15" customHeight="1"/>
    <row r="155" ht="15" customHeight="1">
      <c r="A155" s="12" t="inlineStr">
        <is>
          <t>Job family</t>
        </is>
      </c>
      <c r="B155" s="12" t="inlineStr">
        <is>
          <t>Education / credentials</t>
        </is>
      </c>
      <c r="C155" s="209" t="n"/>
      <c r="D155" s="12" t="inlineStr">
        <is>
          <t>Gate requirements</t>
        </is>
      </c>
      <c r="E155" s="209" t="n"/>
      <c r="F155" s="12" t="inlineStr">
        <is>
          <t>Learning focus — Band A</t>
        </is>
      </c>
      <c r="G155" s="210" t="n"/>
      <c r="H155" s="210" t="n"/>
      <c r="I155" s="210" t="n"/>
      <c r="J155" s="210" t="n"/>
      <c r="K155" s="209" t="n"/>
      <c r="L155" s="12" t="inlineStr">
        <is>
          <t>Learning focus — Band B</t>
        </is>
      </c>
      <c r="M155" s="210" t="n"/>
      <c r="N155" s="210" t="n"/>
      <c r="O155" s="210" t="n"/>
      <c r="P155" s="209" t="n"/>
      <c r="Q155" s="12" t="inlineStr">
        <is>
          <t>Learning focus — Band C+</t>
        </is>
      </c>
      <c r="R155" s="209" t="n"/>
      <c r="S155" s="12" t="inlineStr">
        <is>
          <t>Future skills</t>
        </is>
      </c>
      <c r="T155" s="209" t="n"/>
    </row>
    <row r="156" ht="80" customHeight="1">
      <c r="A156" s="13" t="inlineStr">
        <is>
          <t>Marketing &amp; Communications</t>
        </is>
      </c>
      <c r="B156" s="16" t="inlineStr">
        <is>
          <t>Graduate / MBA · marketing</t>
        </is>
      </c>
      <c r="C156" s="209" t="n"/>
      <c r="D156" s="16" t="inlineStr">
        <is>
          <t>Brand and data-privacy rules for campaigns</t>
        </is>
      </c>
      <c r="E156" s="209" t="n"/>
      <c r="F156" s="16" t="inlineStr">
        <is>
          <t>Mandatory path · POSH, Code of Conduct, InfoSec; Marketing Tech &amp; Digital Marketing, Communication &amp; Presentation to Working → Practitioner; AI literacy to 2; learn by mentoring and KT.</t>
        </is>
      </c>
      <c r="G156" s="210" t="n"/>
      <c r="H156" s="210" t="n"/>
      <c r="I156" s="210" t="n"/>
      <c r="J156" s="210" t="n"/>
      <c r="K156" s="209" t="n"/>
      <c r="L156" s="16" t="inlineStr">
        <is>
          <t>Marketing Tech &amp; Digital Marketing, Communication &amp; Presentation to Advanced; Data Analytics, BI &amp; Visualisation, AI, GenAI &amp; Prompt Engineering, Product, Platform &amp; Domain Knowledge to Practitioner; POD Leads / Managers: leading people, delegation, feedback.</t>
        </is>
      </c>
      <c r="M156" s="210" t="n"/>
      <c r="N156" s="210" t="n"/>
      <c r="O156" s="210" t="n"/>
      <c r="P156" s="209" t="n"/>
      <c r="Q156" s="16" t="inlineStr">
        <is>
          <t>Expert in one must-have; strategy &amp; business acumen; building the bench; AI-enabled processes for the function.</t>
        </is>
      </c>
      <c r="R156" s="209" t="n"/>
      <c r="S156" s="16" t="inlineStr">
        <is>
          <t>AI content &amp; marketing automation, marketing analytics</t>
        </is>
      </c>
      <c r="T156" s="209" t="n"/>
    </row>
    <row r="157" ht="80" customHeight="1">
      <c r="A157" s="13" t="inlineStr">
        <is>
          <t>Design &amp; Creative</t>
        </is>
      </c>
      <c r="B157" s="16" t="inlineStr">
        <is>
          <t>Graduate in design / communication</t>
        </is>
      </c>
      <c r="C157" s="209" t="n"/>
      <c r="D157" s="16" t="inlineStr">
        <is>
          <t>Brand and accessibility standards · WCAG</t>
        </is>
      </c>
      <c r="E157" s="209" t="n"/>
      <c r="F157" s="16" t="inlineStr">
        <is>
          <t>Mandatory path · POSH, Code of Conduct, InfoSec; Product, Platform &amp; Domain Knowledge, Communication &amp; Presentation to Working → Practitioner; AI literacy to 2; learn by mentoring and KT.</t>
        </is>
      </c>
      <c r="G157" s="210" t="n"/>
      <c r="H157" s="210" t="n"/>
      <c r="I157" s="210" t="n"/>
      <c r="J157" s="210" t="n"/>
      <c r="K157" s="209" t="n"/>
      <c r="L157" s="16" t="inlineStr">
        <is>
          <t>Product, Platform &amp; Domain Knowledge, Communication &amp; Presentation to Advanced; Marketing Tech &amp; Digital Marketing, Process Improvement &amp; Quality Mindset, AI, GenAI &amp; Prompt Engineering to Practitioner; POD Leads / Managers: leading people, delegation, feedback.</t>
        </is>
      </c>
      <c r="M157" s="210" t="n"/>
      <c r="N157" s="210" t="n"/>
      <c r="O157" s="210" t="n"/>
      <c r="P157" s="209" t="n"/>
      <c r="Q157" s="16" t="inlineStr">
        <is>
          <t>Expert in one must-have; strategy &amp; business acumen; building the bench; AI-enabled processes for the function.</t>
        </is>
      </c>
      <c r="R157" s="209" t="n"/>
      <c r="S157" s="16" t="inlineStr">
        <is>
          <t>AI-assisted design, design systems</t>
        </is>
      </c>
      <c r="T157" s="209" t="n"/>
    </row>
    <row r="158" ht="15" customHeight="1"/>
    <row r="159" ht="15" customHeight="1"/>
    <row r="160" ht="20" customHeight="1">
      <c r="A160" s="172" t="inlineStr">
        <is>
          <t>Product Management — 5 people · Product &amp; programme · levels B1–B2</t>
        </is>
      </c>
    </row>
    <row r="161" ht="15" customHeight="1">
      <c r="A161" s="17" t="inlineStr">
        <is>
          <t>Job families: Product Management</t>
        </is>
      </c>
    </row>
    <row r="162" ht="15" customHeight="1">
      <c r="A162" s="12" t="inlineStr">
        <is>
          <t>Capability health today · indicative, from survey + KRAs</t>
        </is>
      </c>
      <c r="B162" s="210" t="n"/>
      <c r="C162" s="210" t="n"/>
      <c r="D162" s="210" t="n"/>
      <c r="E162" s="209" t="n"/>
      <c r="F162" s="12" t="inlineStr">
        <is>
          <t>Result</t>
        </is>
      </c>
      <c r="G162" s="210" t="n"/>
      <c r="H162" s="210" t="n"/>
      <c r="I162" s="210" t="n"/>
      <c r="J162" s="210" t="n"/>
      <c r="K162" s="210" t="n"/>
      <c r="L162" s="210" t="n"/>
      <c r="M162" s="210" t="n"/>
      <c r="N162" s="210" t="n"/>
      <c r="O162" s="210" t="n"/>
      <c r="P162" s="210" t="n"/>
      <c r="Q162" s="210" t="n"/>
      <c r="R162" s="209" t="n"/>
    </row>
    <row r="163" ht="15" customHeight="1">
      <c r="A163" s="13" t="inlineStr">
        <is>
          <t>People assessed · meet or exceed their level</t>
        </is>
      </c>
      <c r="B163" s="210" t="n"/>
      <c r="C163" s="210" t="n"/>
      <c r="D163" s="210" t="n"/>
      <c r="E163" s="209" t="n"/>
      <c r="F163" s="16" t="inlineStr">
        <is>
          <t>5 · 3</t>
        </is>
      </c>
      <c r="G163" s="210" t="n"/>
      <c r="H163" s="210" t="n"/>
      <c r="I163" s="210" t="n"/>
      <c r="J163" s="210" t="n"/>
      <c r="K163" s="210" t="n"/>
      <c r="L163" s="210" t="n"/>
      <c r="M163" s="210" t="n"/>
      <c r="N163" s="210" t="n"/>
      <c r="O163" s="210" t="n"/>
      <c r="P163" s="210" t="n"/>
      <c r="Q163" s="210" t="n"/>
      <c r="R163" s="209" t="n"/>
    </row>
    <row r="164" ht="15" customHeight="1">
      <c r="A164" s="13" t="inlineStr">
        <is>
          <t>Average index · Core · Future-ready · Functional · Leadership · % of required</t>
        </is>
      </c>
      <c r="B164" s="210" t="n"/>
      <c r="C164" s="210" t="n"/>
      <c r="D164" s="210" t="n"/>
      <c r="E164" s="209" t="n"/>
      <c r="F164" s="16" t="inlineStr">
        <is>
          <t>96% · 101% · 86% · 94% · 100%</t>
        </is>
      </c>
      <c r="G164" s="210" t="n"/>
      <c r="H164" s="210" t="n"/>
      <c r="I164" s="210" t="n"/>
      <c r="J164" s="210" t="n"/>
      <c r="K164" s="210" t="n"/>
      <c r="L164" s="210" t="n"/>
      <c r="M164" s="210" t="n"/>
      <c r="N164" s="210" t="n"/>
      <c r="O164" s="210" t="n"/>
      <c r="P164" s="210" t="n"/>
      <c r="Q164" s="210" t="n"/>
      <c r="R164" s="209" t="n"/>
    </row>
    <row r="165" ht="15" customHeight="1">
      <c r="A165" s="13" t="inlineStr">
        <is>
          <t>Most common competency gaps · people</t>
        </is>
      </c>
      <c r="B165" s="210" t="n"/>
      <c r="C165" s="210" t="n"/>
      <c r="D165" s="210" t="n"/>
      <c r="E165" s="209" t="n"/>
      <c r="F165" s="16" t="inlineStr">
        <is>
          <t>Requirements · Analytics &amp; BI · AI / GenAI · Stakeholder mgmt · Developing people · Business acumen</t>
        </is>
      </c>
      <c r="G165" s="210" t="n"/>
      <c r="H165" s="210" t="n"/>
      <c r="I165" s="210" t="n"/>
      <c r="J165" s="210" t="n"/>
      <c r="K165" s="210" t="n"/>
      <c r="L165" s="210" t="n"/>
      <c r="M165" s="210" t="n"/>
      <c r="N165" s="210" t="n"/>
      <c r="O165" s="210" t="n"/>
      <c r="P165" s="210" t="n"/>
      <c r="Q165" s="210" t="n"/>
      <c r="R165" s="209" t="n"/>
    </row>
    <row r="166" ht="28" customHeight="1">
      <c r="A166" s="13" t="inlineStr">
        <is>
          <t>Role-based development priorities · people</t>
        </is>
      </c>
      <c r="B166" s="210" t="n"/>
      <c r="C166" s="210" t="n"/>
      <c r="D166" s="210" t="n"/>
      <c r="E166" s="209" t="n"/>
      <c r="F166" s="16" t="inlineStr">
        <is>
          <t>AI, GenAI &amp; Prompt Engineering · People Leadership &amp; Mentoring · Product, Platform &amp; Domain Knowledge · Stakeholder &amp; Client Management · Strategic Thinking &amp; Business Acumen · Programming &amp; Tech-Stack Depth</t>
        </is>
      </c>
      <c r="G166" s="210" t="n"/>
      <c r="H166" s="210" t="n"/>
      <c r="I166" s="210" t="n"/>
      <c r="J166" s="210" t="n"/>
      <c r="K166" s="210" t="n"/>
      <c r="L166" s="210" t="n"/>
      <c r="M166" s="210" t="n"/>
      <c r="N166" s="210" t="n"/>
      <c r="O166" s="210" t="n"/>
      <c r="P166" s="210" t="n"/>
      <c r="Q166" s="210" t="n"/>
      <c r="R166" s="209" t="n"/>
    </row>
    <row r="167" ht="15" customHeight="1">
      <c r="A167" s="13" t="inlineStr">
        <is>
          <t>Manager-identified training themes</t>
        </is>
      </c>
      <c r="B167" s="210" t="n"/>
      <c r="C167" s="210" t="n"/>
      <c r="D167" s="210" t="n"/>
      <c r="E167" s="209" t="n"/>
      <c r="F167" s="16" t="inlineStr">
        <is>
          <t>Data Analysis</t>
        </is>
      </c>
      <c r="G167" s="210" t="n"/>
      <c r="H167" s="210" t="n"/>
      <c r="I167" s="210" t="n"/>
      <c r="J167" s="210" t="n"/>
      <c r="K167" s="210" t="n"/>
      <c r="L167" s="210" t="n"/>
      <c r="M167" s="210" t="n"/>
      <c r="N167" s="210" t="n"/>
      <c r="O167" s="210" t="n"/>
      <c r="P167" s="210" t="n"/>
      <c r="Q167" s="210" t="n"/>
      <c r="R167" s="209" t="n"/>
    </row>
    <row r="168" ht="15" customHeight="1">
      <c r="A168" s="13" t="inlineStr">
        <is>
          <t>What helped people learn · survey</t>
        </is>
      </c>
      <c r="B168" s="210" t="n"/>
      <c r="C168" s="210" t="n"/>
      <c r="D168" s="210" t="n"/>
      <c r="E168" s="209" t="n"/>
      <c r="F168" s="16" t="inlineStr">
        <is>
          <t>Mentoring / guidance from seniors · On-the-job / hands-on · Knowledge transfer · KT</t>
        </is>
      </c>
      <c r="G168" s="210" t="n"/>
      <c r="H168" s="210" t="n"/>
      <c r="I168" s="210" t="n"/>
      <c r="J168" s="210" t="n"/>
      <c r="K168" s="210" t="n"/>
      <c r="L168" s="210" t="n"/>
      <c r="M168" s="210" t="n"/>
      <c r="N168" s="210" t="n"/>
      <c r="O168" s="210" t="n"/>
      <c r="P168" s="210" t="n"/>
      <c r="Q168" s="210" t="n"/>
      <c r="R168" s="209" t="n"/>
    </row>
    <row r="169" ht="15" customHeight="1">
      <c r="A169" s="13" t="inlineStr">
        <is>
          <t>How the work is changing</t>
        </is>
      </c>
      <c r="B169" s="210" t="n"/>
      <c r="C169" s="210" t="n"/>
      <c r="D169" s="210" t="n"/>
      <c r="E169" s="209" t="n"/>
      <c r="F169" s="16" t="inlineStr">
        <is>
          <t>3 of 5 say the role is changing because of AI / automation</t>
        </is>
      </c>
      <c r="G169" s="210" t="n"/>
      <c r="H169" s="210" t="n"/>
      <c r="I169" s="210" t="n"/>
      <c r="J169" s="210" t="n"/>
      <c r="K169" s="210" t="n"/>
      <c r="L169" s="210" t="n"/>
      <c r="M169" s="210" t="n"/>
      <c r="N169" s="210" t="n"/>
      <c r="O169" s="210" t="n"/>
      <c r="P169" s="210" t="n"/>
      <c r="Q169" s="210" t="n"/>
      <c r="R169" s="209" t="n"/>
    </row>
    <row r="170" ht="15" customHeight="1">
      <c r="A170" s="13" t="inlineStr">
        <is>
          <t>Lateral moves the evidence supports · people</t>
        </is>
      </c>
      <c r="B170" s="210" t="n"/>
      <c r="C170" s="210" t="n"/>
      <c r="D170" s="210" t="n"/>
      <c r="E170" s="209" t="n"/>
      <c r="F170" s="16" t="inlineStr">
        <is>
          <t>No strong match yet</t>
        </is>
      </c>
      <c r="G170" s="210" t="n"/>
      <c r="H170" s="210" t="n"/>
      <c r="I170" s="210" t="n"/>
      <c r="J170" s="210" t="n"/>
      <c r="K170" s="210" t="n"/>
      <c r="L170" s="210" t="n"/>
      <c r="M170" s="210" t="n"/>
      <c r="N170" s="210" t="n"/>
      <c r="O170" s="210" t="n"/>
      <c r="P170" s="210" t="n"/>
      <c r="Q170" s="210" t="n"/>
      <c r="R170" s="209" t="n"/>
    </row>
    <row r="171" ht="15" customHeight="1"/>
    <row r="172" ht="28" customHeight="1">
      <c r="A172" s="12" t="inlineStr">
        <is>
          <t>Cluster</t>
        </is>
      </c>
      <c r="B172" s="12" t="inlineStr">
        <is>
          <t>Competency · ★ = must-have</t>
        </is>
      </c>
      <c r="C172" s="12" t="inlineStr">
        <is>
          <t>Definition</t>
        </is>
      </c>
      <c r="D172" s="12" t="inlineStr">
        <is>
          <t>Must-have for</t>
        </is>
      </c>
      <c r="E172" s="12" t="inlineStr">
        <is>
          <t>A1</t>
        </is>
      </c>
      <c r="F172" s="12" t="inlineStr">
        <is>
          <t>A2</t>
        </is>
      </c>
      <c r="G172" s="12" t="inlineStr">
        <is>
          <t>A3</t>
        </is>
      </c>
      <c r="H172" s="12" t="inlineStr">
        <is>
          <t>B1</t>
        </is>
      </c>
      <c r="I172" s="12" t="inlineStr">
        <is>
          <t>B2</t>
        </is>
      </c>
      <c r="J172" s="12" t="inlineStr">
        <is>
          <t>B3</t>
        </is>
      </c>
      <c r="K172" s="12" t="inlineStr">
        <is>
          <t>B+</t>
        </is>
      </c>
      <c r="L172" s="12" t="inlineStr">
        <is>
          <t>C1</t>
        </is>
      </c>
      <c r="M172" s="12" t="inlineStr">
        <is>
          <t>C2</t>
        </is>
      </c>
      <c r="N172" s="12" t="inlineStr">
        <is>
          <t>C+</t>
        </is>
      </c>
      <c r="O172" s="12" t="inlineStr">
        <is>
          <t>D1</t>
        </is>
      </c>
      <c r="P172" s="12" t="inlineStr">
        <is>
          <t>What good looks like · by proficiency</t>
        </is>
      </c>
      <c r="Q172" s="12" t="inlineStr">
        <is>
          <t>What IRIS top performers do · survey</t>
        </is>
      </c>
      <c r="R172" s="12" t="inlineStr">
        <is>
          <t>How to assess</t>
        </is>
      </c>
      <c r="S172" s="12" t="inlineStr">
        <is>
          <t>Credentials</t>
        </is>
      </c>
      <c r="T172" s="12" t="inlineStr">
        <is>
          <t>Reference</t>
        </is>
      </c>
    </row>
    <row r="173" ht="54" customHeight="1">
      <c r="A173" s="173" t="inlineStr">
        <is>
          <t>Functional</t>
        </is>
      </c>
      <c r="B173" s="173" t="inlineStr">
        <is>
          <t>★ Product, Platform &amp; Domain Knowledge</t>
        </is>
      </c>
      <c r="C173" s="173" t="inlineStr">
        <is>
          <t>Knows IRIS products, platforms and the client's domain.</t>
        </is>
      </c>
      <c r="D173" s="173" t="inlineStr">
        <is>
          <t>Product Management</t>
        </is>
      </c>
      <c r="E173" s="174" t="n">
        <v>1</v>
      </c>
      <c r="F173" s="174" t="n">
        <v>2</v>
      </c>
      <c r="G173" s="174" t="n">
        <v>3</v>
      </c>
      <c r="H173" s="174" t="n">
        <v>3</v>
      </c>
      <c r="I173" s="174" t="n">
        <v>4</v>
      </c>
      <c r="J173" s="174" t="n">
        <v>4</v>
      </c>
      <c r="K173" s="174" t="n">
        <v>4</v>
      </c>
      <c r="L173" s="174" t="n">
        <v>4</v>
      </c>
      <c r="M173" s="174" t="n">
        <v>5</v>
      </c>
      <c r="N173" s="174" t="n">
        <v>5</v>
      </c>
      <c r="O173" s="174" t="n">
        <v>4</v>
      </c>
      <c r="P173" s="173" t="inlineStr">
        <is>
          <t>3 · Handles most product and domain scenarios
4 · Recognised product / domain expert; trains others</t>
        </is>
      </c>
      <c r="Q173" s="173" t="inlineStr">
        <is>
          <t>product, domain, platform</t>
        </is>
      </c>
      <c r="R173" s="173" t="inlineStr">
        <is>
          <t>Scenario interview</t>
        </is>
      </c>
      <c r="S173" s="173" t="inlineStr">
        <is>
          <t>Internal product certification</t>
        </is>
      </c>
      <c r="T173" s="173" t="inlineStr">
        <is>
          <t>Family set</t>
        </is>
      </c>
    </row>
    <row r="174" ht="67" customHeight="1">
      <c r="A174" s="173" t="inlineStr">
        <is>
          <t>Functional</t>
        </is>
      </c>
      <c r="B174" s="173" t="inlineStr">
        <is>
          <t>★ Business Analysis &amp; Requirements Engineering</t>
        </is>
      </c>
      <c r="C174" s="173" t="inlineStr">
        <is>
          <t>Captures, documents and validates requirements.</t>
        </is>
      </c>
      <c r="D174" s="173" t="inlineStr">
        <is>
          <t>Product Management</t>
        </is>
      </c>
      <c r="E174" s="174" t="n">
        <v>1</v>
      </c>
      <c r="F174" s="174" t="n">
        <v>2</v>
      </c>
      <c r="G174" s="174" t="n">
        <v>3</v>
      </c>
      <c r="H174" s="174" t="n">
        <v>3</v>
      </c>
      <c r="I174" s="174" t="n">
        <v>4</v>
      </c>
      <c r="J174" s="174" t="n">
        <v>4</v>
      </c>
      <c r="K174" s="174" t="n">
        <v>4</v>
      </c>
      <c r="L174" s="174" t="n">
        <v>4</v>
      </c>
      <c r="M174" s="174" t="n">
        <v>5</v>
      </c>
      <c r="N174" s="174" t="n">
        <v>5</v>
      </c>
      <c r="O174" s="174" t="n">
        <v>4</v>
      </c>
      <c r="P174" s="173" t="inlineStr">
        <is>
          <t>3 · Writes BRD / FSD / user stories and validates them
4 · Leads complex requirement programmes; sets BA standards</t>
        </is>
      </c>
      <c r="Q174" s="173" t="inlineStr">
        <is>
          <t>requirement, business analysis, use case</t>
        </is>
      </c>
      <c r="R174" s="173" t="inlineStr">
        <is>
          <t>Case study</t>
        </is>
      </c>
      <c r="S174" s="173" t="inlineStr">
        <is>
          <t>CBAP / CCBA · optional</t>
        </is>
      </c>
      <c r="T174" s="173" t="inlineStr">
        <is>
          <t>Family set</t>
        </is>
      </c>
    </row>
    <row r="175" ht="54" customHeight="1">
      <c r="A175" s="173" t="inlineStr">
        <is>
          <t>Functional</t>
        </is>
      </c>
      <c r="B175" s="173" t="inlineStr">
        <is>
          <t>Data Analytics, BI &amp; Visualisation</t>
        </is>
      </c>
      <c r="C175" s="173" t="inlineStr">
        <is>
          <t>Turns data into MIS, dashboards and insight.</t>
        </is>
      </c>
      <c r="D175" s="173" t="inlineStr">
        <is>
          <t>—</t>
        </is>
      </c>
      <c r="E175" s="174" t="n">
        <v>1</v>
      </c>
      <c r="F175" s="174" t="n">
        <v>2</v>
      </c>
      <c r="G175" s="174" t="n">
        <v>3</v>
      </c>
      <c r="H175" s="174" t="n">
        <v>3</v>
      </c>
      <c r="I175" s="174" t="n">
        <v>4</v>
      </c>
      <c r="J175" s="174" t="n">
        <v>4</v>
      </c>
      <c r="K175" s="174" t="n">
        <v>4</v>
      </c>
      <c r="L175" s="174" t="n">
        <v>4</v>
      </c>
      <c r="M175" s="174" t="n">
        <v>5</v>
      </c>
      <c r="N175" s="174" t="n">
        <v>5</v>
      </c>
      <c r="O175" s="174" t="n">
        <v>4</v>
      </c>
      <c r="P175" s="173" t="inlineStr">
        <is>
          <t>3 · Builds MIS, dashboards and analysis
4 · Defines metrics and analytics approach for a business</t>
        </is>
      </c>
      <c r="Q175" s="173" t="inlineStr">
        <is>
          <t>analytic</t>
        </is>
      </c>
      <c r="R175" s="173" t="inlineStr">
        <is>
          <t>Data case / practical</t>
        </is>
      </c>
      <c r="S175" s="173" t="inlineStr">
        <is>
          <t>Power BI / Tableau · optional</t>
        </is>
      </c>
      <c r="T175" s="173" t="inlineStr">
        <is>
          <t>Family set</t>
        </is>
      </c>
    </row>
    <row r="176" ht="54" customHeight="1">
      <c r="A176" s="173" t="inlineStr">
        <is>
          <t>Functional</t>
        </is>
      </c>
      <c r="B176" s="173" t="inlineStr">
        <is>
          <t>Strategic Thinking &amp; Business Acumen</t>
        </is>
      </c>
      <c r="C176" s="173" t="inlineStr">
        <is>
          <t>Links work to business outcomes, budgets and strategy.</t>
        </is>
      </c>
      <c r="D176" s="173" t="inlineStr">
        <is>
          <t>—</t>
        </is>
      </c>
      <c r="E176" s="174" t="n">
        <v>1</v>
      </c>
      <c r="F176" s="174" t="n">
        <v>2</v>
      </c>
      <c r="G176" s="174" t="n">
        <v>3</v>
      </c>
      <c r="H176" s="174" t="n">
        <v>3</v>
      </c>
      <c r="I176" s="174" t="n">
        <v>4</v>
      </c>
      <c r="J176" s="174" t="n">
        <v>4</v>
      </c>
      <c r="K176" s="174" t="n">
        <v>4</v>
      </c>
      <c r="L176" s="174" t="n">
        <v>4</v>
      </c>
      <c r="M176" s="174" t="n">
        <v>5</v>
      </c>
      <c r="N176" s="174" t="n">
        <v>5</v>
      </c>
      <c r="O176" s="174" t="n">
        <v>4</v>
      </c>
      <c r="P176" s="173" t="inlineStr">
        <is>
          <t>3 · Connects work to business goals and budgets
4 · Shapes strategy, pricing or investment choices</t>
        </is>
      </c>
      <c r="Q176" s="173" t="inlineStr">
        <is>
          <t>market, growth, revenue, roadmap, strategy</t>
        </is>
      </c>
      <c r="R176" s="173" t="inlineStr">
        <is>
          <t>Case interview</t>
        </is>
      </c>
      <c r="S176" s="173" t="inlineStr">
        <is>
          <t>MBA / PGDM · preferred at C+</t>
        </is>
      </c>
      <c r="T176" s="173" t="inlineStr">
        <is>
          <t>Family set</t>
        </is>
      </c>
    </row>
    <row r="177" ht="67" customHeight="1">
      <c r="A177" s="173" t="inlineStr">
        <is>
          <t>Functional</t>
        </is>
      </c>
      <c r="B177" s="173" t="inlineStr">
        <is>
          <t>Stakeholder &amp; Client Management</t>
        </is>
      </c>
      <c r="C177" s="173" t="inlineStr">
        <is>
          <t>Manages clients and stakeholders; handles changing requests.</t>
        </is>
      </c>
      <c r="D177" s="173" t="inlineStr">
        <is>
          <t>—</t>
        </is>
      </c>
      <c r="E177" s="174" t="n">
        <v>1</v>
      </c>
      <c r="F177" s="174" t="n">
        <v>2</v>
      </c>
      <c r="G177" s="174" t="n">
        <v>3</v>
      </c>
      <c r="H177" s="174" t="n">
        <v>3</v>
      </c>
      <c r="I177" s="174" t="n">
        <v>4</v>
      </c>
      <c r="J177" s="174" t="n">
        <v>4</v>
      </c>
      <c r="K177" s="174" t="n">
        <v>4</v>
      </c>
      <c r="L177" s="174" t="n">
        <v>4</v>
      </c>
      <c r="M177" s="174" t="n">
        <v>5</v>
      </c>
      <c r="N177" s="174" t="n">
        <v>5</v>
      </c>
      <c r="O177" s="174" t="n">
        <v>4</v>
      </c>
      <c r="P177" s="173" t="inlineStr">
        <is>
          <t>3 · Manages client communication and expectations for own work
4 · Owns key relationships; resolves escalations</t>
        </is>
      </c>
      <c r="Q177" s="173" t="inlineStr">
        <is>
          <t>client, customer, escalat, stakeholder, coordinat</t>
        </is>
      </c>
      <c r="R177" s="173" t="inlineStr">
        <is>
          <t>Role play / behavioural interview</t>
        </is>
      </c>
      <c r="S177" s="173" t="inlineStr">
        <is>
          <t>—</t>
        </is>
      </c>
      <c r="T177" s="173" t="inlineStr">
        <is>
          <t>Family set</t>
        </is>
      </c>
    </row>
    <row r="178" ht="67" customHeight="1">
      <c r="A178" s="173" t="inlineStr">
        <is>
          <t>Functional</t>
        </is>
      </c>
      <c r="B178" s="173" t="inlineStr">
        <is>
          <t>AI, GenAI &amp; Prompt Engineering</t>
        </is>
      </c>
      <c r="C178" s="173" t="inlineStr">
        <is>
          <t>Uses or builds AI and LLM solutions to improve products and work.</t>
        </is>
      </c>
      <c r="D178" s="173" t="inlineStr">
        <is>
          <t>—</t>
        </is>
      </c>
      <c r="E178" s="174" t="n">
        <v>1</v>
      </c>
      <c r="F178" s="174" t="n">
        <v>2</v>
      </c>
      <c r="G178" s="174" t="n">
        <v>3</v>
      </c>
      <c r="H178" s="174" t="n">
        <v>3</v>
      </c>
      <c r="I178" s="174" t="n">
        <v>4</v>
      </c>
      <c r="J178" s="174" t="n">
        <v>4</v>
      </c>
      <c r="K178" s="174" t="n">
        <v>4</v>
      </c>
      <c r="L178" s="174" t="n">
        <v>4</v>
      </c>
      <c r="M178" s="174" t="n">
        <v>5</v>
      </c>
      <c r="N178" s="174" t="n">
        <v>5</v>
      </c>
      <c r="O178" s="174" t="n">
        <v>4</v>
      </c>
      <c r="P178" s="173" t="inlineStr">
        <is>
          <t>3 · Uses AI / LLM tools in own work and validates output
4 · Builds AI features or AI-enabled processes; sets safe-use practice</t>
        </is>
      </c>
      <c r="Q178" s="173" t="inlineStr">
        <is>
          <t>AI, claude</t>
        </is>
      </c>
      <c r="R178" s="173" t="inlineStr">
        <is>
          <t>Work sample / portfolio</t>
        </is>
      </c>
      <c r="S178" s="173" t="inlineStr">
        <is>
          <t>Vendor AI certifications · optional</t>
        </is>
      </c>
      <c r="T178" s="173" t="inlineStr">
        <is>
          <t>Family set</t>
        </is>
      </c>
    </row>
    <row r="179" ht="28" customHeight="1">
      <c r="A179" s="134" t="inlineStr">
        <is>
          <t>Leadership</t>
        </is>
      </c>
      <c r="B179" s="134" t="inlineStr">
        <is>
          <t>Leadership cluster · 4 competencies, part C</t>
        </is>
      </c>
      <c r="C179" s="134" t="inlineStr">
        <is>
          <t>Leading people, decisions, strategy and change</t>
        </is>
      </c>
      <c r="D179" s="134" t="inlineStr">
        <is>
          <t>POD Leads and People Managers</t>
        </is>
      </c>
      <c r="E179" s="47" t="inlineStr">
        <is>
          <t>—</t>
        </is>
      </c>
      <c r="F179" s="47" t="inlineStr">
        <is>
          <t>—</t>
        </is>
      </c>
      <c r="G179" s="47" t="inlineStr">
        <is>
          <t>—</t>
        </is>
      </c>
      <c r="H179" s="47" t="inlineStr">
        <is>
          <t>1/2</t>
        </is>
      </c>
      <c r="I179" s="47" t="inlineStr">
        <is>
          <t>2/3</t>
        </is>
      </c>
      <c r="J179" s="47" t="inlineStr">
        <is>
          <t>3/4</t>
        </is>
      </c>
      <c r="K179" s="47" t="inlineStr">
        <is>
          <t>4/4</t>
        </is>
      </c>
      <c r="L179" s="47" t="inlineStr">
        <is>
          <t>4/4</t>
        </is>
      </c>
      <c r="M179" s="47" t="inlineStr">
        <is>
          <t>4/4</t>
        </is>
      </c>
      <c r="N179" s="47" t="inlineStr">
        <is>
          <t>5/5</t>
        </is>
      </c>
      <c r="O179" s="47" t="inlineStr">
        <is>
          <t>5/5</t>
        </is>
      </c>
      <c r="P179" s="134" t="inlineStr">
        <is>
          <t>Required level shown as IC / Manager</t>
        </is>
      </c>
      <c r="Q179" s="134" t="inlineStr">
        <is>
          <t>—</t>
        </is>
      </c>
      <c r="R179" s="134" t="inlineStr">
        <is>
          <t>Behavioural interview; 360 feedback</t>
        </is>
      </c>
      <c r="S179" s="134" t="inlineStr">
        <is>
          <t>—</t>
        </is>
      </c>
      <c r="T179" s="134" t="inlineStr">
        <is>
          <t>S14, S15, S16</t>
        </is>
      </c>
    </row>
    <row r="180" ht="15" customHeight="1"/>
    <row r="181" ht="15" customHeight="1">
      <c r="A181" s="12" t="inlineStr">
        <is>
          <t>Job family</t>
        </is>
      </c>
      <c r="B181" s="12" t="inlineStr">
        <is>
          <t>Education / credentials</t>
        </is>
      </c>
      <c r="C181" s="209" t="n"/>
      <c r="D181" s="12" t="inlineStr">
        <is>
          <t>Gate requirements</t>
        </is>
      </c>
      <c r="E181" s="209" t="n"/>
      <c r="F181" s="12" t="inlineStr">
        <is>
          <t>Learning focus — Band A</t>
        </is>
      </c>
      <c r="G181" s="210" t="n"/>
      <c r="H181" s="210" t="n"/>
      <c r="I181" s="210" t="n"/>
      <c r="J181" s="210" t="n"/>
      <c r="K181" s="209" t="n"/>
      <c r="L181" s="12" t="inlineStr">
        <is>
          <t>Learning focus — Band B</t>
        </is>
      </c>
      <c r="M181" s="210" t="n"/>
      <c r="N181" s="210" t="n"/>
      <c r="O181" s="210" t="n"/>
      <c r="P181" s="209" t="n"/>
      <c r="Q181" s="12" t="inlineStr">
        <is>
          <t>Learning focus — Band C+</t>
        </is>
      </c>
      <c r="R181" s="209" t="n"/>
      <c r="S181" s="12" t="inlineStr">
        <is>
          <t>Future skills</t>
        </is>
      </c>
      <c r="T181" s="209" t="n"/>
    </row>
    <row r="182" ht="80" customHeight="1">
      <c r="A182" s="13" t="inlineStr">
        <is>
          <t>Product Management</t>
        </is>
      </c>
      <c r="B182" s="16" t="inlineStr">
        <is>
          <t>Graduate; MBA / PGDM preferred</t>
        </is>
      </c>
      <c r="C182" s="209" t="n"/>
      <c r="D182" s="16" t="inlineStr">
        <is>
          <t>Product discovery, roadmap and P&amp;L basics</t>
        </is>
      </c>
      <c r="E182" s="209" t="n"/>
      <c r="F182" s="16" t="inlineStr">
        <is>
          <t>Mandatory path · POSH, Code of Conduct, InfoSec; Product, Platform &amp; Domain Knowledge, Business Analysis &amp; Requirements Engineering to Working → Practitioner; AI literacy to 2; learn by mentoring and KT.</t>
        </is>
      </c>
      <c r="G182" s="210" t="n"/>
      <c r="H182" s="210" t="n"/>
      <c r="I182" s="210" t="n"/>
      <c r="J182" s="210" t="n"/>
      <c r="K182" s="209" t="n"/>
      <c r="L182" s="16" t="inlineStr">
        <is>
          <t>Product, Platform &amp; Domain Knowledge, Business Analysis &amp; Requirements Engineering to Advanced; Data Analytics, BI &amp; Visualisation, Strategic Thinking &amp; Business Acumen, Stakeholder &amp; Client Management to Practitioner; POD Leads / Managers: leading people, delegation, feedback.</t>
        </is>
      </c>
      <c r="M182" s="210" t="n"/>
      <c r="N182" s="210" t="n"/>
      <c r="O182" s="210" t="n"/>
      <c r="P182" s="209" t="n"/>
      <c r="Q182" s="16" t="inlineStr">
        <is>
          <t>Expert in one must-have; strategy &amp; business acumen; building the bench; AI-enabled processes for the function.</t>
        </is>
      </c>
      <c r="R182" s="209" t="n"/>
      <c r="S182" s="16" t="inlineStr">
        <is>
          <t>AI product strategy, platform &amp; API products, ESG / digital-reporting markets</t>
        </is>
      </c>
      <c r="T182" s="209" t="n"/>
    </row>
    <row r="183" ht="15" customHeight="1"/>
    <row r="184" ht="15" customHeight="1"/>
    <row r="185" ht="20" customHeight="1">
      <c r="A185" s="172" t="inlineStr">
        <is>
          <t>Not provided · HRIS — 2 people · consultants · levels X1</t>
        </is>
      </c>
    </row>
    <row r="186" ht="15" customHeight="1">
      <c r="A186" s="17" t="inlineStr">
        <is>
          <t>Job families: Unassigned</t>
        </is>
      </c>
    </row>
    <row r="187" ht="15" customHeight="1">
      <c r="A187" s="12" t="inlineStr">
        <is>
          <t>Capability health today · indicative, from survey + KRAs</t>
        </is>
      </c>
      <c r="B187" s="210" t="n"/>
      <c r="C187" s="210" t="n"/>
      <c r="D187" s="210" t="n"/>
      <c r="E187" s="209" t="n"/>
      <c r="F187" s="12" t="inlineStr">
        <is>
          <t>Result</t>
        </is>
      </c>
      <c r="G187" s="210" t="n"/>
      <c r="H187" s="210" t="n"/>
      <c r="I187" s="210" t="n"/>
      <c r="J187" s="210" t="n"/>
      <c r="K187" s="210" t="n"/>
      <c r="L187" s="210" t="n"/>
      <c r="M187" s="210" t="n"/>
      <c r="N187" s="210" t="n"/>
      <c r="O187" s="210" t="n"/>
      <c r="P187" s="210" t="n"/>
      <c r="Q187" s="210" t="n"/>
      <c r="R187" s="209" t="n"/>
    </row>
    <row r="188" ht="15" customHeight="1">
      <c r="A188" s="13" t="inlineStr">
        <is>
          <t>People assessed · meet or exceed their level</t>
        </is>
      </c>
      <c r="B188" s="210" t="n"/>
      <c r="C188" s="210" t="n"/>
      <c r="D188" s="210" t="n"/>
      <c r="E188" s="209" t="n"/>
      <c r="F188" s="16" t="inlineStr">
        <is>
          <t>0 · 0</t>
        </is>
      </c>
      <c r="G188" s="210" t="n"/>
      <c r="H188" s="210" t="n"/>
      <c r="I188" s="210" t="n"/>
      <c r="J188" s="210" t="n"/>
      <c r="K188" s="210" t="n"/>
      <c r="L188" s="210" t="n"/>
      <c r="M188" s="210" t="n"/>
      <c r="N188" s="210" t="n"/>
      <c r="O188" s="210" t="n"/>
      <c r="P188" s="210" t="n"/>
      <c r="Q188" s="210" t="n"/>
      <c r="R188" s="209" t="n"/>
    </row>
    <row r="189" ht="15" customHeight="1">
      <c r="A189" s="13" t="inlineStr">
        <is>
          <t>Average index · Core · Future-ready · Functional · Leadership · % of required</t>
        </is>
      </c>
      <c r="B189" s="210" t="n"/>
      <c r="C189" s="210" t="n"/>
      <c r="D189" s="210" t="n"/>
      <c r="E189" s="209" t="n"/>
      <c r="F189" s="16" t="inlineStr">
        <is>
          <t>—% · —% · —% · —% · —%</t>
        </is>
      </c>
      <c r="G189" s="210" t="n"/>
      <c r="H189" s="210" t="n"/>
      <c r="I189" s="210" t="n"/>
      <c r="J189" s="210" t="n"/>
      <c r="K189" s="210" t="n"/>
      <c r="L189" s="210" t="n"/>
      <c r="M189" s="210" t="n"/>
      <c r="N189" s="210" t="n"/>
      <c r="O189" s="210" t="n"/>
      <c r="P189" s="210" t="n"/>
      <c r="Q189" s="210" t="n"/>
      <c r="R189" s="209" t="n"/>
    </row>
    <row r="190" ht="15" customHeight="1">
      <c r="A190" s="13" t="inlineStr">
        <is>
          <t>Most common competency gaps · people</t>
        </is>
      </c>
      <c r="B190" s="210" t="n"/>
      <c r="C190" s="210" t="n"/>
      <c r="D190" s="210" t="n"/>
      <c r="E190" s="209" t="n"/>
      <c r="F190" s="16" t="inlineStr">
        <is>
          <t>—</t>
        </is>
      </c>
      <c r="G190" s="210" t="n"/>
      <c r="H190" s="210" t="n"/>
      <c r="I190" s="210" t="n"/>
      <c r="J190" s="210" t="n"/>
      <c r="K190" s="210" t="n"/>
      <c r="L190" s="210" t="n"/>
      <c r="M190" s="210" t="n"/>
      <c r="N190" s="210" t="n"/>
      <c r="O190" s="210" t="n"/>
      <c r="P190" s="210" t="n"/>
      <c r="Q190" s="210" t="n"/>
      <c r="R190" s="209" t="n"/>
    </row>
    <row r="191" ht="15" customHeight="1">
      <c r="A191" s="13" t="inlineStr">
        <is>
          <t>Role-based development priorities · people</t>
        </is>
      </c>
      <c r="B191" s="210" t="n"/>
      <c r="C191" s="210" t="n"/>
      <c r="D191" s="210" t="n"/>
      <c r="E191" s="209" t="n"/>
      <c r="F191" s="16" t="inlineStr">
        <is>
          <t>—</t>
        </is>
      </c>
      <c r="G191" s="210" t="n"/>
      <c r="H191" s="210" t="n"/>
      <c r="I191" s="210" t="n"/>
      <c r="J191" s="210" t="n"/>
      <c r="K191" s="210" t="n"/>
      <c r="L191" s="210" t="n"/>
      <c r="M191" s="210" t="n"/>
      <c r="N191" s="210" t="n"/>
      <c r="O191" s="210" t="n"/>
      <c r="P191" s="210" t="n"/>
      <c r="Q191" s="210" t="n"/>
      <c r="R191" s="209" t="n"/>
    </row>
    <row r="192" ht="15" customHeight="1">
      <c r="A192" s="13" t="inlineStr">
        <is>
          <t>Manager-identified training themes</t>
        </is>
      </c>
      <c r="B192" s="210" t="n"/>
      <c r="C192" s="210" t="n"/>
      <c r="D192" s="210" t="n"/>
      <c r="E192" s="209" t="n"/>
      <c r="F192" s="16" t="inlineStr">
        <is>
          <t>—</t>
        </is>
      </c>
      <c r="G192" s="210" t="n"/>
      <c r="H192" s="210" t="n"/>
      <c r="I192" s="210" t="n"/>
      <c r="J192" s="210" t="n"/>
      <c r="K192" s="210" t="n"/>
      <c r="L192" s="210" t="n"/>
      <c r="M192" s="210" t="n"/>
      <c r="N192" s="210" t="n"/>
      <c r="O192" s="210" t="n"/>
      <c r="P192" s="210" t="n"/>
      <c r="Q192" s="210" t="n"/>
      <c r="R192" s="209" t="n"/>
    </row>
    <row r="193" ht="15" customHeight="1">
      <c r="A193" s="13" t="inlineStr">
        <is>
          <t>What helped people learn · survey</t>
        </is>
      </c>
      <c r="B193" s="210" t="n"/>
      <c r="C193" s="210" t="n"/>
      <c r="D193" s="210" t="n"/>
      <c r="E193" s="209" t="n"/>
      <c r="F193" s="16" t="inlineStr">
        <is>
          <r>
            <rPr>
              <rFont val="Calibri"/>
              <b val="1"/>
              <sz val="10"/>
            </rPr>
            <t>Withheld:</t>
          </r>
          <r>
            <rPr>
              <rFont val="Calibri"/>
              <sz val="10"/>
            </rPr>
            <t xml:space="preserve"> fewer than 3 role-holders answered the survey, so answers would identify a person · IRIS role catalogue entry to follow</t>
          </r>
        </is>
      </c>
      <c r="G193" s="210" t="n"/>
      <c r="H193" s="210" t="n"/>
      <c r="I193" s="210" t="n"/>
      <c r="J193" s="210" t="n"/>
      <c r="K193" s="210" t="n"/>
      <c r="L193" s="210" t="n"/>
      <c r="M193" s="210" t="n"/>
      <c r="N193" s="210" t="n"/>
      <c r="O193" s="210" t="n"/>
      <c r="P193" s="210" t="n"/>
      <c r="Q193" s="210" t="n"/>
      <c r="R193" s="209" t="n"/>
    </row>
    <row r="194" ht="15" customHeight="1">
      <c r="A194" s="13" t="inlineStr">
        <is>
          <t>How the work is changing</t>
        </is>
      </c>
      <c r="B194" s="210" t="n"/>
      <c r="C194" s="210" t="n"/>
      <c r="D194" s="210" t="n"/>
      <c r="E194" s="209" t="n"/>
      <c r="F194" s="16" t="inlineStr">
        <is>
          <t>—</t>
        </is>
      </c>
      <c r="G194" s="210" t="n"/>
      <c r="H194" s="210" t="n"/>
      <c r="I194" s="210" t="n"/>
      <c r="J194" s="210" t="n"/>
      <c r="K194" s="210" t="n"/>
      <c r="L194" s="210" t="n"/>
      <c r="M194" s="210" t="n"/>
      <c r="N194" s="210" t="n"/>
      <c r="O194" s="210" t="n"/>
      <c r="P194" s="210" t="n"/>
      <c r="Q194" s="210" t="n"/>
      <c r="R194" s="209" t="n"/>
    </row>
    <row r="195" ht="15" customHeight="1">
      <c r="A195" s="13" t="inlineStr">
        <is>
          <t>Lateral moves the evidence supports · people</t>
        </is>
      </c>
      <c r="B195" s="210" t="n"/>
      <c r="C195" s="210" t="n"/>
      <c r="D195" s="210" t="n"/>
      <c r="E195" s="209" t="n"/>
      <c r="F195" s="16" t="inlineStr">
        <is>
          <t>No strong match yet</t>
        </is>
      </c>
      <c r="G195" s="210" t="n"/>
      <c r="H195" s="210" t="n"/>
      <c r="I195" s="210" t="n"/>
      <c r="J195" s="210" t="n"/>
      <c r="K195" s="210" t="n"/>
      <c r="L195" s="210" t="n"/>
      <c r="M195" s="210" t="n"/>
      <c r="N195" s="210" t="n"/>
      <c r="O195" s="210" t="n"/>
      <c r="P195" s="210" t="n"/>
      <c r="Q195" s="210" t="n"/>
      <c r="R195" s="209" t="n"/>
    </row>
    <row r="196" ht="15" customHeight="1"/>
    <row r="197" ht="28" customHeight="1">
      <c r="A197" s="12" t="inlineStr">
        <is>
          <t>Cluster</t>
        </is>
      </c>
      <c r="B197" s="12" t="inlineStr">
        <is>
          <t>Competency · ★ = must-have</t>
        </is>
      </c>
      <c r="C197" s="12" t="inlineStr">
        <is>
          <t>Definition</t>
        </is>
      </c>
      <c r="D197" s="12" t="inlineStr">
        <is>
          <t>Must-have for</t>
        </is>
      </c>
      <c r="E197" s="12" t="inlineStr">
        <is>
          <t>A1</t>
        </is>
      </c>
      <c r="F197" s="12" t="inlineStr">
        <is>
          <t>A2</t>
        </is>
      </c>
      <c r="G197" s="12" t="inlineStr">
        <is>
          <t>A3</t>
        </is>
      </c>
      <c r="H197" s="12" t="inlineStr">
        <is>
          <t>B1</t>
        </is>
      </c>
      <c r="I197" s="12" t="inlineStr">
        <is>
          <t>B2</t>
        </is>
      </c>
      <c r="J197" s="12" t="inlineStr">
        <is>
          <t>B3</t>
        </is>
      </c>
      <c r="K197" s="12" t="inlineStr">
        <is>
          <t>B+</t>
        </is>
      </c>
      <c r="L197" s="12" t="inlineStr">
        <is>
          <t>C1</t>
        </is>
      </c>
      <c r="M197" s="12" t="inlineStr">
        <is>
          <t>C2</t>
        </is>
      </c>
      <c r="N197" s="12" t="inlineStr">
        <is>
          <t>C+</t>
        </is>
      </c>
      <c r="O197" s="12" t="inlineStr">
        <is>
          <t>D1</t>
        </is>
      </c>
      <c r="P197" s="12" t="inlineStr">
        <is>
          <t>What good looks like · by proficiency</t>
        </is>
      </c>
      <c r="Q197" s="12" t="inlineStr">
        <is>
          <t>What IRIS top performers do · survey</t>
        </is>
      </c>
      <c r="R197" s="12" t="inlineStr">
        <is>
          <t>How to assess</t>
        </is>
      </c>
      <c r="S197" s="12" t="inlineStr">
        <is>
          <t>Credentials</t>
        </is>
      </c>
      <c r="T197" s="12" t="inlineStr">
        <is>
          <t>Reference</t>
        </is>
      </c>
    </row>
    <row r="198" ht="28" customHeight="1">
      <c r="A198" s="134" t="inlineStr">
        <is>
          <t>Leadership</t>
        </is>
      </c>
      <c r="B198" s="134" t="inlineStr">
        <is>
          <t>Leadership cluster · 4 competencies, part C</t>
        </is>
      </c>
      <c r="C198" s="134" t="inlineStr">
        <is>
          <t>Leading people, decisions, strategy and change</t>
        </is>
      </c>
      <c r="D198" s="134" t="inlineStr">
        <is>
          <t>POD Leads and People Managers</t>
        </is>
      </c>
      <c r="E198" s="47" t="inlineStr">
        <is>
          <t>—</t>
        </is>
      </c>
      <c r="F198" s="47" t="inlineStr">
        <is>
          <t>—</t>
        </is>
      </c>
      <c r="G198" s="47" t="inlineStr">
        <is>
          <t>—</t>
        </is>
      </c>
      <c r="H198" s="47" t="inlineStr">
        <is>
          <t>1/2</t>
        </is>
      </c>
      <c r="I198" s="47" t="inlineStr">
        <is>
          <t>2/3</t>
        </is>
      </c>
      <c r="J198" s="47" t="inlineStr">
        <is>
          <t>3/4</t>
        </is>
      </c>
      <c r="K198" s="47" t="inlineStr">
        <is>
          <t>4/4</t>
        </is>
      </c>
      <c r="L198" s="47" t="inlineStr">
        <is>
          <t>4/4</t>
        </is>
      </c>
      <c r="M198" s="47" t="inlineStr">
        <is>
          <t>4/4</t>
        </is>
      </c>
      <c r="N198" s="47" t="inlineStr">
        <is>
          <t>5/5</t>
        </is>
      </c>
      <c r="O198" s="47" t="inlineStr">
        <is>
          <t>5/5</t>
        </is>
      </c>
      <c r="P198" s="134" t="inlineStr">
        <is>
          <t>Required level shown as IC / Manager</t>
        </is>
      </c>
      <c r="Q198" s="134" t="inlineStr">
        <is>
          <t>—</t>
        </is>
      </c>
      <c r="R198" s="134" t="inlineStr">
        <is>
          <t>Behavioural interview; 360 feedback</t>
        </is>
      </c>
      <c r="S198" s="134" t="inlineStr">
        <is>
          <t>—</t>
        </is>
      </c>
      <c r="T198" s="134" t="inlineStr">
        <is>
          <t>S14, S15, S16</t>
        </is>
      </c>
    </row>
    <row r="199" ht="15" customHeight="1"/>
    <row r="200" ht="15" customHeight="1"/>
    <row r="201" ht="20" customHeight="1">
      <c r="A201" s="172" t="inlineStr">
        <is>
          <t>Quality Assurance — 2 people · Technology &amp; engineering · levels A3</t>
        </is>
      </c>
    </row>
    <row r="202" ht="15" customHeight="1">
      <c r="A202" s="17" t="inlineStr">
        <is>
          <t>Job families: Quality Assurance</t>
        </is>
      </c>
    </row>
    <row r="203" ht="15" customHeight="1">
      <c r="A203" s="12" t="inlineStr">
        <is>
          <t>Capability health today · indicative, from survey + KRAs</t>
        </is>
      </c>
      <c r="B203" s="210" t="n"/>
      <c r="C203" s="210" t="n"/>
      <c r="D203" s="210" t="n"/>
      <c r="E203" s="209" t="n"/>
      <c r="F203" s="12" t="inlineStr">
        <is>
          <t>Result</t>
        </is>
      </c>
      <c r="G203" s="210" t="n"/>
      <c r="H203" s="210" t="n"/>
      <c r="I203" s="210" t="n"/>
      <c r="J203" s="210" t="n"/>
      <c r="K203" s="210" t="n"/>
      <c r="L203" s="210" t="n"/>
      <c r="M203" s="210" t="n"/>
      <c r="N203" s="210" t="n"/>
      <c r="O203" s="210" t="n"/>
      <c r="P203" s="210" t="n"/>
      <c r="Q203" s="210" t="n"/>
      <c r="R203" s="209" t="n"/>
    </row>
    <row r="204" ht="15" customHeight="1">
      <c r="A204" s="13" t="inlineStr">
        <is>
          <t>People assessed · meet or exceed their level</t>
        </is>
      </c>
      <c r="B204" s="210" t="n"/>
      <c r="C204" s="210" t="n"/>
      <c r="D204" s="210" t="n"/>
      <c r="E204" s="209" t="n"/>
      <c r="F204" s="16" t="inlineStr">
        <is>
          <t>2 · 2</t>
        </is>
      </c>
      <c r="G204" s="210" t="n"/>
      <c r="H204" s="210" t="n"/>
      <c r="I204" s="210" t="n"/>
      <c r="J204" s="210" t="n"/>
      <c r="K204" s="210" t="n"/>
      <c r="L204" s="210" t="n"/>
      <c r="M204" s="210" t="n"/>
      <c r="N204" s="210" t="n"/>
      <c r="O204" s="210" t="n"/>
      <c r="P204" s="210" t="n"/>
      <c r="Q204" s="210" t="n"/>
      <c r="R204" s="209" t="n"/>
    </row>
    <row r="205" ht="15" customHeight="1">
      <c r="A205" s="13" t="inlineStr">
        <is>
          <t>Average index · Core · Future-ready · Functional · Leadership · % of required</t>
        </is>
      </c>
      <c r="B205" s="210" t="n"/>
      <c r="C205" s="210" t="n"/>
      <c r="D205" s="210" t="n"/>
      <c r="E205" s="209" t="n"/>
      <c r="F205" s="16" t="inlineStr">
        <is>
          <t>94% · 91% · 89% · 97% · —%</t>
        </is>
      </c>
      <c r="G205" s="210" t="n"/>
      <c r="H205" s="210" t="n"/>
      <c r="I205" s="210" t="n"/>
      <c r="J205" s="210" t="n"/>
      <c r="K205" s="210" t="n"/>
      <c r="L205" s="210" t="n"/>
      <c r="M205" s="210" t="n"/>
      <c r="N205" s="210" t="n"/>
      <c r="O205" s="210" t="n"/>
      <c r="P205" s="210" t="n"/>
      <c r="Q205" s="210" t="n"/>
      <c r="R205" s="209" t="n"/>
    </row>
    <row r="206" ht="15" customHeight="1">
      <c r="A206" s="13" t="inlineStr">
        <is>
          <t>Most common competency gaps · people</t>
        </is>
      </c>
      <c r="B206" s="210" t="n"/>
      <c r="C206" s="210" t="n"/>
      <c r="D206" s="210" t="n"/>
      <c r="E206" s="209" t="n"/>
      <c r="F206" s="16" t="inlineStr">
        <is>
          <t>AI / GenAI · Problem solving · Learning agility · SQL &amp; data · Communication</t>
        </is>
      </c>
      <c r="G206" s="210" t="n"/>
      <c r="H206" s="210" t="n"/>
      <c r="I206" s="210" t="n"/>
      <c r="J206" s="210" t="n"/>
      <c r="K206" s="210" t="n"/>
      <c r="L206" s="210" t="n"/>
      <c r="M206" s="210" t="n"/>
      <c r="N206" s="210" t="n"/>
      <c r="O206" s="210" t="n"/>
      <c r="P206" s="210" t="n"/>
      <c r="Q206" s="210" t="n"/>
      <c r="R206" s="209" t="n"/>
    </row>
    <row r="207" ht="28" customHeight="1">
      <c r="A207" s="13" t="inlineStr">
        <is>
          <t>Role-based development priorities · people</t>
        </is>
      </c>
      <c r="B207" s="210" t="n"/>
      <c r="C207" s="210" t="n"/>
      <c r="D207" s="210" t="n"/>
      <c r="E207" s="209" t="n"/>
      <c r="F207" s="16" t="inlineStr">
        <is>
          <t>Test Automation &amp; QA Engineering · Database, SQL &amp; Data Engineering · Project, Program &amp; Agile Management · Cloud, DevOps &amp; CI/CD · AI, GenAI &amp; Prompt Engineering</t>
        </is>
      </c>
      <c r="G207" s="210" t="n"/>
      <c r="H207" s="210" t="n"/>
      <c r="I207" s="210" t="n"/>
      <c r="J207" s="210" t="n"/>
      <c r="K207" s="210" t="n"/>
      <c r="L207" s="210" t="n"/>
      <c r="M207" s="210" t="n"/>
      <c r="N207" s="210" t="n"/>
      <c r="O207" s="210" t="n"/>
      <c r="P207" s="210" t="n"/>
      <c r="Q207" s="210" t="n"/>
      <c r="R207" s="209" t="n"/>
    </row>
    <row r="208" ht="15" customHeight="1">
      <c r="A208" s="13" t="inlineStr">
        <is>
          <t>Manager-identified training themes</t>
        </is>
      </c>
      <c r="B208" s="210" t="n"/>
      <c r="C208" s="210" t="n"/>
      <c r="D208" s="210" t="n"/>
      <c r="E208" s="209" t="n"/>
      <c r="F208" s="16" t="inlineStr">
        <is>
          <t>AI for testing and automation</t>
        </is>
      </c>
      <c r="G208" s="210" t="n"/>
      <c r="H208" s="210" t="n"/>
      <c r="I208" s="210" t="n"/>
      <c r="J208" s="210" t="n"/>
      <c r="K208" s="210" t="n"/>
      <c r="L208" s="210" t="n"/>
      <c r="M208" s="210" t="n"/>
      <c r="N208" s="210" t="n"/>
      <c r="O208" s="210" t="n"/>
      <c r="P208" s="210" t="n"/>
      <c r="Q208" s="210" t="n"/>
      <c r="R208" s="209" t="n"/>
    </row>
    <row r="209" ht="15" customHeight="1">
      <c r="A209" s="13" t="inlineStr">
        <is>
          <t>What helped people learn · survey</t>
        </is>
      </c>
      <c r="B209" s="210" t="n"/>
      <c r="C209" s="210" t="n"/>
      <c r="D209" s="210" t="n"/>
      <c r="E209" s="209" t="n"/>
      <c r="F209" s="16" t="inlineStr">
        <is>
          <r>
            <rPr>
              <rFont val="Calibri"/>
              <b val="1"/>
              <sz val="10"/>
            </rPr>
            <t>Withheld:</t>
          </r>
          <r>
            <rPr>
              <rFont val="Calibri"/>
              <sz val="10"/>
            </rPr>
            <t xml:space="preserve"> fewer than 3 role-holders answered the survey, so answers would identify a person · IRIS role catalogue entry to follow</t>
          </r>
        </is>
      </c>
      <c r="G209" s="210" t="n"/>
      <c r="H209" s="210" t="n"/>
      <c r="I209" s="210" t="n"/>
      <c r="J209" s="210" t="n"/>
      <c r="K209" s="210" t="n"/>
      <c r="L209" s="210" t="n"/>
      <c r="M209" s="210" t="n"/>
      <c r="N209" s="210" t="n"/>
      <c r="O209" s="210" t="n"/>
      <c r="P209" s="210" t="n"/>
      <c r="Q209" s="210" t="n"/>
      <c r="R209" s="209" t="n"/>
    </row>
    <row r="210" ht="15" customHeight="1">
      <c r="A210" s="13" t="inlineStr">
        <is>
          <t>How the work is changing</t>
        </is>
      </c>
      <c r="B210" s="210" t="n"/>
      <c r="C210" s="210" t="n"/>
      <c r="D210" s="210" t="n"/>
      <c r="E210" s="209" t="n"/>
      <c r="F210" s="16" t="inlineStr">
        <is>
          <t>—</t>
        </is>
      </c>
      <c r="G210" s="210" t="n"/>
      <c r="H210" s="210" t="n"/>
      <c r="I210" s="210" t="n"/>
      <c r="J210" s="210" t="n"/>
      <c r="K210" s="210" t="n"/>
      <c r="L210" s="210" t="n"/>
      <c r="M210" s="210" t="n"/>
      <c r="N210" s="210" t="n"/>
      <c r="O210" s="210" t="n"/>
      <c r="P210" s="210" t="n"/>
      <c r="Q210" s="210" t="n"/>
      <c r="R210" s="209" t="n"/>
    </row>
    <row r="211" ht="15" customHeight="1">
      <c r="A211" s="13" t="inlineStr">
        <is>
          <t>Lateral moves the evidence supports · people</t>
        </is>
      </c>
      <c r="B211" s="210" t="n"/>
      <c r="C211" s="210" t="n"/>
      <c r="D211" s="210" t="n"/>
      <c r="E211" s="209" t="n"/>
      <c r="F211" s="16" t="inlineStr">
        <is>
          <t>No strong match yet</t>
        </is>
      </c>
      <c r="G211" s="210" t="n"/>
      <c r="H211" s="210" t="n"/>
      <c r="I211" s="210" t="n"/>
      <c r="J211" s="210" t="n"/>
      <c r="K211" s="210" t="n"/>
      <c r="L211" s="210" t="n"/>
      <c r="M211" s="210" t="n"/>
      <c r="N211" s="210" t="n"/>
      <c r="O211" s="210" t="n"/>
      <c r="P211" s="210" t="n"/>
      <c r="Q211" s="210" t="n"/>
      <c r="R211" s="209" t="n"/>
    </row>
    <row r="212" ht="15" customHeight="1"/>
    <row r="213" ht="28" customHeight="1">
      <c r="A213" s="12" t="inlineStr">
        <is>
          <t>Cluster</t>
        </is>
      </c>
      <c r="B213" s="12" t="inlineStr">
        <is>
          <t>Competency · ★ = must-have</t>
        </is>
      </c>
      <c r="C213" s="12" t="inlineStr">
        <is>
          <t>Definition</t>
        </is>
      </c>
      <c r="D213" s="12" t="inlineStr">
        <is>
          <t>Must-have for</t>
        </is>
      </c>
      <c r="E213" s="12" t="inlineStr">
        <is>
          <t>A1</t>
        </is>
      </c>
      <c r="F213" s="12" t="inlineStr">
        <is>
          <t>A2</t>
        </is>
      </c>
      <c r="G213" s="12" t="inlineStr">
        <is>
          <t>A3</t>
        </is>
      </c>
      <c r="H213" s="12" t="inlineStr">
        <is>
          <t>B1</t>
        </is>
      </c>
      <c r="I213" s="12" t="inlineStr">
        <is>
          <t>B2</t>
        </is>
      </c>
      <c r="J213" s="12" t="inlineStr">
        <is>
          <t>B3</t>
        </is>
      </c>
      <c r="K213" s="12" t="inlineStr">
        <is>
          <t>B+</t>
        </is>
      </c>
      <c r="L213" s="12" t="inlineStr">
        <is>
          <t>C1</t>
        </is>
      </c>
      <c r="M213" s="12" t="inlineStr">
        <is>
          <t>C2</t>
        </is>
      </c>
      <c r="N213" s="12" t="inlineStr">
        <is>
          <t>C+</t>
        </is>
      </c>
      <c r="O213" s="12" t="inlineStr">
        <is>
          <t>D1</t>
        </is>
      </c>
      <c r="P213" s="12" t="inlineStr">
        <is>
          <t>What good looks like · by proficiency</t>
        </is>
      </c>
      <c r="Q213" s="12" t="inlineStr">
        <is>
          <t>What IRIS top performers do · survey</t>
        </is>
      </c>
      <c r="R213" s="12" t="inlineStr">
        <is>
          <t>How to assess</t>
        </is>
      </c>
      <c r="S213" s="12" t="inlineStr">
        <is>
          <t>Credentials</t>
        </is>
      </c>
      <c r="T213" s="12" t="inlineStr">
        <is>
          <t>Reference</t>
        </is>
      </c>
    </row>
    <row r="214" ht="54" customHeight="1">
      <c r="A214" s="173" t="inlineStr">
        <is>
          <t>Functional</t>
        </is>
      </c>
      <c r="B214" s="173" t="inlineStr">
        <is>
          <t>★ Test Automation &amp; QA Engineering</t>
        </is>
      </c>
      <c r="C214" s="173" t="inlineStr">
        <is>
          <t>Designs tests; automates regression and API testing.</t>
        </is>
      </c>
      <c r="D214" s="173" t="inlineStr">
        <is>
          <t>Quality Assurance</t>
        </is>
      </c>
      <c r="E214" s="174" t="n">
        <v>1</v>
      </c>
      <c r="F214" s="174" t="n">
        <v>2</v>
      </c>
      <c r="G214" s="174" t="n">
        <v>3</v>
      </c>
      <c r="H214" s="174" t="n">
        <v>3</v>
      </c>
      <c r="I214" s="174" t="n">
        <v>4</v>
      </c>
      <c r="J214" s="174" t="n">
        <v>4</v>
      </c>
      <c r="K214" s="174" t="n">
        <v>4</v>
      </c>
      <c r="L214" s="174" t="n">
        <v>4</v>
      </c>
      <c r="M214" s="174" t="n">
        <v>5</v>
      </c>
      <c r="N214" s="174" t="n">
        <v>5</v>
      </c>
      <c r="O214" s="174" t="n">
        <v>4</v>
      </c>
      <c r="P214" s="173" t="inlineStr">
        <is>
          <t>3 · Designs test cases; automates regression / API tests
4 · Sets test strategy and automation frameworks</t>
        </is>
      </c>
      <c r="Q214" s="173" t="inlineStr">
        <is>
          <t>testing, defect, qa, regression, automation</t>
        </is>
      </c>
      <c r="R214" s="173" t="inlineStr">
        <is>
          <t>Testing practical</t>
        </is>
      </c>
      <c r="S214" s="173" t="inlineStr">
        <is>
          <t>ISTQB Foundation / Advanced</t>
        </is>
      </c>
      <c r="T214" s="173" t="inlineStr">
        <is>
          <t>Family set</t>
        </is>
      </c>
    </row>
    <row r="215" ht="54" customHeight="1">
      <c r="A215" s="173" t="inlineStr">
        <is>
          <t>Functional</t>
        </is>
      </c>
      <c r="B215" s="173" t="inlineStr">
        <is>
          <t>★ Product, Platform &amp; Domain Knowledge</t>
        </is>
      </c>
      <c r="C215" s="173" t="inlineStr">
        <is>
          <t>Knows IRIS products, platforms and the client's domain.</t>
        </is>
      </c>
      <c r="D215" s="173" t="inlineStr">
        <is>
          <t>Quality Assurance</t>
        </is>
      </c>
      <c r="E215" s="174" t="n">
        <v>1</v>
      </c>
      <c r="F215" s="174" t="n">
        <v>2</v>
      </c>
      <c r="G215" s="174" t="n">
        <v>3</v>
      </c>
      <c r="H215" s="174" t="n">
        <v>3</v>
      </c>
      <c r="I215" s="174" t="n">
        <v>4</v>
      </c>
      <c r="J215" s="174" t="n">
        <v>4</v>
      </c>
      <c r="K215" s="174" t="n">
        <v>4</v>
      </c>
      <c r="L215" s="174" t="n">
        <v>4</v>
      </c>
      <c r="M215" s="174" t="n">
        <v>5</v>
      </c>
      <c r="N215" s="174" t="n">
        <v>5</v>
      </c>
      <c r="O215" s="174" t="n">
        <v>4</v>
      </c>
      <c r="P215" s="173" t="inlineStr">
        <is>
          <t>3 · Handles most product and domain scenarios
4 · Recognised product / domain expert; trains others</t>
        </is>
      </c>
      <c r="Q215" s="173" t="inlineStr">
        <is>
          <t>product, module, product knowledge</t>
        </is>
      </c>
      <c r="R215" s="173" t="inlineStr">
        <is>
          <t>Scenario interview</t>
        </is>
      </c>
      <c r="S215" s="173" t="inlineStr">
        <is>
          <t>Internal product certification</t>
        </is>
      </c>
      <c r="T215" s="173" t="inlineStr">
        <is>
          <t>Family set</t>
        </is>
      </c>
    </row>
    <row r="216" ht="54" customHeight="1">
      <c r="A216" s="173" t="inlineStr">
        <is>
          <t>Functional</t>
        </is>
      </c>
      <c r="B216" s="173" t="inlineStr">
        <is>
          <t>Database, SQL &amp; Data Engineering</t>
        </is>
      </c>
      <c r="C216" s="173" t="inlineStr">
        <is>
          <t>Writes and tunes SQL, data models and ETL.</t>
        </is>
      </c>
      <c r="D216" s="173" t="inlineStr">
        <is>
          <t>—</t>
        </is>
      </c>
      <c r="E216" s="174" t="n">
        <v>1</v>
      </c>
      <c r="F216" s="174" t="n">
        <v>2</v>
      </c>
      <c r="G216" s="174" t="n">
        <v>3</v>
      </c>
      <c r="H216" s="174" t="n">
        <v>3</v>
      </c>
      <c r="I216" s="174" t="n">
        <v>4</v>
      </c>
      <c r="J216" s="174" t="n">
        <v>4</v>
      </c>
      <c r="K216" s="174" t="n">
        <v>4</v>
      </c>
      <c r="L216" s="174" t="n">
        <v>4</v>
      </c>
      <c r="M216" s="174" t="n">
        <v>5</v>
      </c>
      <c r="N216" s="174" t="n">
        <v>5</v>
      </c>
      <c r="O216" s="174" t="n">
        <v>4</v>
      </c>
      <c r="P216" s="173" t="inlineStr">
        <is>
          <t>3 · Writes and tunes queries, procedures and ETL
4 · Designs data models and pipelines; optimises at scale</t>
        </is>
      </c>
      <c r="Q216" s="173" t="inlineStr">
        <is>
          <t>queries, database, query, mysql, ssis</t>
        </is>
      </c>
      <c r="R216" s="173" t="inlineStr">
        <is>
          <t>SQL test / case</t>
        </is>
      </c>
      <c r="S216" s="173" t="inlineStr">
        <is>
          <t>Database certifications · optional</t>
        </is>
      </c>
      <c r="T216" s="173" t="inlineStr">
        <is>
          <t>Family set</t>
        </is>
      </c>
    </row>
    <row r="217" ht="67" customHeight="1">
      <c r="A217" s="173" t="inlineStr">
        <is>
          <t>Functional</t>
        </is>
      </c>
      <c r="B217" s="173" t="inlineStr">
        <is>
          <t>AI, GenAI &amp; Prompt Engineering</t>
        </is>
      </c>
      <c r="C217" s="173" t="inlineStr">
        <is>
          <t>Uses or builds AI and LLM solutions to improve products and work.</t>
        </is>
      </c>
      <c r="D217" s="173" t="inlineStr">
        <is>
          <t>—</t>
        </is>
      </c>
      <c r="E217" s="174" t="n">
        <v>1</v>
      </c>
      <c r="F217" s="174" t="n">
        <v>2</v>
      </c>
      <c r="G217" s="174" t="n">
        <v>3</v>
      </c>
      <c r="H217" s="174" t="n">
        <v>3</v>
      </c>
      <c r="I217" s="174" t="n">
        <v>4</v>
      </c>
      <c r="J217" s="174" t="n">
        <v>4</v>
      </c>
      <c r="K217" s="174" t="n">
        <v>4</v>
      </c>
      <c r="L217" s="174" t="n">
        <v>4</v>
      </c>
      <c r="M217" s="174" t="n">
        <v>5</v>
      </c>
      <c r="N217" s="174" t="n">
        <v>5</v>
      </c>
      <c r="O217" s="174" t="n">
        <v>4</v>
      </c>
      <c r="P217" s="173" t="inlineStr">
        <is>
          <t>3 · Uses AI / LLM tools in own work and validates output
4 · Builds AI features or AI-enabled processes; sets safe-use practice</t>
        </is>
      </c>
      <c r="Q217" s="173" t="inlineStr">
        <is>
          <t>AI</t>
        </is>
      </c>
      <c r="R217" s="173" t="inlineStr">
        <is>
          <t>Work sample / portfolio</t>
        </is>
      </c>
      <c r="S217" s="173" t="inlineStr">
        <is>
          <t>Vendor AI certifications · optional</t>
        </is>
      </c>
      <c r="T217" s="173" t="inlineStr">
        <is>
          <t>Family set</t>
        </is>
      </c>
    </row>
    <row r="218" ht="67" customHeight="1">
      <c r="A218" s="173" t="inlineStr">
        <is>
          <t>Functional</t>
        </is>
      </c>
      <c r="B218" s="173" t="inlineStr">
        <is>
          <t>Process Improvement &amp; Quality Mindset</t>
        </is>
      </c>
      <c r="C218" s="173" t="inlineStr">
        <is>
          <t>Gets it right first time; improves processes and checklists.</t>
        </is>
      </c>
      <c r="D218" s="173" t="inlineStr">
        <is>
          <t>—</t>
        </is>
      </c>
      <c r="E218" s="174" t="n">
        <v>1</v>
      </c>
      <c r="F218" s="174" t="n">
        <v>2</v>
      </c>
      <c r="G218" s="174" t="n">
        <v>3</v>
      </c>
      <c r="H218" s="174" t="n">
        <v>3</v>
      </c>
      <c r="I218" s="174" t="n">
        <v>4</v>
      </c>
      <c r="J218" s="174" t="n">
        <v>4</v>
      </c>
      <c r="K218" s="174" t="n">
        <v>4</v>
      </c>
      <c r="L218" s="174" t="n">
        <v>4</v>
      </c>
      <c r="M218" s="174" t="n">
        <v>5</v>
      </c>
      <c r="N218" s="174" t="n">
        <v>5</v>
      </c>
      <c r="O218" s="174" t="n">
        <v>4</v>
      </c>
      <c r="P218" s="173" t="inlineStr">
        <is>
          <t>3 · Delivers right-first-time; improves own checklists
4 · Redesigns team processes; reduces error rates measurably</t>
        </is>
      </c>
      <c r="Q218" s="173" t="inlineStr">
        <is>
          <t>quality, validation, accura</t>
        </is>
      </c>
      <c r="R218" s="173" t="inlineStr">
        <is>
          <t>Work sample / case</t>
        </is>
      </c>
      <c r="S218" s="173" t="inlineStr">
        <is>
          <t>Lean / Six Sigma · optional</t>
        </is>
      </c>
      <c r="T218" s="173" t="inlineStr">
        <is>
          <t>Family set</t>
        </is>
      </c>
    </row>
    <row r="219" ht="54" customHeight="1">
      <c r="A219" s="173" t="inlineStr">
        <is>
          <t>Functional</t>
        </is>
      </c>
      <c r="B219" s="173" t="inlineStr">
        <is>
          <t>Communication &amp; Presentation</t>
        </is>
      </c>
      <c r="C219" s="173" t="inlineStr">
        <is>
          <t>Writes and presents clearly to clients and teams.</t>
        </is>
      </c>
      <c r="D219" s="173" t="inlineStr">
        <is>
          <t>—</t>
        </is>
      </c>
      <c r="E219" s="174" t="n">
        <v>1</v>
      </c>
      <c r="F219" s="174" t="n">
        <v>2</v>
      </c>
      <c r="G219" s="174" t="n">
        <v>3</v>
      </c>
      <c r="H219" s="174" t="n">
        <v>3</v>
      </c>
      <c r="I219" s="174" t="n">
        <v>4</v>
      </c>
      <c r="J219" s="174" t="n">
        <v>4</v>
      </c>
      <c r="K219" s="174" t="n">
        <v>4</v>
      </c>
      <c r="L219" s="174" t="n">
        <v>4</v>
      </c>
      <c r="M219" s="174" t="n">
        <v>5</v>
      </c>
      <c r="N219" s="174" t="n">
        <v>5</v>
      </c>
      <c r="O219" s="174" t="n">
        <v>4</v>
      </c>
      <c r="P219" s="173" t="inlineStr">
        <is>
          <t>3 · Writes and presents clearly to clients and teams
4 · Presents to senior stakeholders; shapes messaging</t>
        </is>
      </c>
      <c r="Q219" s="173" t="inlineStr">
        <is>
          <t>communication, writing, explain, documentation</t>
        </is>
      </c>
      <c r="R219" s="173" t="inlineStr">
        <is>
          <t>Presentation / writing test</t>
        </is>
      </c>
      <c r="S219" s="173" t="inlineStr">
        <is>
          <t>—</t>
        </is>
      </c>
      <c r="T219" s="173" t="inlineStr">
        <is>
          <t>Family set</t>
        </is>
      </c>
    </row>
    <row r="220" ht="28" customHeight="1">
      <c r="A220" s="134" t="inlineStr">
        <is>
          <t>Leadership</t>
        </is>
      </c>
      <c r="B220" s="134" t="inlineStr">
        <is>
          <t>Leadership cluster · 4 competencies, part C</t>
        </is>
      </c>
      <c r="C220" s="134" t="inlineStr">
        <is>
          <t>Leading people, decisions, strategy and change</t>
        </is>
      </c>
      <c r="D220" s="134" t="inlineStr">
        <is>
          <t>POD Leads and People Managers</t>
        </is>
      </c>
      <c r="E220" s="47" t="inlineStr">
        <is>
          <t>—</t>
        </is>
      </c>
      <c r="F220" s="47" t="inlineStr">
        <is>
          <t>—</t>
        </is>
      </c>
      <c r="G220" s="47" t="inlineStr">
        <is>
          <t>—</t>
        </is>
      </c>
      <c r="H220" s="47" t="inlineStr">
        <is>
          <t>1/2</t>
        </is>
      </c>
      <c r="I220" s="47" t="inlineStr">
        <is>
          <t>2/3</t>
        </is>
      </c>
      <c r="J220" s="47" t="inlineStr">
        <is>
          <t>3/4</t>
        </is>
      </c>
      <c r="K220" s="47" t="inlineStr">
        <is>
          <t>4/4</t>
        </is>
      </c>
      <c r="L220" s="47" t="inlineStr">
        <is>
          <t>4/4</t>
        </is>
      </c>
      <c r="M220" s="47" t="inlineStr">
        <is>
          <t>4/4</t>
        </is>
      </c>
      <c r="N220" s="47" t="inlineStr">
        <is>
          <t>5/5</t>
        </is>
      </c>
      <c r="O220" s="47" t="inlineStr">
        <is>
          <t>5/5</t>
        </is>
      </c>
      <c r="P220" s="134" t="inlineStr">
        <is>
          <t>Required level shown as IC / Manager</t>
        </is>
      </c>
      <c r="Q220" s="134" t="inlineStr">
        <is>
          <t>—</t>
        </is>
      </c>
      <c r="R220" s="134" t="inlineStr">
        <is>
          <t>Behavioural interview; 360 feedback</t>
        </is>
      </c>
      <c r="S220" s="134" t="inlineStr">
        <is>
          <t>—</t>
        </is>
      </c>
      <c r="T220" s="134" t="inlineStr">
        <is>
          <t>S14, S15, S16</t>
        </is>
      </c>
    </row>
    <row r="221" ht="15" customHeight="1"/>
    <row r="222" ht="15" customHeight="1">
      <c r="A222" s="12" t="inlineStr">
        <is>
          <t>Job family</t>
        </is>
      </c>
      <c r="B222" s="12" t="inlineStr">
        <is>
          <t>Education / credentials</t>
        </is>
      </c>
      <c r="C222" s="209" t="n"/>
      <c r="D222" s="12" t="inlineStr">
        <is>
          <t>Gate requirements</t>
        </is>
      </c>
      <c r="E222" s="209" t="n"/>
      <c r="F222" s="12" t="inlineStr">
        <is>
          <t>Learning focus — Band A</t>
        </is>
      </c>
      <c r="G222" s="210" t="n"/>
      <c r="H222" s="210" t="n"/>
      <c r="I222" s="210" t="n"/>
      <c r="J222" s="210" t="n"/>
      <c r="K222" s="209" t="n"/>
      <c r="L222" s="12" t="inlineStr">
        <is>
          <t>Learning focus — Band B</t>
        </is>
      </c>
      <c r="M222" s="210" t="n"/>
      <c r="N222" s="210" t="n"/>
      <c r="O222" s="210" t="n"/>
      <c r="P222" s="209" t="n"/>
      <c r="Q222" s="12" t="inlineStr">
        <is>
          <t>Learning focus — Band C+</t>
        </is>
      </c>
      <c r="R222" s="209" t="n"/>
      <c r="S222" s="12" t="inlineStr">
        <is>
          <t>Future skills</t>
        </is>
      </c>
      <c r="T222" s="209" t="n"/>
    </row>
    <row r="223" ht="80" customHeight="1">
      <c r="A223" s="13" t="inlineStr">
        <is>
          <t>Quality Assurance</t>
        </is>
      </c>
      <c r="B223" s="16" t="inlineStr">
        <is>
          <t>BE / B.Tech / MCA / B.Sc</t>
        </is>
      </c>
      <c r="C223" s="209" t="n"/>
      <c r="D223" s="16" t="inlineStr">
        <is>
          <t>ISTQB or equivalent preferred from B1</t>
        </is>
      </c>
      <c r="E223" s="209" t="n"/>
      <c r="F223" s="16" t="inlineStr">
        <is>
          <t>Mandatory path · POSH, Code of Conduct, InfoSec; Test Automation &amp; QA Engineering, Product, Platform &amp; Domain Knowledge to Working → Practitioner; AI literacy to 2; learn by mentoring and KT.</t>
        </is>
      </c>
      <c r="G223" s="210" t="n"/>
      <c r="H223" s="210" t="n"/>
      <c r="I223" s="210" t="n"/>
      <c r="J223" s="210" t="n"/>
      <c r="K223" s="209" t="n"/>
      <c r="L223" s="16" t="inlineStr">
        <is>
          <t>Test Automation &amp; QA Engineering, Product, Platform &amp; Domain Knowledge to Advanced; Database, SQL &amp; Data Engineering, AI, GenAI &amp; Prompt Engineering, Process Improvement &amp; Quality Mindset to Practitioner; POD Leads / Managers: leading people, delegation, feedback.</t>
        </is>
      </c>
      <c r="M223" s="210" t="n"/>
      <c r="N223" s="210" t="n"/>
      <c r="O223" s="210" t="n"/>
      <c r="P223" s="209" t="n"/>
      <c r="Q223" s="16" t="inlineStr">
        <is>
          <t>Expert in one must-have; strategy &amp; business acumen; building the bench; AI-enabled processes for the function.</t>
        </is>
      </c>
      <c r="R223" s="209" t="n"/>
      <c r="S223" s="16" t="inlineStr">
        <is>
          <t>AI-assisted test generation, API &amp; performance testing, test-data privacy</t>
        </is>
      </c>
      <c r="T223" s="209" t="n"/>
    </row>
    <row r="224" ht="15" customHeight="1"/>
    <row r="225" ht="15" customHeight="1"/>
    <row r="226" ht="20" customHeight="1">
      <c r="A226" s="172" t="inlineStr">
        <is>
          <t>Datatech Business Head — 1 person · General management · levels D2</t>
        </is>
      </c>
    </row>
    <row r="227" ht="15" customHeight="1">
      <c r="A227" s="17" t="inlineStr">
        <is>
          <t>Job families: Executive Leadership</t>
        </is>
      </c>
    </row>
    <row r="228" ht="15" customHeight="1">
      <c r="A228" s="12" t="inlineStr">
        <is>
          <t>Capability health today · indicative, from survey + KRAs</t>
        </is>
      </c>
      <c r="B228" s="210" t="n"/>
      <c r="C228" s="210" t="n"/>
      <c r="D228" s="210" t="n"/>
      <c r="E228" s="209" t="n"/>
      <c r="F228" s="12" t="inlineStr">
        <is>
          <t>Result</t>
        </is>
      </c>
      <c r="G228" s="210" t="n"/>
      <c r="H228" s="210" t="n"/>
      <c r="I228" s="210" t="n"/>
      <c r="J228" s="210" t="n"/>
      <c r="K228" s="210" t="n"/>
      <c r="L228" s="210" t="n"/>
      <c r="M228" s="210" t="n"/>
      <c r="N228" s="210" t="n"/>
      <c r="O228" s="210" t="n"/>
      <c r="P228" s="210" t="n"/>
      <c r="Q228" s="210" t="n"/>
      <c r="R228" s="209" t="n"/>
    </row>
    <row r="229" ht="15" customHeight="1">
      <c r="A229" s="13" t="inlineStr">
        <is>
          <t>People assessed · meet or exceed their level</t>
        </is>
      </c>
      <c r="B229" s="210" t="n"/>
      <c r="C229" s="210" t="n"/>
      <c r="D229" s="210" t="n"/>
      <c r="E229" s="209" t="n"/>
      <c r="F229" s="16" t="inlineStr">
        <is>
          <t>0 · 0</t>
        </is>
      </c>
      <c r="G229" s="210" t="n"/>
      <c r="H229" s="210" t="n"/>
      <c r="I229" s="210" t="n"/>
      <c r="J229" s="210" t="n"/>
      <c r="K229" s="210" t="n"/>
      <c r="L229" s="210" t="n"/>
      <c r="M229" s="210" t="n"/>
      <c r="N229" s="210" t="n"/>
      <c r="O229" s="210" t="n"/>
      <c r="P229" s="210" t="n"/>
      <c r="Q229" s="210" t="n"/>
      <c r="R229" s="209" t="n"/>
    </row>
    <row r="230" ht="15" customHeight="1">
      <c r="A230" s="13" t="inlineStr">
        <is>
          <t>Average index · Core · Future-ready · Functional · Leadership · % of required</t>
        </is>
      </c>
      <c r="B230" s="210" t="n"/>
      <c r="C230" s="210" t="n"/>
      <c r="D230" s="210" t="n"/>
      <c r="E230" s="209" t="n"/>
      <c r="F230" s="16" t="inlineStr">
        <is>
          <t>—% · —% · —% · —% · —%</t>
        </is>
      </c>
      <c r="G230" s="210" t="n"/>
      <c r="H230" s="210" t="n"/>
      <c r="I230" s="210" t="n"/>
      <c r="J230" s="210" t="n"/>
      <c r="K230" s="210" t="n"/>
      <c r="L230" s="210" t="n"/>
      <c r="M230" s="210" t="n"/>
      <c r="N230" s="210" t="n"/>
      <c r="O230" s="210" t="n"/>
      <c r="P230" s="210" t="n"/>
      <c r="Q230" s="210" t="n"/>
      <c r="R230" s="209" t="n"/>
    </row>
    <row r="231" ht="15" customHeight="1">
      <c r="A231" s="13" t="inlineStr">
        <is>
          <t>Most common competency gaps · people</t>
        </is>
      </c>
      <c r="B231" s="210" t="n"/>
      <c r="C231" s="210" t="n"/>
      <c r="D231" s="210" t="n"/>
      <c r="E231" s="209" t="n"/>
      <c r="F231" s="16" t="inlineStr">
        <is>
          <t>—</t>
        </is>
      </c>
      <c r="G231" s="210" t="n"/>
      <c r="H231" s="210" t="n"/>
      <c r="I231" s="210" t="n"/>
      <c r="J231" s="210" t="n"/>
      <c r="K231" s="210" t="n"/>
      <c r="L231" s="210" t="n"/>
      <c r="M231" s="210" t="n"/>
      <c r="N231" s="210" t="n"/>
      <c r="O231" s="210" t="n"/>
      <c r="P231" s="210" t="n"/>
      <c r="Q231" s="210" t="n"/>
      <c r="R231" s="209" t="n"/>
    </row>
    <row r="232" ht="15" customHeight="1">
      <c r="A232" s="13" t="inlineStr">
        <is>
          <t>Role-based development priorities · people</t>
        </is>
      </c>
      <c r="B232" s="210" t="n"/>
      <c r="C232" s="210" t="n"/>
      <c r="D232" s="210" t="n"/>
      <c r="E232" s="209" t="n"/>
      <c r="F232" s="16" t="inlineStr">
        <is>
          <t>Strategic Thinking &amp; Business Acumen</t>
        </is>
      </c>
      <c r="G232" s="210" t="n"/>
      <c r="H232" s="210" t="n"/>
      <c r="I232" s="210" t="n"/>
      <c r="J232" s="210" t="n"/>
      <c r="K232" s="210" t="n"/>
      <c r="L232" s="210" t="n"/>
      <c r="M232" s="210" t="n"/>
      <c r="N232" s="210" t="n"/>
      <c r="O232" s="210" t="n"/>
      <c r="P232" s="210" t="n"/>
      <c r="Q232" s="210" t="n"/>
      <c r="R232" s="209" t="n"/>
    </row>
    <row r="233" ht="15" customHeight="1">
      <c r="A233" s="13" t="inlineStr">
        <is>
          <t>Manager-identified training themes</t>
        </is>
      </c>
      <c r="B233" s="210" t="n"/>
      <c r="C233" s="210" t="n"/>
      <c r="D233" s="210" t="n"/>
      <c r="E233" s="209" t="n"/>
      <c r="F233" s="16" t="inlineStr">
        <is>
          <t>Leaderdership coaching and stakeholder management, | leadership coaching</t>
        </is>
      </c>
      <c r="G233" s="210" t="n"/>
      <c r="H233" s="210" t="n"/>
      <c r="I233" s="210" t="n"/>
      <c r="J233" s="210" t="n"/>
      <c r="K233" s="210" t="n"/>
      <c r="L233" s="210" t="n"/>
      <c r="M233" s="210" t="n"/>
      <c r="N233" s="210" t="n"/>
      <c r="O233" s="210" t="n"/>
      <c r="P233" s="210" t="n"/>
      <c r="Q233" s="210" t="n"/>
      <c r="R233" s="209" t="n"/>
    </row>
    <row r="234" ht="15" customHeight="1">
      <c r="A234" s="13" t="inlineStr">
        <is>
          <t>What helped people learn · survey</t>
        </is>
      </c>
      <c r="B234" s="210" t="n"/>
      <c r="C234" s="210" t="n"/>
      <c r="D234" s="210" t="n"/>
      <c r="E234" s="209" t="n"/>
      <c r="F234" s="16" t="inlineStr">
        <is>
          <r>
            <rPr>
              <rFont val="Calibri"/>
              <b val="1"/>
              <sz val="10"/>
            </rPr>
            <t>Withheld:</t>
          </r>
          <r>
            <rPr>
              <rFont val="Calibri"/>
              <sz val="10"/>
            </rPr>
            <t xml:space="preserve"> fewer than 3 role-holders answered the survey, so answers would identify a person · IRIS role catalogue entry to follow</t>
          </r>
        </is>
      </c>
      <c r="G234" s="210" t="n"/>
      <c r="H234" s="210" t="n"/>
      <c r="I234" s="210" t="n"/>
      <c r="J234" s="210" t="n"/>
      <c r="K234" s="210" t="n"/>
      <c r="L234" s="210" t="n"/>
      <c r="M234" s="210" t="n"/>
      <c r="N234" s="210" t="n"/>
      <c r="O234" s="210" t="n"/>
      <c r="P234" s="210" t="n"/>
      <c r="Q234" s="210" t="n"/>
      <c r="R234" s="209" t="n"/>
    </row>
    <row r="235" ht="15" customHeight="1">
      <c r="A235" s="13" t="inlineStr">
        <is>
          <t>How the work is changing</t>
        </is>
      </c>
      <c r="B235" s="210" t="n"/>
      <c r="C235" s="210" t="n"/>
      <c r="D235" s="210" t="n"/>
      <c r="E235" s="209" t="n"/>
      <c r="F235" s="16" t="inlineStr">
        <is>
          <t>—</t>
        </is>
      </c>
      <c r="G235" s="210" t="n"/>
      <c r="H235" s="210" t="n"/>
      <c r="I235" s="210" t="n"/>
      <c r="J235" s="210" t="n"/>
      <c r="K235" s="210" t="n"/>
      <c r="L235" s="210" t="n"/>
      <c r="M235" s="210" t="n"/>
      <c r="N235" s="210" t="n"/>
      <c r="O235" s="210" t="n"/>
      <c r="P235" s="210" t="n"/>
      <c r="Q235" s="210" t="n"/>
      <c r="R235" s="209" t="n"/>
    </row>
    <row r="236" ht="15" customHeight="1">
      <c r="A236" s="13" t="inlineStr">
        <is>
          <t>Lateral moves the evidence supports · people</t>
        </is>
      </c>
      <c r="B236" s="210" t="n"/>
      <c r="C236" s="210" t="n"/>
      <c r="D236" s="210" t="n"/>
      <c r="E236" s="209" t="n"/>
      <c r="F236" s="16" t="inlineStr">
        <is>
          <t>No strong match yet</t>
        </is>
      </c>
      <c r="G236" s="210" t="n"/>
      <c r="H236" s="210" t="n"/>
      <c r="I236" s="210" t="n"/>
      <c r="J236" s="210" t="n"/>
      <c r="K236" s="210" t="n"/>
      <c r="L236" s="210" t="n"/>
      <c r="M236" s="210" t="n"/>
      <c r="N236" s="210" t="n"/>
      <c r="O236" s="210" t="n"/>
      <c r="P236" s="210" t="n"/>
      <c r="Q236" s="210" t="n"/>
      <c r="R236" s="209" t="n"/>
    </row>
    <row r="237" ht="15" customHeight="1"/>
    <row r="238" ht="28" customHeight="1">
      <c r="A238" s="12" t="inlineStr">
        <is>
          <t>Cluster</t>
        </is>
      </c>
      <c r="B238" s="12" t="inlineStr">
        <is>
          <t>Competency · ★ = must-have</t>
        </is>
      </c>
      <c r="C238" s="12" t="inlineStr">
        <is>
          <t>Definition</t>
        </is>
      </c>
      <c r="D238" s="12" t="inlineStr">
        <is>
          <t>Must-have for</t>
        </is>
      </c>
      <c r="E238" s="12" t="inlineStr">
        <is>
          <t>A1</t>
        </is>
      </c>
      <c r="F238" s="12" t="inlineStr">
        <is>
          <t>A2</t>
        </is>
      </c>
      <c r="G238" s="12" t="inlineStr">
        <is>
          <t>A3</t>
        </is>
      </c>
      <c r="H238" s="12" t="inlineStr">
        <is>
          <t>B1</t>
        </is>
      </c>
      <c r="I238" s="12" t="inlineStr">
        <is>
          <t>B2</t>
        </is>
      </c>
      <c r="J238" s="12" t="inlineStr">
        <is>
          <t>B3</t>
        </is>
      </c>
      <c r="K238" s="12" t="inlineStr">
        <is>
          <t>B+</t>
        </is>
      </c>
      <c r="L238" s="12" t="inlineStr">
        <is>
          <t>C1</t>
        </is>
      </c>
      <c r="M238" s="12" t="inlineStr">
        <is>
          <t>C2</t>
        </is>
      </c>
      <c r="N238" s="12" t="inlineStr">
        <is>
          <t>C+</t>
        </is>
      </c>
      <c r="O238" s="12" t="inlineStr">
        <is>
          <t>D1</t>
        </is>
      </c>
      <c r="P238" s="12" t="inlineStr">
        <is>
          <t>What good looks like · by proficiency</t>
        </is>
      </c>
      <c r="Q238" s="12" t="inlineStr">
        <is>
          <t>What IRIS top performers do · survey</t>
        </is>
      </c>
      <c r="R238" s="12" t="inlineStr">
        <is>
          <t>How to assess</t>
        </is>
      </c>
      <c r="S238" s="12" t="inlineStr">
        <is>
          <t>Credentials</t>
        </is>
      </c>
      <c r="T238" s="12" t="inlineStr">
        <is>
          <t>Reference</t>
        </is>
      </c>
    </row>
    <row r="239" ht="54" customHeight="1">
      <c r="A239" s="173" t="inlineStr">
        <is>
          <t>Functional</t>
        </is>
      </c>
      <c r="B239" s="173" t="inlineStr">
        <is>
          <t>★ Strategic Thinking &amp; Business Acumen</t>
        </is>
      </c>
      <c r="C239" s="173" t="inlineStr">
        <is>
          <t>Links work to business outcomes, budgets and strategy.</t>
        </is>
      </c>
      <c r="D239" s="173" t="inlineStr">
        <is>
          <t>Executive Leadership</t>
        </is>
      </c>
      <c r="E239" s="174" t="n">
        <v>1</v>
      </c>
      <c r="F239" s="174" t="n">
        <v>2</v>
      </c>
      <c r="G239" s="174" t="n">
        <v>3</v>
      </c>
      <c r="H239" s="174" t="n">
        <v>3</v>
      </c>
      <c r="I239" s="174" t="n">
        <v>4</v>
      </c>
      <c r="J239" s="174" t="n">
        <v>4</v>
      </c>
      <c r="K239" s="174" t="n">
        <v>4</v>
      </c>
      <c r="L239" s="174" t="n">
        <v>4</v>
      </c>
      <c r="M239" s="174" t="n">
        <v>5</v>
      </c>
      <c r="N239" s="174" t="n">
        <v>5</v>
      </c>
      <c r="O239" s="174" t="n">
        <v>4</v>
      </c>
      <c r="P239" s="173" t="inlineStr">
        <is>
          <t>3 · Connects work to business goals and budgets
4 · Shapes strategy, pricing or investment choices</t>
        </is>
      </c>
      <c r="Q239" s="173" t="inlineStr">
        <is>
          <t>—</t>
        </is>
      </c>
      <c r="R239" s="173" t="inlineStr">
        <is>
          <t>Case interview</t>
        </is>
      </c>
      <c r="S239" s="173" t="inlineStr">
        <is>
          <t>MBA / PGDM · preferred at C+</t>
        </is>
      </c>
      <c r="T239" s="173" t="inlineStr">
        <is>
          <t>Family set</t>
        </is>
      </c>
    </row>
    <row r="240" ht="54" customHeight="1">
      <c r="A240" s="173" t="inlineStr">
        <is>
          <t>Functional</t>
        </is>
      </c>
      <c r="B240" s="173" t="inlineStr">
        <is>
          <t>★ People Leadership &amp; Mentoring</t>
        </is>
      </c>
      <c r="C240" s="173" t="inlineStr">
        <is>
          <t>Allocates, coaches and develops people.</t>
        </is>
      </c>
      <c r="D240" s="173" t="inlineStr">
        <is>
          <t>Executive Leadership</t>
        </is>
      </c>
      <c r="E240" s="174" t="n">
        <v>1</v>
      </c>
      <c r="F240" s="174" t="n">
        <v>2</v>
      </c>
      <c r="G240" s="174" t="n">
        <v>3</v>
      </c>
      <c r="H240" s="174" t="n">
        <v>3</v>
      </c>
      <c r="I240" s="174" t="n">
        <v>4</v>
      </c>
      <c r="J240" s="174" t="n">
        <v>4</v>
      </c>
      <c r="K240" s="174" t="n">
        <v>4</v>
      </c>
      <c r="L240" s="174" t="n">
        <v>4</v>
      </c>
      <c r="M240" s="174" t="n">
        <v>5</v>
      </c>
      <c r="N240" s="174" t="n">
        <v>5</v>
      </c>
      <c r="O240" s="174" t="n">
        <v>4</v>
      </c>
      <c r="P240" s="173" t="inlineStr">
        <is>
          <t>3 · Coaches and allocates work
4 · Leads leaders; builds succession</t>
        </is>
      </c>
      <c r="Q240" s="173" t="inlineStr">
        <is>
          <t>—</t>
        </is>
      </c>
      <c r="R240" s="173" t="inlineStr">
        <is>
          <t>Behavioural interview</t>
        </is>
      </c>
      <c r="S240" s="173" t="inlineStr">
        <is>
          <t>—</t>
        </is>
      </c>
      <c r="T240" s="173" t="inlineStr">
        <is>
          <t>Family set</t>
        </is>
      </c>
    </row>
    <row r="241" ht="67" customHeight="1">
      <c r="A241" s="173" t="inlineStr">
        <is>
          <t>Functional</t>
        </is>
      </c>
      <c r="B241" s="173" t="inlineStr">
        <is>
          <t>Stakeholder &amp; Client Management</t>
        </is>
      </c>
      <c r="C241" s="173" t="inlineStr">
        <is>
          <t>Manages clients and stakeholders; handles changing requests.</t>
        </is>
      </c>
      <c r="D241" s="173" t="inlineStr">
        <is>
          <t>—</t>
        </is>
      </c>
      <c r="E241" s="174" t="n">
        <v>1</v>
      </c>
      <c r="F241" s="174" t="n">
        <v>2</v>
      </c>
      <c r="G241" s="174" t="n">
        <v>3</v>
      </c>
      <c r="H241" s="174" t="n">
        <v>3</v>
      </c>
      <c r="I241" s="174" t="n">
        <v>4</v>
      </c>
      <c r="J241" s="174" t="n">
        <v>4</v>
      </c>
      <c r="K241" s="174" t="n">
        <v>4</v>
      </c>
      <c r="L241" s="174" t="n">
        <v>4</v>
      </c>
      <c r="M241" s="174" t="n">
        <v>5</v>
      </c>
      <c r="N241" s="174" t="n">
        <v>5</v>
      </c>
      <c r="O241" s="174" t="n">
        <v>4</v>
      </c>
      <c r="P241" s="173" t="inlineStr">
        <is>
          <t>3 · Manages client communication and expectations for own work
4 · Owns key relationships; resolves escalations</t>
        </is>
      </c>
      <c r="Q241" s="173" t="inlineStr">
        <is>
          <t>—</t>
        </is>
      </c>
      <c r="R241" s="173" t="inlineStr">
        <is>
          <t>Role play / behavioural interview</t>
        </is>
      </c>
      <c r="S241" s="173" t="inlineStr">
        <is>
          <t>—</t>
        </is>
      </c>
      <c r="T241" s="173" t="inlineStr">
        <is>
          <t>Family set</t>
        </is>
      </c>
    </row>
    <row r="242" ht="54" customHeight="1">
      <c r="A242" s="173" t="inlineStr">
        <is>
          <t>Functional</t>
        </is>
      </c>
      <c r="B242" s="173" t="inlineStr">
        <is>
          <t>Product, Platform &amp; Domain Knowledge</t>
        </is>
      </c>
      <c r="C242" s="173" t="inlineStr">
        <is>
          <t>Knows IRIS products, platforms and the client's domain.</t>
        </is>
      </c>
      <c r="D242" s="173" t="inlineStr">
        <is>
          <t>—</t>
        </is>
      </c>
      <c r="E242" s="174" t="n">
        <v>1</v>
      </c>
      <c r="F242" s="174" t="n">
        <v>2</v>
      </c>
      <c r="G242" s="174" t="n">
        <v>3</v>
      </c>
      <c r="H242" s="174" t="n">
        <v>3</v>
      </c>
      <c r="I242" s="174" t="n">
        <v>4</v>
      </c>
      <c r="J242" s="174" t="n">
        <v>4</v>
      </c>
      <c r="K242" s="174" t="n">
        <v>4</v>
      </c>
      <c r="L242" s="174" t="n">
        <v>4</v>
      </c>
      <c r="M242" s="174" t="n">
        <v>5</v>
      </c>
      <c r="N242" s="174" t="n">
        <v>5</v>
      </c>
      <c r="O242" s="174" t="n">
        <v>4</v>
      </c>
      <c r="P242" s="173" t="inlineStr">
        <is>
          <t>3 · Handles most product and domain scenarios
4 · Recognised product / domain expert; trains others</t>
        </is>
      </c>
      <c r="Q242" s="173" t="inlineStr">
        <is>
          <t>—</t>
        </is>
      </c>
      <c r="R242" s="173" t="inlineStr">
        <is>
          <t>Scenario interview</t>
        </is>
      </c>
      <c r="S242" s="173" t="inlineStr">
        <is>
          <t>Internal product certification</t>
        </is>
      </c>
      <c r="T242" s="173" t="inlineStr">
        <is>
          <t>Family set</t>
        </is>
      </c>
    </row>
    <row r="243" ht="54" customHeight="1">
      <c r="A243" s="173" t="inlineStr">
        <is>
          <t>Functional</t>
        </is>
      </c>
      <c r="B243" s="173" t="inlineStr">
        <is>
          <t>Regulatory &amp; BFSI Domain</t>
        </is>
      </c>
      <c r="C243" s="173" t="inlineStr">
        <is>
          <t>Understands regulators, returns, filings and BFSI rules.</t>
        </is>
      </c>
      <c r="D243" s="173" t="inlineStr">
        <is>
          <t>—</t>
        </is>
      </c>
      <c r="E243" s="174" t="n">
        <v>1</v>
      </c>
      <c r="F243" s="174" t="n">
        <v>2</v>
      </c>
      <c r="G243" s="174" t="n">
        <v>3</v>
      </c>
      <c r="H243" s="174" t="n">
        <v>3</v>
      </c>
      <c r="I243" s="174" t="n">
        <v>4</v>
      </c>
      <c r="J243" s="174" t="n">
        <v>4</v>
      </c>
      <c r="K243" s="174" t="n">
        <v>4</v>
      </c>
      <c r="L243" s="174" t="n">
        <v>4</v>
      </c>
      <c r="M243" s="174" t="n">
        <v>5</v>
      </c>
      <c r="N243" s="174" t="n">
        <v>5</v>
      </c>
      <c r="O243" s="174" t="n">
        <v>4</v>
      </c>
      <c r="P243" s="173" t="inlineStr">
        <is>
          <t>3 · Knows the relevant regulators, returns and rules
4 · Interprets new regulation; advises clients and product</t>
        </is>
      </c>
      <c r="Q243" s="173" t="inlineStr">
        <is>
          <t>—</t>
        </is>
      </c>
      <c r="R243" s="173" t="inlineStr">
        <is>
          <t>Domain interview</t>
        </is>
      </c>
      <c r="S243" s="173" t="inlineStr">
        <is>
          <t>Domain certifications · optional</t>
        </is>
      </c>
      <c r="T243" s="173" t="inlineStr">
        <is>
          <t>Family set</t>
        </is>
      </c>
    </row>
    <row r="244" ht="54" customHeight="1">
      <c r="A244" s="173" t="inlineStr">
        <is>
          <t>Functional</t>
        </is>
      </c>
      <c r="B244" s="173" t="inlineStr">
        <is>
          <t>Communication &amp; Presentation</t>
        </is>
      </c>
      <c r="C244" s="173" t="inlineStr">
        <is>
          <t>Writes and presents clearly to clients and teams.</t>
        </is>
      </c>
      <c r="D244" s="173" t="inlineStr">
        <is>
          <t>—</t>
        </is>
      </c>
      <c r="E244" s="174" t="n">
        <v>1</v>
      </c>
      <c r="F244" s="174" t="n">
        <v>2</v>
      </c>
      <c r="G244" s="174" t="n">
        <v>3</v>
      </c>
      <c r="H244" s="174" t="n">
        <v>3</v>
      </c>
      <c r="I244" s="174" t="n">
        <v>4</v>
      </c>
      <c r="J244" s="174" t="n">
        <v>4</v>
      </c>
      <c r="K244" s="174" t="n">
        <v>4</v>
      </c>
      <c r="L244" s="174" t="n">
        <v>4</v>
      </c>
      <c r="M244" s="174" t="n">
        <v>5</v>
      </c>
      <c r="N244" s="174" t="n">
        <v>5</v>
      </c>
      <c r="O244" s="174" t="n">
        <v>4</v>
      </c>
      <c r="P244" s="173" t="inlineStr">
        <is>
          <t>3 · Writes and presents clearly to clients and teams
4 · Presents to senior stakeholders; shapes messaging</t>
        </is>
      </c>
      <c r="Q244" s="173" t="inlineStr">
        <is>
          <t>—</t>
        </is>
      </c>
      <c r="R244" s="173" t="inlineStr">
        <is>
          <t>Presentation / writing test</t>
        </is>
      </c>
      <c r="S244" s="173" t="inlineStr">
        <is>
          <t>—</t>
        </is>
      </c>
      <c r="T244" s="173" t="inlineStr">
        <is>
          <t>Family set</t>
        </is>
      </c>
    </row>
    <row r="245" ht="28" customHeight="1">
      <c r="A245" s="134" t="inlineStr">
        <is>
          <t>Leadership</t>
        </is>
      </c>
      <c r="B245" s="134" t="inlineStr">
        <is>
          <t>Leadership cluster · 4 competencies, part C</t>
        </is>
      </c>
      <c r="C245" s="134" t="inlineStr">
        <is>
          <t>Leading people, decisions, strategy and change</t>
        </is>
      </c>
      <c r="D245" s="134" t="inlineStr">
        <is>
          <t>POD Leads and People Managers</t>
        </is>
      </c>
      <c r="E245" s="47" t="inlineStr">
        <is>
          <t>—</t>
        </is>
      </c>
      <c r="F245" s="47" t="inlineStr">
        <is>
          <t>—</t>
        </is>
      </c>
      <c r="G245" s="47" t="inlineStr">
        <is>
          <t>—</t>
        </is>
      </c>
      <c r="H245" s="47" t="inlineStr">
        <is>
          <t>1/2</t>
        </is>
      </c>
      <c r="I245" s="47" t="inlineStr">
        <is>
          <t>2/3</t>
        </is>
      </c>
      <c r="J245" s="47" t="inlineStr">
        <is>
          <t>3/4</t>
        </is>
      </c>
      <c r="K245" s="47" t="inlineStr">
        <is>
          <t>4/4</t>
        </is>
      </c>
      <c r="L245" s="47" t="inlineStr">
        <is>
          <t>4/4</t>
        </is>
      </c>
      <c r="M245" s="47" t="inlineStr">
        <is>
          <t>4/4</t>
        </is>
      </c>
      <c r="N245" s="47" t="inlineStr">
        <is>
          <t>5/5</t>
        </is>
      </c>
      <c r="O245" s="47" t="inlineStr">
        <is>
          <t>5/5</t>
        </is>
      </c>
      <c r="P245" s="134" t="inlineStr">
        <is>
          <t>Required level shown as IC / Manager</t>
        </is>
      </c>
      <c r="Q245" s="134" t="inlineStr">
        <is>
          <t>—</t>
        </is>
      </c>
      <c r="R245" s="134" t="inlineStr">
        <is>
          <t>Behavioural interview; 360 feedback</t>
        </is>
      </c>
      <c r="S245" s="134" t="inlineStr">
        <is>
          <t>—</t>
        </is>
      </c>
      <c r="T245" s="134" t="inlineStr">
        <is>
          <t>S14, S15, S16</t>
        </is>
      </c>
    </row>
    <row r="246" ht="15" customHeight="1"/>
    <row r="247" ht="15" customHeight="1">
      <c r="A247" s="12" t="inlineStr">
        <is>
          <t>Job family</t>
        </is>
      </c>
      <c r="B247" s="12" t="inlineStr">
        <is>
          <t>Education / credentials</t>
        </is>
      </c>
      <c r="C247" s="209" t="n"/>
      <c r="D247" s="12" t="inlineStr">
        <is>
          <t>Gate requirements</t>
        </is>
      </c>
      <c r="E247" s="209" t="n"/>
      <c r="F247" s="12" t="inlineStr">
        <is>
          <t>Learning focus — Band A</t>
        </is>
      </c>
      <c r="G247" s="210" t="n"/>
      <c r="H247" s="210" t="n"/>
      <c r="I247" s="210" t="n"/>
      <c r="J247" s="210" t="n"/>
      <c r="K247" s="209" t="n"/>
      <c r="L247" s="12" t="inlineStr">
        <is>
          <t>Learning focus — Band B</t>
        </is>
      </c>
      <c r="M247" s="210" t="n"/>
      <c r="N247" s="210" t="n"/>
      <c r="O247" s="210" t="n"/>
      <c r="P247" s="209" t="n"/>
      <c r="Q247" s="12" t="inlineStr">
        <is>
          <t>Learning focus — Band C+</t>
        </is>
      </c>
      <c r="R247" s="209" t="n"/>
      <c r="S247" s="12" t="inlineStr">
        <is>
          <t>Future skills</t>
        </is>
      </c>
      <c r="T247" s="209" t="n"/>
    </row>
    <row r="248" ht="80" customHeight="1">
      <c r="A248" s="13" t="inlineStr">
        <is>
          <t>Executive Leadership</t>
        </is>
      </c>
      <c r="B248" s="16" t="inlineStr">
        <is>
          <t>Postgraduate / professional qualification</t>
        </is>
      </c>
      <c r="C248" s="209" t="n"/>
      <c r="D248" s="16" t="inlineStr">
        <is>
          <t>Governance, risk and regulatory accountability</t>
        </is>
      </c>
      <c r="E248" s="209" t="n"/>
      <c r="F248" s="16" t="inlineStr">
        <is>
          <t>Mandatory path · POSH, Code of Conduct, InfoSec; Strategic Thinking &amp; Business Acumen, People Leadership &amp; Mentoring to Working → Practitioner; AI literacy to 2; learn by mentoring and KT.</t>
        </is>
      </c>
      <c r="G248" s="210" t="n"/>
      <c r="H248" s="210" t="n"/>
      <c r="I248" s="210" t="n"/>
      <c r="J248" s="210" t="n"/>
      <c r="K248" s="209" t="n"/>
      <c r="L248" s="16" t="inlineStr">
        <is>
          <t>Strategic Thinking &amp; Business Acumen, People Leadership &amp; Mentoring to Advanced; Stakeholder &amp; Client Management, Product, Platform &amp; Domain Knowledge, Regulatory &amp; BFSI Domain to Practitioner; POD Leads / Managers: leading people, delegation, feedback.</t>
        </is>
      </c>
      <c r="M248" s="210" t="n"/>
      <c r="N248" s="210" t="n"/>
      <c r="O248" s="210" t="n"/>
      <c r="P248" s="209" t="n"/>
      <c r="Q248" s="16" t="inlineStr">
        <is>
          <t>Expert in one must-have; strategy &amp; business acumen; building the bench; AI-enabled processes for the function.</t>
        </is>
      </c>
      <c r="R248" s="209" t="n"/>
      <c r="S248" s="16" t="inlineStr">
        <is>
          <t>AI strategy &amp; governance, sustainability, digital business models</t>
        </is>
      </c>
      <c r="T248" s="209" t="n"/>
    </row>
    <row r="249" ht="15" customHeight="1"/>
    <row r="250" ht="15" customHeight="1"/>
    <row r="251" ht="20" customHeight="1">
      <c r="A251" s="172" t="inlineStr">
        <is>
          <t>Sales — 1 person · Sales &amp; marketing · levels C1</t>
        </is>
      </c>
    </row>
    <row r="252" ht="15" customHeight="1">
      <c r="A252" s="17" t="inlineStr">
        <is>
          <t>Job families: Sales &amp; Business Development</t>
        </is>
      </c>
    </row>
    <row r="253" ht="15" customHeight="1">
      <c r="A253" s="12" t="inlineStr">
        <is>
          <t>Capability health today · indicative, from survey + KRAs</t>
        </is>
      </c>
      <c r="B253" s="210" t="n"/>
      <c r="C253" s="210" t="n"/>
      <c r="D253" s="210" t="n"/>
      <c r="E253" s="209" t="n"/>
      <c r="F253" s="12" t="inlineStr">
        <is>
          <t>Result</t>
        </is>
      </c>
      <c r="G253" s="210" t="n"/>
      <c r="H253" s="210" t="n"/>
      <c r="I253" s="210" t="n"/>
      <c r="J253" s="210" t="n"/>
      <c r="K253" s="210" t="n"/>
      <c r="L253" s="210" t="n"/>
      <c r="M253" s="210" t="n"/>
      <c r="N253" s="210" t="n"/>
      <c r="O253" s="210" t="n"/>
      <c r="P253" s="210" t="n"/>
      <c r="Q253" s="210" t="n"/>
      <c r="R253" s="209" t="n"/>
    </row>
    <row r="254" ht="15" customHeight="1">
      <c r="A254" s="13" t="inlineStr">
        <is>
          <t>People assessed · meet or exceed their level</t>
        </is>
      </c>
      <c r="B254" s="210" t="n"/>
      <c r="C254" s="210" t="n"/>
      <c r="D254" s="210" t="n"/>
      <c r="E254" s="209" t="n"/>
      <c r="F254" s="16" t="inlineStr">
        <is>
          <t>0 · 0</t>
        </is>
      </c>
      <c r="G254" s="210" t="n"/>
      <c r="H254" s="210" t="n"/>
      <c r="I254" s="210" t="n"/>
      <c r="J254" s="210" t="n"/>
      <c r="K254" s="210" t="n"/>
      <c r="L254" s="210" t="n"/>
      <c r="M254" s="210" t="n"/>
      <c r="N254" s="210" t="n"/>
      <c r="O254" s="210" t="n"/>
      <c r="P254" s="210" t="n"/>
      <c r="Q254" s="210" t="n"/>
      <c r="R254" s="209" t="n"/>
    </row>
    <row r="255" ht="15" customHeight="1">
      <c r="A255" s="13" t="inlineStr">
        <is>
          <t>Average index · Core · Future-ready · Functional · Leadership · % of required</t>
        </is>
      </c>
      <c r="B255" s="210" t="n"/>
      <c r="C255" s="210" t="n"/>
      <c r="D255" s="210" t="n"/>
      <c r="E255" s="209" t="n"/>
      <c r="F255" s="16" t="inlineStr">
        <is>
          <t>—% · —% · —% · —% · —%</t>
        </is>
      </c>
      <c r="G255" s="210" t="n"/>
      <c r="H255" s="210" t="n"/>
      <c r="I255" s="210" t="n"/>
      <c r="J255" s="210" t="n"/>
      <c r="K255" s="210" t="n"/>
      <c r="L255" s="210" t="n"/>
      <c r="M255" s="210" t="n"/>
      <c r="N255" s="210" t="n"/>
      <c r="O255" s="210" t="n"/>
      <c r="P255" s="210" t="n"/>
      <c r="Q255" s="210" t="n"/>
      <c r="R255" s="209" t="n"/>
    </row>
    <row r="256" ht="15" customHeight="1">
      <c r="A256" s="13" t="inlineStr">
        <is>
          <t>Most common competency gaps · people</t>
        </is>
      </c>
      <c r="B256" s="210" t="n"/>
      <c r="C256" s="210" t="n"/>
      <c r="D256" s="210" t="n"/>
      <c r="E256" s="209" t="n"/>
      <c r="F256" s="16" t="inlineStr">
        <is>
          <t>—</t>
        </is>
      </c>
      <c r="G256" s="210" t="n"/>
      <c r="H256" s="210" t="n"/>
      <c r="I256" s="210" t="n"/>
      <c r="J256" s="210" t="n"/>
      <c r="K256" s="210" t="n"/>
      <c r="L256" s="210" t="n"/>
      <c r="M256" s="210" t="n"/>
      <c r="N256" s="210" t="n"/>
      <c r="O256" s="210" t="n"/>
      <c r="P256" s="210" t="n"/>
      <c r="Q256" s="210" t="n"/>
      <c r="R256" s="209" t="n"/>
    </row>
    <row r="257" ht="15" customHeight="1">
      <c r="A257" s="13" t="inlineStr">
        <is>
          <t>Role-based development priorities · people</t>
        </is>
      </c>
      <c r="B257" s="210" t="n"/>
      <c r="C257" s="210" t="n"/>
      <c r="D257" s="210" t="n"/>
      <c r="E257" s="209" t="n"/>
      <c r="F257" s="16" t="inlineStr">
        <is>
          <t>People Leadership &amp; Mentoring · Strategic Thinking &amp; Business Acumen</t>
        </is>
      </c>
      <c r="G257" s="210" t="n"/>
      <c r="H257" s="210" t="n"/>
      <c r="I257" s="210" t="n"/>
      <c r="J257" s="210" t="n"/>
      <c r="K257" s="210" t="n"/>
      <c r="L257" s="210" t="n"/>
      <c r="M257" s="210" t="n"/>
      <c r="N257" s="210" t="n"/>
      <c r="O257" s="210" t="n"/>
      <c r="P257" s="210" t="n"/>
      <c r="Q257" s="210" t="n"/>
      <c r="R257" s="209" t="n"/>
    </row>
    <row r="258" ht="15" customHeight="1">
      <c r="A258" s="13" t="inlineStr">
        <is>
          <t>Manager-identified training themes</t>
        </is>
      </c>
      <c r="B258" s="210" t="n"/>
      <c r="C258" s="210" t="n"/>
      <c r="D258" s="210" t="n"/>
      <c r="E258" s="209" t="n"/>
      <c r="F258" s="16" t="inlineStr">
        <is>
          <t>—</t>
        </is>
      </c>
      <c r="G258" s="210" t="n"/>
      <c r="H258" s="210" t="n"/>
      <c r="I258" s="210" t="n"/>
      <c r="J258" s="210" t="n"/>
      <c r="K258" s="210" t="n"/>
      <c r="L258" s="210" t="n"/>
      <c r="M258" s="210" t="n"/>
      <c r="N258" s="210" t="n"/>
      <c r="O258" s="210" t="n"/>
      <c r="P258" s="210" t="n"/>
      <c r="Q258" s="210" t="n"/>
      <c r="R258" s="209" t="n"/>
    </row>
    <row r="259" ht="15" customHeight="1">
      <c r="A259" s="13" t="inlineStr">
        <is>
          <t>What helped people learn · survey</t>
        </is>
      </c>
      <c r="B259" s="210" t="n"/>
      <c r="C259" s="210" t="n"/>
      <c r="D259" s="210" t="n"/>
      <c r="E259" s="209" t="n"/>
      <c r="F259" s="16" t="inlineStr">
        <is>
          <r>
            <rPr>
              <rFont val="Calibri"/>
              <b val="1"/>
              <sz val="10"/>
            </rPr>
            <t>Withheld:</t>
          </r>
          <r>
            <rPr>
              <rFont val="Calibri"/>
              <sz val="10"/>
            </rPr>
            <t xml:space="preserve"> fewer than 3 role-holders answered the survey, so answers would identify a person · IRIS role catalogue entry to follow</t>
          </r>
        </is>
      </c>
      <c r="G259" s="210" t="n"/>
      <c r="H259" s="210" t="n"/>
      <c r="I259" s="210" t="n"/>
      <c r="J259" s="210" t="n"/>
      <c r="K259" s="210" t="n"/>
      <c r="L259" s="210" t="n"/>
      <c r="M259" s="210" t="n"/>
      <c r="N259" s="210" t="n"/>
      <c r="O259" s="210" t="n"/>
      <c r="P259" s="210" t="n"/>
      <c r="Q259" s="210" t="n"/>
      <c r="R259" s="209" t="n"/>
    </row>
    <row r="260" ht="15" customHeight="1">
      <c r="A260" s="13" t="inlineStr">
        <is>
          <t>How the work is changing</t>
        </is>
      </c>
      <c r="B260" s="210" t="n"/>
      <c r="C260" s="210" t="n"/>
      <c r="D260" s="210" t="n"/>
      <c r="E260" s="209" t="n"/>
      <c r="F260" s="16" t="inlineStr">
        <is>
          <t>—</t>
        </is>
      </c>
      <c r="G260" s="210" t="n"/>
      <c r="H260" s="210" t="n"/>
      <c r="I260" s="210" t="n"/>
      <c r="J260" s="210" t="n"/>
      <c r="K260" s="210" t="n"/>
      <c r="L260" s="210" t="n"/>
      <c r="M260" s="210" t="n"/>
      <c r="N260" s="210" t="n"/>
      <c r="O260" s="210" t="n"/>
      <c r="P260" s="210" t="n"/>
      <c r="Q260" s="210" t="n"/>
      <c r="R260" s="209" t="n"/>
    </row>
    <row r="261" ht="15" customHeight="1">
      <c r="A261" s="13" t="inlineStr">
        <is>
          <t>Lateral moves the evidence supports · people</t>
        </is>
      </c>
      <c r="B261" s="210" t="n"/>
      <c r="C261" s="210" t="n"/>
      <c r="D261" s="210" t="n"/>
      <c r="E261" s="209" t="n"/>
      <c r="F261" s="16" t="inlineStr">
        <is>
          <t>No strong match yet</t>
        </is>
      </c>
      <c r="G261" s="210" t="n"/>
      <c r="H261" s="210" t="n"/>
      <c r="I261" s="210" t="n"/>
      <c r="J261" s="210" t="n"/>
      <c r="K261" s="210" t="n"/>
      <c r="L261" s="210" t="n"/>
      <c r="M261" s="210" t="n"/>
      <c r="N261" s="210" t="n"/>
      <c r="O261" s="210" t="n"/>
      <c r="P261" s="210" t="n"/>
      <c r="Q261" s="210" t="n"/>
      <c r="R261" s="209" t="n"/>
    </row>
    <row r="262" ht="15" customHeight="1"/>
    <row r="263" ht="28" customHeight="1">
      <c r="A263" s="12" t="inlineStr">
        <is>
          <t>Cluster</t>
        </is>
      </c>
      <c r="B263" s="12" t="inlineStr">
        <is>
          <t>Competency · ★ = must-have</t>
        </is>
      </c>
      <c r="C263" s="12" t="inlineStr">
        <is>
          <t>Definition</t>
        </is>
      </c>
      <c r="D263" s="12" t="inlineStr">
        <is>
          <t>Must-have for</t>
        </is>
      </c>
      <c r="E263" s="12" t="inlineStr">
        <is>
          <t>A1</t>
        </is>
      </c>
      <c r="F263" s="12" t="inlineStr">
        <is>
          <t>A2</t>
        </is>
      </c>
      <c r="G263" s="12" t="inlineStr">
        <is>
          <t>A3</t>
        </is>
      </c>
      <c r="H263" s="12" t="inlineStr">
        <is>
          <t>B1</t>
        </is>
      </c>
      <c r="I263" s="12" t="inlineStr">
        <is>
          <t>B2</t>
        </is>
      </c>
      <c r="J263" s="12" t="inlineStr">
        <is>
          <t>B3</t>
        </is>
      </c>
      <c r="K263" s="12" t="inlineStr">
        <is>
          <t>B+</t>
        </is>
      </c>
      <c r="L263" s="12" t="inlineStr">
        <is>
          <t>C1</t>
        </is>
      </c>
      <c r="M263" s="12" t="inlineStr">
        <is>
          <t>C2</t>
        </is>
      </c>
      <c r="N263" s="12" t="inlineStr">
        <is>
          <t>C+</t>
        </is>
      </c>
      <c r="O263" s="12" t="inlineStr">
        <is>
          <t>D1</t>
        </is>
      </c>
      <c r="P263" s="12" t="inlineStr">
        <is>
          <t>What good looks like · by proficiency</t>
        </is>
      </c>
      <c r="Q263" s="12" t="inlineStr">
        <is>
          <t>What IRIS top performers do · survey</t>
        </is>
      </c>
      <c r="R263" s="12" t="inlineStr">
        <is>
          <t>How to assess</t>
        </is>
      </c>
      <c r="S263" s="12" t="inlineStr">
        <is>
          <t>Credentials</t>
        </is>
      </c>
      <c r="T263" s="12" t="inlineStr">
        <is>
          <t>Reference</t>
        </is>
      </c>
    </row>
    <row r="264" ht="67" customHeight="1">
      <c r="A264" s="173" t="inlineStr">
        <is>
          <t>Functional</t>
        </is>
      </c>
      <c r="B264" s="173" t="inlineStr">
        <is>
          <t>★ Sales, Negotiation &amp; Account Growth</t>
        </is>
      </c>
      <c r="C264" s="173" t="inlineStr">
        <is>
          <t>Builds pipeline, negotiates and grows accounts.</t>
        </is>
      </c>
      <c r="D264" s="173" t="inlineStr">
        <is>
          <t>Sales &amp; Business Development</t>
        </is>
      </c>
      <c r="E264" s="174" t="n">
        <v>1</v>
      </c>
      <c r="F264" s="174" t="n">
        <v>2</v>
      </c>
      <c r="G264" s="174" t="n">
        <v>3</v>
      </c>
      <c r="H264" s="174" t="n">
        <v>3</v>
      </c>
      <c r="I264" s="174" t="n">
        <v>4</v>
      </c>
      <c r="J264" s="174" t="n">
        <v>4</v>
      </c>
      <c r="K264" s="174" t="n">
        <v>4</v>
      </c>
      <c r="L264" s="174" t="n">
        <v>4</v>
      </c>
      <c r="M264" s="174" t="n">
        <v>5</v>
      </c>
      <c r="N264" s="174" t="n">
        <v>5</v>
      </c>
      <c r="O264" s="174" t="n">
        <v>4</v>
      </c>
      <c r="P264" s="173" t="inlineStr">
        <is>
          <t>3 · Builds pipeline and closes deals
4 · Owns key accounts; negotiates complex deals; grows revenue</t>
        </is>
      </c>
      <c r="Q264" s="173" t="inlineStr">
        <is>
          <t>pipeline, lead, deal, negotiation, sales</t>
        </is>
      </c>
      <c r="R264" s="173" t="inlineStr">
        <is>
          <t>Sales role play</t>
        </is>
      </c>
      <c r="S264" s="173" t="inlineStr">
        <is>
          <t>—</t>
        </is>
      </c>
      <c r="T264" s="173" t="inlineStr">
        <is>
          <t>Family set</t>
        </is>
      </c>
    </row>
    <row r="265" ht="54" customHeight="1">
      <c r="A265" s="173" t="inlineStr">
        <is>
          <t>Functional</t>
        </is>
      </c>
      <c r="B265" s="173" t="inlineStr">
        <is>
          <t>★ Marketing Tech &amp; Digital Marketing</t>
        </is>
      </c>
      <c r="C265" s="173" t="inlineStr">
        <is>
          <t>Runs CRM, campaigns, SEO and digital channels.</t>
        </is>
      </c>
      <c r="D265" s="173" t="inlineStr">
        <is>
          <t>Sales &amp; Business Development</t>
        </is>
      </c>
      <c r="E265" s="174" t="n">
        <v>1</v>
      </c>
      <c r="F265" s="174" t="n">
        <v>2</v>
      </c>
      <c r="G265" s="174" t="n">
        <v>3</v>
      </c>
      <c r="H265" s="174" t="n">
        <v>3</v>
      </c>
      <c r="I265" s="174" t="n">
        <v>4</v>
      </c>
      <c r="J265" s="174" t="n">
        <v>4</v>
      </c>
      <c r="K265" s="174" t="n">
        <v>4</v>
      </c>
      <c r="L265" s="174" t="n">
        <v>4</v>
      </c>
      <c r="M265" s="174" t="n">
        <v>5</v>
      </c>
      <c r="N265" s="174" t="n">
        <v>5</v>
      </c>
      <c r="O265" s="174" t="n">
        <v>4</v>
      </c>
      <c r="P265" s="173" t="inlineStr">
        <is>
          <t>3 · Runs campaigns, CRM, SEO and social channels
4 · Owns digital strategy, funnel and marketing analytics</t>
        </is>
      </c>
      <c r="Q265" s="173" t="inlineStr">
        <is>
          <t>CRM</t>
        </is>
      </c>
      <c r="R265" s="173" t="inlineStr">
        <is>
          <t>Portfolio / case</t>
        </is>
      </c>
      <c r="S265" s="173" t="inlineStr">
        <is>
          <t>Google / HubSpot certifications</t>
        </is>
      </c>
      <c r="T265" s="173" t="inlineStr">
        <is>
          <t>Family set</t>
        </is>
      </c>
    </row>
    <row r="266" ht="67" customHeight="1">
      <c r="A266" s="173" t="inlineStr">
        <is>
          <t>Functional</t>
        </is>
      </c>
      <c r="B266" s="173" t="inlineStr">
        <is>
          <t>Stakeholder &amp; Client Management</t>
        </is>
      </c>
      <c r="C266" s="173" t="inlineStr">
        <is>
          <t>Manages clients and stakeholders; handles changing requests.</t>
        </is>
      </c>
      <c r="D266" s="173" t="inlineStr">
        <is>
          <t>—</t>
        </is>
      </c>
      <c r="E266" s="174" t="n">
        <v>1</v>
      </c>
      <c r="F266" s="174" t="n">
        <v>2</v>
      </c>
      <c r="G266" s="174" t="n">
        <v>3</v>
      </c>
      <c r="H266" s="174" t="n">
        <v>3</v>
      </c>
      <c r="I266" s="174" t="n">
        <v>4</v>
      </c>
      <c r="J266" s="174" t="n">
        <v>4</v>
      </c>
      <c r="K266" s="174" t="n">
        <v>4</v>
      </c>
      <c r="L266" s="174" t="n">
        <v>4</v>
      </c>
      <c r="M266" s="174" t="n">
        <v>5</v>
      </c>
      <c r="N266" s="174" t="n">
        <v>5</v>
      </c>
      <c r="O266" s="174" t="n">
        <v>4</v>
      </c>
      <c r="P266" s="173" t="inlineStr">
        <is>
          <t>3 · Manages client communication and expectations for own work
4 · Owns key relationships; resolves escalations</t>
        </is>
      </c>
      <c r="Q266" s="173" t="inlineStr">
        <is>
          <t>client, relationship, stakeholder, coordinat, customer</t>
        </is>
      </c>
      <c r="R266" s="173" t="inlineStr">
        <is>
          <t>Role play / behavioural interview</t>
        </is>
      </c>
      <c r="S266" s="173" t="inlineStr">
        <is>
          <t>—</t>
        </is>
      </c>
      <c r="T266" s="173" t="inlineStr">
        <is>
          <t>Family set</t>
        </is>
      </c>
    </row>
    <row r="267" ht="54" customHeight="1">
      <c r="A267" s="173" t="inlineStr">
        <is>
          <t>Functional</t>
        </is>
      </c>
      <c r="B267" s="173" t="inlineStr">
        <is>
          <t>Communication &amp; Presentation</t>
        </is>
      </c>
      <c r="C267" s="173" t="inlineStr">
        <is>
          <t>Writes and presents clearly to clients and teams.</t>
        </is>
      </c>
      <c r="D267" s="173" t="inlineStr">
        <is>
          <t>—</t>
        </is>
      </c>
      <c r="E267" s="174" t="n">
        <v>1</v>
      </c>
      <c r="F267" s="174" t="n">
        <v>2</v>
      </c>
      <c r="G267" s="174" t="n">
        <v>3</v>
      </c>
      <c r="H267" s="174" t="n">
        <v>3</v>
      </c>
      <c r="I267" s="174" t="n">
        <v>4</v>
      </c>
      <c r="J267" s="174" t="n">
        <v>4</v>
      </c>
      <c r="K267" s="174" t="n">
        <v>4</v>
      </c>
      <c r="L267" s="174" t="n">
        <v>4</v>
      </c>
      <c r="M267" s="174" t="n">
        <v>5</v>
      </c>
      <c r="N267" s="174" t="n">
        <v>5</v>
      </c>
      <c r="O267" s="174" t="n">
        <v>4</v>
      </c>
      <c r="P267" s="173" t="inlineStr">
        <is>
          <t>3 · Writes and presents clearly to clients and teams
4 · Presents to senior stakeholders; shapes messaging</t>
        </is>
      </c>
      <c r="Q267" s="173" t="inlineStr">
        <is>
          <t>communication, present</t>
        </is>
      </c>
      <c r="R267" s="173" t="inlineStr">
        <is>
          <t>Presentation / writing test</t>
        </is>
      </c>
      <c r="S267" s="173" t="inlineStr">
        <is>
          <t>—</t>
        </is>
      </c>
      <c r="T267" s="173" t="inlineStr">
        <is>
          <t>Family set</t>
        </is>
      </c>
    </row>
    <row r="268" ht="54" customHeight="1">
      <c r="A268" s="173" t="inlineStr">
        <is>
          <t>Functional</t>
        </is>
      </c>
      <c r="B268" s="173" t="inlineStr">
        <is>
          <t>Product, Platform &amp; Domain Knowledge</t>
        </is>
      </c>
      <c r="C268" s="173" t="inlineStr">
        <is>
          <t>Knows IRIS products, platforms and the client's domain.</t>
        </is>
      </c>
      <c r="D268" s="173" t="inlineStr">
        <is>
          <t>—</t>
        </is>
      </c>
      <c r="E268" s="174" t="n">
        <v>1</v>
      </c>
      <c r="F268" s="174" t="n">
        <v>2</v>
      </c>
      <c r="G268" s="174" t="n">
        <v>3</v>
      </c>
      <c r="H268" s="174" t="n">
        <v>3</v>
      </c>
      <c r="I268" s="174" t="n">
        <v>4</v>
      </c>
      <c r="J268" s="174" t="n">
        <v>4</v>
      </c>
      <c r="K268" s="174" t="n">
        <v>4</v>
      </c>
      <c r="L268" s="174" t="n">
        <v>4</v>
      </c>
      <c r="M268" s="174" t="n">
        <v>5</v>
      </c>
      <c r="N268" s="174" t="n">
        <v>5</v>
      </c>
      <c r="O268" s="174" t="n">
        <v>4</v>
      </c>
      <c r="P268" s="173" t="inlineStr">
        <is>
          <t>3 · Handles most product and domain scenarios
4 · Recognised product / domain expert; trains others</t>
        </is>
      </c>
      <c r="Q268" s="173" t="inlineStr">
        <is>
          <t>product, domain</t>
        </is>
      </c>
      <c r="R268" s="173" t="inlineStr">
        <is>
          <t>Scenario interview</t>
        </is>
      </c>
      <c r="S268" s="173" t="inlineStr">
        <is>
          <t>Internal product certification</t>
        </is>
      </c>
      <c r="T268" s="173" t="inlineStr">
        <is>
          <t>Family set</t>
        </is>
      </c>
    </row>
    <row r="269" ht="54" customHeight="1">
      <c r="A269" s="173" t="inlineStr">
        <is>
          <t>Functional</t>
        </is>
      </c>
      <c r="B269" s="173" t="inlineStr">
        <is>
          <t>Strategic Thinking &amp; Business Acumen</t>
        </is>
      </c>
      <c r="C269" s="173" t="inlineStr">
        <is>
          <t>Links work to business outcomes, budgets and strategy.</t>
        </is>
      </c>
      <c r="D269" s="173" t="inlineStr">
        <is>
          <t>—</t>
        </is>
      </c>
      <c r="E269" s="174" t="n">
        <v>1</v>
      </c>
      <c r="F269" s="174" t="n">
        <v>2</v>
      </c>
      <c r="G269" s="174" t="n">
        <v>3</v>
      </c>
      <c r="H269" s="174" t="n">
        <v>3</v>
      </c>
      <c r="I269" s="174" t="n">
        <v>4</v>
      </c>
      <c r="J269" s="174" t="n">
        <v>4</v>
      </c>
      <c r="K269" s="174" t="n">
        <v>4</v>
      </c>
      <c r="L269" s="174" t="n">
        <v>4</v>
      </c>
      <c r="M269" s="174" t="n">
        <v>5</v>
      </c>
      <c r="N269" s="174" t="n">
        <v>5</v>
      </c>
      <c r="O269" s="174" t="n">
        <v>4</v>
      </c>
      <c r="P269" s="173" t="inlineStr">
        <is>
          <t>3 · Connects work to business goals and budgets
4 · Shapes strategy, pricing or investment choices</t>
        </is>
      </c>
      <c r="Q269" s="173" t="inlineStr">
        <is>
          <t>revenue, strategy, market, pricing</t>
        </is>
      </c>
      <c r="R269" s="173" t="inlineStr">
        <is>
          <t>Case interview</t>
        </is>
      </c>
      <c r="S269" s="173" t="inlineStr">
        <is>
          <t>MBA / PGDM · preferred at C+</t>
        </is>
      </c>
      <c r="T269" s="173" t="inlineStr">
        <is>
          <t>Family set</t>
        </is>
      </c>
    </row>
    <row r="270" ht="28" customHeight="1">
      <c r="A270" s="134" t="inlineStr">
        <is>
          <t>Leadership</t>
        </is>
      </c>
      <c r="B270" s="134" t="inlineStr">
        <is>
          <t>Leadership cluster · 4 competencies, part C</t>
        </is>
      </c>
      <c r="C270" s="134" t="inlineStr">
        <is>
          <t>Leading people, decisions, strategy and change</t>
        </is>
      </c>
      <c r="D270" s="134" t="inlineStr">
        <is>
          <t>POD Leads and People Managers</t>
        </is>
      </c>
      <c r="E270" s="47" t="inlineStr">
        <is>
          <t>—</t>
        </is>
      </c>
      <c r="F270" s="47" t="inlineStr">
        <is>
          <t>—</t>
        </is>
      </c>
      <c r="G270" s="47" t="inlineStr">
        <is>
          <t>—</t>
        </is>
      </c>
      <c r="H270" s="47" t="inlineStr">
        <is>
          <t>1/2</t>
        </is>
      </c>
      <c r="I270" s="47" t="inlineStr">
        <is>
          <t>2/3</t>
        </is>
      </c>
      <c r="J270" s="47" t="inlineStr">
        <is>
          <t>3/4</t>
        </is>
      </c>
      <c r="K270" s="47" t="inlineStr">
        <is>
          <t>4/4</t>
        </is>
      </c>
      <c r="L270" s="47" t="inlineStr">
        <is>
          <t>4/4</t>
        </is>
      </c>
      <c r="M270" s="47" t="inlineStr">
        <is>
          <t>4/4</t>
        </is>
      </c>
      <c r="N270" s="47" t="inlineStr">
        <is>
          <t>5/5</t>
        </is>
      </c>
      <c r="O270" s="47" t="inlineStr">
        <is>
          <t>5/5</t>
        </is>
      </c>
      <c r="P270" s="134" t="inlineStr">
        <is>
          <t>Required level shown as IC / Manager</t>
        </is>
      </c>
      <c r="Q270" s="134" t="inlineStr">
        <is>
          <t>—</t>
        </is>
      </c>
      <c r="R270" s="134" t="inlineStr">
        <is>
          <t>Behavioural interview; 360 feedback</t>
        </is>
      </c>
      <c r="S270" s="134" t="inlineStr">
        <is>
          <t>—</t>
        </is>
      </c>
      <c r="T270" s="134" t="inlineStr">
        <is>
          <t>S14, S15, S16</t>
        </is>
      </c>
    </row>
    <row r="271" ht="15" customHeight="1"/>
    <row r="272" ht="15" customHeight="1">
      <c r="A272" s="12" t="inlineStr">
        <is>
          <t>Job family</t>
        </is>
      </c>
      <c r="B272" s="12" t="inlineStr">
        <is>
          <t>Education / credentials</t>
        </is>
      </c>
      <c r="C272" s="209" t="n"/>
      <c r="D272" s="12" t="inlineStr">
        <is>
          <t>Gate requirements</t>
        </is>
      </c>
      <c r="E272" s="209" t="n"/>
      <c r="F272" s="12" t="inlineStr">
        <is>
          <t>Learning focus — Band A</t>
        </is>
      </c>
      <c r="G272" s="210" t="n"/>
      <c r="H272" s="210" t="n"/>
      <c r="I272" s="210" t="n"/>
      <c r="J272" s="210" t="n"/>
      <c r="K272" s="209" t="n"/>
      <c r="L272" s="12" t="inlineStr">
        <is>
          <t>Learning focus — Band B</t>
        </is>
      </c>
      <c r="M272" s="210" t="n"/>
      <c r="N272" s="210" t="n"/>
      <c r="O272" s="210" t="n"/>
      <c r="P272" s="209" t="n"/>
      <c r="Q272" s="12" t="inlineStr">
        <is>
          <t>Learning focus — Band C+</t>
        </is>
      </c>
      <c r="R272" s="209" t="n"/>
      <c r="S272" s="12" t="inlineStr">
        <is>
          <t>Future skills</t>
        </is>
      </c>
      <c r="T272" s="209" t="n"/>
    </row>
    <row r="273" ht="80" customHeight="1">
      <c r="A273" s="13" t="inlineStr">
        <is>
          <t>Sales &amp; Business Development</t>
        </is>
      </c>
      <c r="B273" s="16" t="inlineStr">
        <is>
          <t>Graduate; MBA preferred from B2</t>
        </is>
      </c>
      <c r="C273" s="209" t="n"/>
      <c r="D273" s="16" t="inlineStr">
        <is>
          <t>CRM hygiene; contract basics</t>
        </is>
      </c>
      <c r="E273" s="209" t="n"/>
      <c r="F273" s="16" t="inlineStr">
        <is>
          <t>Mandatory path · POSH, Code of Conduct, InfoSec; Sales, Negotiation &amp; Account Growth, Marketing Tech &amp; Digital Marketing to Working → Practitioner; AI literacy to 2; learn by mentoring and KT.</t>
        </is>
      </c>
      <c r="G273" s="210" t="n"/>
      <c r="H273" s="210" t="n"/>
      <c r="I273" s="210" t="n"/>
      <c r="J273" s="210" t="n"/>
      <c r="K273" s="209" t="n"/>
      <c r="L273" s="16" t="inlineStr">
        <is>
          <t>Sales, Negotiation &amp; Account Growth, Marketing Tech &amp; Digital Marketing to Advanced; Stakeholder &amp; Client Management, Communication &amp; Presentation, Product, Platform &amp; Domain Knowledge to Practitioner; POD Leads / Managers: leading people, delegation, feedback.</t>
        </is>
      </c>
      <c r="M273" s="210" t="n"/>
      <c r="N273" s="210" t="n"/>
      <c r="O273" s="210" t="n"/>
      <c r="P273" s="209" t="n"/>
      <c r="Q273" s="16" t="inlineStr">
        <is>
          <t>Expert in one must-have; strategy &amp; business acumen; building the bench; AI-enabled processes for the function.</t>
        </is>
      </c>
      <c r="R273" s="209" t="n"/>
      <c r="S273" s="16" t="inlineStr">
        <is>
          <t>Data-driven selling, AI prospecting, ESG / regtech market knowledge</t>
        </is>
      </c>
      <c r="T273" s="209" t="n"/>
    </row>
  </sheetData>
  <mergeCells count="570">
    <mergeCell ref="C25:H25"/>
    <mergeCell ref="L42:N42"/>
    <mergeCell ref="F259:R259"/>
    <mergeCell ref="A142:E142"/>
    <mergeCell ref="A64:T64"/>
    <mergeCell ref="A186:T186"/>
    <mergeCell ref="D53:F53"/>
    <mergeCell ref="D47:F47"/>
    <mergeCell ref="F261:R261"/>
    <mergeCell ref="B248:C248"/>
    <mergeCell ref="L93:P93"/>
    <mergeCell ref="O32:P32"/>
    <mergeCell ref="A137:E137"/>
    <mergeCell ref="A208:E208"/>
    <mergeCell ref="A252:T252"/>
    <mergeCell ref="F69:R69"/>
    <mergeCell ref="A139:E139"/>
    <mergeCell ref="A210:E210"/>
    <mergeCell ref="O55:P55"/>
    <mergeCell ref="O40:P40"/>
    <mergeCell ref="J31:K31"/>
    <mergeCell ref="A203:E203"/>
    <mergeCell ref="B55:C55"/>
    <mergeCell ref="I22:R22"/>
    <mergeCell ref="L32:N32"/>
    <mergeCell ref="M50:N50"/>
    <mergeCell ref="B129:C129"/>
    <mergeCell ref="G59:H59"/>
    <mergeCell ref="A261:E261"/>
    <mergeCell ref="I46:J46"/>
    <mergeCell ref="B156:C156"/>
    <mergeCell ref="Q37:R37"/>
    <mergeCell ref="F105:R105"/>
    <mergeCell ref="A138:E138"/>
    <mergeCell ref="O45:P45"/>
    <mergeCell ref="G48:H48"/>
    <mergeCell ref="B223:C223"/>
    <mergeCell ref="Q272:R272"/>
    <mergeCell ref="A69:E69"/>
    <mergeCell ref="F107:R107"/>
    <mergeCell ref="S272:T272"/>
    <mergeCell ref="A61:T61"/>
    <mergeCell ref="A256:E256"/>
    <mergeCell ref="I54:J54"/>
    <mergeCell ref="Q38:R38"/>
    <mergeCell ref="F42:G42"/>
    <mergeCell ref="B53:C53"/>
    <mergeCell ref="I56:J56"/>
    <mergeCell ref="D55:F55"/>
    <mergeCell ref="K56:L56"/>
    <mergeCell ref="E14:H14"/>
    <mergeCell ref="Q40:R40"/>
    <mergeCell ref="O51:P51"/>
    <mergeCell ref="O58:P58"/>
    <mergeCell ref="F204:R204"/>
    <mergeCell ref="A209:E209"/>
    <mergeCell ref="D129:E129"/>
    <mergeCell ref="I59:J59"/>
    <mergeCell ref="F135:R135"/>
    <mergeCell ref="A211:E211"/>
    <mergeCell ref="A67:E67"/>
    <mergeCell ref="S156:T156"/>
    <mergeCell ref="S155:T155"/>
    <mergeCell ref="S93:T93"/>
    <mergeCell ref="S247:T247"/>
    <mergeCell ref="K54:L54"/>
    <mergeCell ref="A1:T1"/>
    <mergeCell ref="L40:N40"/>
    <mergeCell ref="F257:R257"/>
    <mergeCell ref="A65:T65"/>
    <mergeCell ref="L127:P127"/>
    <mergeCell ref="A66:E66"/>
    <mergeCell ref="D51:F51"/>
    <mergeCell ref="O59:P59"/>
    <mergeCell ref="A204:E204"/>
    <mergeCell ref="Q59:R59"/>
    <mergeCell ref="B34:C34"/>
    <mergeCell ref="L156:P156"/>
    <mergeCell ref="O46:P46"/>
    <mergeCell ref="B28:C28"/>
    <mergeCell ref="Q46:R46"/>
    <mergeCell ref="D28:E28"/>
    <mergeCell ref="L128:P128"/>
    <mergeCell ref="A141:E141"/>
    <mergeCell ref="A135:E135"/>
    <mergeCell ref="I16:R16"/>
    <mergeCell ref="A206:E206"/>
    <mergeCell ref="E13:H13"/>
    <mergeCell ref="O48:P48"/>
    <mergeCell ref="B30:C30"/>
    <mergeCell ref="G51:H51"/>
    <mergeCell ref="Q48:R48"/>
    <mergeCell ref="D30:E30"/>
    <mergeCell ref="I51:J51"/>
    <mergeCell ref="F194:R194"/>
    <mergeCell ref="A72:E72"/>
    <mergeCell ref="F110:R110"/>
    <mergeCell ref="I18:R18"/>
    <mergeCell ref="K57:L57"/>
    <mergeCell ref="E15:H15"/>
    <mergeCell ref="L222:P222"/>
    <mergeCell ref="Q41:R41"/>
    <mergeCell ref="B94:C94"/>
    <mergeCell ref="D94:E94"/>
    <mergeCell ref="F141:R141"/>
    <mergeCell ref="A24:B24"/>
    <mergeCell ref="Q56:R56"/>
    <mergeCell ref="F136:R136"/>
    <mergeCell ref="F207:R207"/>
    <mergeCell ref="L273:P273"/>
    <mergeCell ref="B181:C181"/>
    <mergeCell ref="D272:E272"/>
    <mergeCell ref="F205:R205"/>
    <mergeCell ref="Q34:R34"/>
    <mergeCell ref="F38:G38"/>
    <mergeCell ref="Q36:R36"/>
    <mergeCell ref="M57:N57"/>
    <mergeCell ref="S94:T94"/>
    <mergeCell ref="H33:I33"/>
    <mergeCell ref="J33:K33"/>
    <mergeCell ref="B36:C36"/>
    <mergeCell ref="A230:E230"/>
    <mergeCell ref="I24:R24"/>
    <mergeCell ref="H35:I35"/>
    <mergeCell ref="A232:E232"/>
    <mergeCell ref="F29:G29"/>
    <mergeCell ref="I17:R17"/>
    <mergeCell ref="A207:E207"/>
    <mergeCell ref="A226:T226"/>
    <mergeCell ref="J28:K28"/>
    <mergeCell ref="B31:C31"/>
    <mergeCell ref="Q127:R127"/>
    <mergeCell ref="D31:E31"/>
    <mergeCell ref="F195:R195"/>
    <mergeCell ref="H39:I39"/>
    <mergeCell ref="Q51:R51"/>
    <mergeCell ref="Q156:R156"/>
    <mergeCell ref="K50:L50"/>
    <mergeCell ref="B9:P9"/>
    <mergeCell ref="Q155:R155"/>
    <mergeCell ref="I58:J58"/>
    <mergeCell ref="Q93:R93"/>
    <mergeCell ref="K58:L58"/>
    <mergeCell ref="K52:L52"/>
    <mergeCell ref="A101:T101"/>
    <mergeCell ref="A2:T2"/>
    <mergeCell ref="Q9:R9"/>
    <mergeCell ref="M45:N45"/>
    <mergeCell ref="B49:C49"/>
    <mergeCell ref="F142:R142"/>
    <mergeCell ref="K53:L53"/>
    <mergeCell ref="Q11:R11"/>
    <mergeCell ref="M47:N47"/>
    <mergeCell ref="Q182:R182"/>
    <mergeCell ref="B32:C32"/>
    <mergeCell ref="I14:R14"/>
    <mergeCell ref="F95:K95"/>
    <mergeCell ref="Q273:R273"/>
    <mergeCell ref="Q248:R248"/>
    <mergeCell ref="S273:T273"/>
    <mergeCell ref="H41:I41"/>
    <mergeCell ref="S248:T248"/>
    <mergeCell ref="F210:R210"/>
    <mergeCell ref="Q52:R52"/>
    <mergeCell ref="F97:K97"/>
    <mergeCell ref="K55:L55"/>
    <mergeCell ref="Q39:R39"/>
    <mergeCell ref="H34:I34"/>
    <mergeCell ref="J34:K34"/>
    <mergeCell ref="H36:I36"/>
    <mergeCell ref="J36:K36"/>
    <mergeCell ref="A233:E233"/>
    <mergeCell ref="F234:R234"/>
    <mergeCell ref="A104:E104"/>
    <mergeCell ref="B37:C37"/>
    <mergeCell ref="S128:T128"/>
    <mergeCell ref="A235:E235"/>
    <mergeCell ref="D37:E37"/>
    <mergeCell ref="L181:P181"/>
    <mergeCell ref="F236:R236"/>
    <mergeCell ref="I25:R25"/>
    <mergeCell ref="A106:E106"/>
    <mergeCell ref="Q157:R157"/>
    <mergeCell ref="S157:T157"/>
    <mergeCell ref="Q222:R222"/>
    <mergeCell ref="S222:T222"/>
    <mergeCell ref="A100:T100"/>
    <mergeCell ref="D46:F46"/>
    <mergeCell ref="S129:T129"/>
    <mergeCell ref="L37:N37"/>
    <mergeCell ref="D38:E38"/>
    <mergeCell ref="A170:E170"/>
    <mergeCell ref="L155:P155"/>
    <mergeCell ref="M53:N53"/>
    <mergeCell ref="L247:P247"/>
    <mergeCell ref="J29:K29"/>
    <mergeCell ref="Q223:R223"/>
    <mergeCell ref="S223:T223"/>
    <mergeCell ref="M55:N55"/>
    <mergeCell ref="I20:R20"/>
    <mergeCell ref="H31:I31"/>
    <mergeCell ref="B96:C96"/>
    <mergeCell ref="F170:R170"/>
    <mergeCell ref="D96:E96"/>
    <mergeCell ref="M48:N48"/>
    <mergeCell ref="A228:E228"/>
    <mergeCell ref="B58:C58"/>
    <mergeCell ref="I13:R13"/>
    <mergeCell ref="B52:C52"/>
    <mergeCell ref="I15:R15"/>
    <mergeCell ref="F96:K96"/>
    <mergeCell ref="A236:E236"/>
    <mergeCell ref="A21:B21"/>
    <mergeCell ref="D156:E156"/>
    <mergeCell ref="D93:E93"/>
    <mergeCell ref="D59:F59"/>
    <mergeCell ref="A23:B23"/>
    <mergeCell ref="A254:E254"/>
    <mergeCell ref="O47:P47"/>
    <mergeCell ref="B7:P7"/>
    <mergeCell ref="D157:E157"/>
    <mergeCell ref="F163:R163"/>
    <mergeCell ref="G54:H54"/>
    <mergeCell ref="H42:I42"/>
    <mergeCell ref="B45:C45"/>
    <mergeCell ref="O38:P38"/>
    <mergeCell ref="J42:K42"/>
    <mergeCell ref="F231:R231"/>
    <mergeCell ref="F165:R165"/>
    <mergeCell ref="G56:H56"/>
    <mergeCell ref="J39:K39"/>
    <mergeCell ref="D182:E182"/>
    <mergeCell ref="B47:C47"/>
    <mergeCell ref="B59:C59"/>
    <mergeCell ref="F102:R102"/>
    <mergeCell ref="A257:E257"/>
    <mergeCell ref="A191:E191"/>
    <mergeCell ref="F229:R229"/>
    <mergeCell ref="B46:C46"/>
    <mergeCell ref="I49:J49"/>
    <mergeCell ref="D48:F48"/>
    <mergeCell ref="O33:P33"/>
    <mergeCell ref="J37:K37"/>
    <mergeCell ref="A107:E107"/>
    <mergeCell ref="Q33:R33"/>
    <mergeCell ref="D40:E40"/>
    <mergeCell ref="F40:G40"/>
    <mergeCell ref="C21:H21"/>
    <mergeCell ref="F166:R166"/>
    <mergeCell ref="Q8:R8"/>
    <mergeCell ref="L38:N38"/>
    <mergeCell ref="B48:C48"/>
    <mergeCell ref="D248:E248"/>
    <mergeCell ref="F155:K155"/>
    <mergeCell ref="F93:K93"/>
    <mergeCell ref="C23:H23"/>
    <mergeCell ref="D56:F56"/>
    <mergeCell ref="Q10:R10"/>
    <mergeCell ref="Q181:R181"/>
    <mergeCell ref="D41:E41"/>
    <mergeCell ref="F191:R191"/>
    <mergeCell ref="F41:G41"/>
    <mergeCell ref="F35:G35"/>
    <mergeCell ref="F255:R255"/>
    <mergeCell ref="H32:I32"/>
    <mergeCell ref="J32:K32"/>
    <mergeCell ref="L94:P94"/>
    <mergeCell ref="F192:R192"/>
    <mergeCell ref="F182:K182"/>
    <mergeCell ref="Q247:R247"/>
    <mergeCell ref="B16:D16"/>
    <mergeCell ref="A231:E231"/>
    <mergeCell ref="F232:R232"/>
    <mergeCell ref="B18:D18"/>
    <mergeCell ref="A102:E102"/>
    <mergeCell ref="Q128:R128"/>
    <mergeCell ref="D49:F49"/>
    <mergeCell ref="A44:T44"/>
    <mergeCell ref="F248:K248"/>
    <mergeCell ref="K49:L49"/>
    <mergeCell ref="L33:N33"/>
    <mergeCell ref="A166:E166"/>
    <mergeCell ref="A202:T202"/>
    <mergeCell ref="M59:N59"/>
    <mergeCell ref="A103:E103"/>
    <mergeCell ref="B8:P8"/>
    <mergeCell ref="L35:N35"/>
    <mergeCell ref="D36:E36"/>
    <mergeCell ref="A168:E168"/>
    <mergeCell ref="B10:P10"/>
    <mergeCell ref="M54:N54"/>
    <mergeCell ref="O54:P54"/>
    <mergeCell ref="G57:H57"/>
    <mergeCell ref="A255:E255"/>
    <mergeCell ref="O41:P41"/>
    <mergeCell ref="O35:P35"/>
    <mergeCell ref="F187:R187"/>
    <mergeCell ref="Q35:R35"/>
    <mergeCell ref="F103:R103"/>
    <mergeCell ref="A136:E136"/>
    <mergeCell ref="A192:E192"/>
    <mergeCell ref="F168:R168"/>
    <mergeCell ref="G58:H58"/>
    <mergeCell ref="A194:E194"/>
    <mergeCell ref="B127:C127"/>
    <mergeCell ref="Q49:R49"/>
    <mergeCell ref="I52:J52"/>
    <mergeCell ref="D127:E127"/>
    <mergeCell ref="Q30:R30"/>
    <mergeCell ref="C24:H24"/>
    <mergeCell ref="F169:R169"/>
    <mergeCell ref="F70:R70"/>
    <mergeCell ref="B51:C51"/>
    <mergeCell ref="F127:K127"/>
    <mergeCell ref="F134:R134"/>
    <mergeCell ref="D57:F57"/>
    <mergeCell ref="L95:P95"/>
    <mergeCell ref="F71:R71"/>
    <mergeCell ref="B17:D17"/>
    <mergeCell ref="F258:R258"/>
    <mergeCell ref="L97:P97"/>
    <mergeCell ref="F272:K272"/>
    <mergeCell ref="F247:K247"/>
    <mergeCell ref="Q54:R54"/>
    <mergeCell ref="I57:J57"/>
    <mergeCell ref="F260:R260"/>
    <mergeCell ref="L41:N41"/>
    <mergeCell ref="O29:P29"/>
    <mergeCell ref="A205:E205"/>
    <mergeCell ref="Q29:R29"/>
    <mergeCell ref="F33:G33"/>
    <mergeCell ref="L34:N34"/>
    <mergeCell ref="S181:T181"/>
    <mergeCell ref="O31:P31"/>
    <mergeCell ref="Q31:R31"/>
    <mergeCell ref="F68:R68"/>
    <mergeCell ref="L157:P157"/>
    <mergeCell ref="B29:C29"/>
    <mergeCell ref="D181:E181"/>
    <mergeCell ref="L36:N36"/>
    <mergeCell ref="S97:T97"/>
    <mergeCell ref="L129:P129"/>
    <mergeCell ref="D273:E273"/>
    <mergeCell ref="F31:G31"/>
    <mergeCell ref="F28:G28"/>
    <mergeCell ref="O56:P56"/>
    <mergeCell ref="H28:I28"/>
    <mergeCell ref="D39:E39"/>
    <mergeCell ref="F39:G39"/>
    <mergeCell ref="L223:P223"/>
    <mergeCell ref="B95:C95"/>
    <mergeCell ref="F188:R188"/>
    <mergeCell ref="F253:R253"/>
    <mergeCell ref="A63:T63"/>
    <mergeCell ref="O57:P57"/>
    <mergeCell ref="A258:E258"/>
    <mergeCell ref="Q57:R57"/>
    <mergeCell ref="B97:C97"/>
    <mergeCell ref="F190:R190"/>
    <mergeCell ref="B11:P11"/>
    <mergeCell ref="B14:D14"/>
    <mergeCell ref="A73:E73"/>
    <mergeCell ref="D128:E128"/>
    <mergeCell ref="A260:E260"/>
    <mergeCell ref="E16:H16"/>
    <mergeCell ref="B13:D13"/>
    <mergeCell ref="Q42:R42"/>
    <mergeCell ref="I45:J45"/>
    <mergeCell ref="K45:L45"/>
    <mergeCell ref="E18:H18"/>
    <mergeCell ref="I47:J47"/>
    <mergeCell ref="K47:L47"/>
    <mergeCell ref="B42:C42"/>
    <mergeCell ref="D58:F58"/>
    <mergeCell ref="F73:R73"/>
    <mergeCell ref="K46:L46"/>
    <mergeCell ref="F137:R137"/>
    <mergeCell ref="F208:R208"/>
    <mergeCell ref="F74:R74"/>
    <mergeCell ref="F139:R139"/>
    <mergeCell ref="Q95:R95"/>
    <mergeCell ref="F138:R138"/>
    <mergeCell ref="S95:T95"/>
    <mergeCell ref="F128:K128"/>
    <mergeCell ref="F203:R203"/>
    <mergeCell ref="Q45:R45"/>
    <mergeCell ref="Q32:R32"/>
    <mergeCell ref="C20:H20"/>
    <mergeCell ref="H30:I30"/>
    <mergeCell ref="Q47:R47"/>
    <mergeCell ref="D222:E222"/>
    <mergeCell ref="Q96:R96"/>
    <mergeCell ref="H29:I29"/>
    <mergeCell ref="C22:H22"/>
    <mergeCell ref="L39:N39"/>
    <mergeCell ref="F181:K181"/>
    <mergeCell ref="A70:E70"/>
    <mergeCell ref="B272:C272"/>
    <mergeCell ref="F254:R254"/>
    <mergeCell ref="Q58:R58"/>
    <mergeCell ref="G53:H53"/>
    <mergeCell ref="Q50:R50"/>
    <mergeCell ref="I53:J53"/>
    <mergeCell ref="B15:D15"/>
    <mergeCell ref="F256:R256"/>
    <mergeCell ref="A74:E74"/>
    <mergeCell ref="K59:L59"/>
    <mergeCell ref="E17:H17"/>
    <mergeCell ref="A163:E163"/>
    <mergeCell ref="F193:R193"/>
    <mergeCell ref="I55:J55"/>
    <mergeCell ref="A3:T3"/>
    <mergeCell ref="M46:N46"/>
    <mergeCell ref="A160:T160"/>
    <mergeCell ref="I48:J48"/>
    <mergeCell ref="K48:L48"/>
    <mergeCell ref="A5:T5"/>
    <mergeCell ref="A140:E140"/>
    <mergeCell ref="F37:G37"/>
    <mergeCell ref="F209:R209"/>
    <mergeCell ref="A161:T161"/>
    <mergeCell ref="M56:N56"/>
    <mergeCell ref="Q7:R7"/>
    <mergeCell ref="F140:R140"/>
    <mergeCell ref="O53:P53"/>
    <mergeCell ref="F211:R211"/>
    <mergeCell ref="F67:R67"/>
    <mergeCell ref="B155:C155"/>
    <mergeCell ref="B93:C93"/>
    <mergeCell ref="D155:E155"/>
    <mergeCell ref="S96:T96"/>
    <mergeCell ref="F129:K129"/>
    <mergeCell ref="B247:C247"/>
    <mergeCell ref="Q55:R55"/>
    <mergeCell ref="F156:K156"/>
    <mergeCell ref="A193:E193"/>
    <mergeCell ref="F206:R206"/>
    <mergeCell ref="A105:E105"/>
    <mergeCell ref="B182:C182"/>
    <mergeCell ref="A27:T27"/>
    <mergeCell ref="B38:C38"/>
    <mergeCell ref="F222:K222"/>
    <mergeCell ref="A71:E71"/>
    <mergeCell ref="H37:I37"/>
    <mergeCell ref="B40:C40"/>
    <mergeCell ref="A234:E234"/>
    <mergeCell ref="A22:B22"/>
    <mergeCell ref="B33:C33"/>
    <mergeCell ref="D33:E33"/>
    <mergeCell ref="A165:E165"/>
    <mergeCell ref="L182:P182"/>
    <mergeCell ref="I21:R21"/>
    <mergeCell ref="B41:C41"/>
    <mergeCell ref="F72:R72"/>
    <mergeCell ref="B35:C35"/>
    <mergeCell ref="A229:E229"/>
    <mergeCell ref="Q53:R53"/>
    <mergeCell ref="D35:E35"/>
    <mergeCell ref="I23:R23"/>
    <mergeCell ref="D34:E34"/>
    <mergeCell ref="F34:G34"/>
    <mergeCell ref="Q97:R97"/>
    <mergeCell ref="K51:L51"/>
    <mergeCell ref="F30:G30"/>
    <mergeCell ref="M51:N51"/>
    <mergeCell ref="A227:T227"/>
    <mergeCell ref="B157:C157"/>
    <mergeCell ref="G49:H49"/>
    <mergeCell ref="F108:R108"/>
    <mergeCell ref="D54:F54"/>
    <mergeCell ref="F157:K157"/>
    <mergeCell ref="A251:T251"/>
    <mergeCell ref="D223:E223"/>
    <mergeCell ref="L28:N28"/>
    <mergeCell ref="D29:E29"/>
    <mergeCell ref="F223:K223"/>
    <mergeCell ref="B54:C54"/>
    <mergeCell ref="F230:R230"/>
    <mergeCell ref="H38:I38"/>
    <mergeCell ref="D247:E247"/>
    <mergeCell ref="O34:P34"/>
    <mergeCell ref="J38:K38"/>
    <mergeCell ref="O28:P28"/>
    <mergeCell ref="F94:K94"/>
    <mergeCell ref="Q28:R28"/>
    <mergeCell ref="M52:N52"/>
    <mergeCell ref="F167:R167"/>
    <mergeCell ref="M49:N49"/>
    <mergeCell ref="B56:C56"/>
    <mergeCell ref="O39:P39"/>
    <mergeCell ref="H40:I40"/>
    <mergeCell ref="A110:E110"/>
    <mergeCell ref="O36:P36"/>
    <mergeCell ref="J40:K40"/>
    <mergeCell ref="O30:P30"/>
    <mergeCell ref="L248:P248"/>
    <mergeCell ref="A187:E187"/>
    <mergeCell ref="A108:E108"/>
    <mergeCell ref="F36:G36"/>
    <mergeCell ref="Q94:R94"/>
    <mergeCell ref="F162:R162"/>
    <mergeCell ref="B57:C57"/>
    <mergeCell ref="A189:E189"/>
    <mergeCell ref="J35:K35"/>
    <mergeCell ref="Q6:R6"/>
    <mergeCell ref="D50:F50"/>
    <mergeCell ref="S127:T127"/>
    <mergeCell ref="A185:T185"/>
    <mergeCell ref="L96:P96"/>
    <mergeCell ref="F189:R189"/>
    <mergeCell ref="A134:E134"/>
    <mergeCell ref="G50:H50"/>
    <mergeCell ref="F66:R66"/>
    <mergeCell ref="D45:F45"/>
    <mergeCell ref="I50:J50"/>
    <mergeCell ref="F109:R109"/>
    <mergeCell ref="A167:E167"/>
    <mergeCell ref="M58:N58"/>
    <mergeCell ref="G52:H52"/>
    <mergeCell ref="A201:T201"/>
    <mergeCell ref="A169:E169"/>
    <mergeCell ref="L30:N30"/>
    <mergeCell ref="B273:C273"/>
    <mergeCell ref="L29:N29"/>
    <mergeCell ref="A162:E162"/>
    <mergeCell ref="B39:C39"/>
    <mergeCell ref="A132:T132"/>
    <mergeCell ref="J30:K30"/>
    <mergeCell ref="D95:E95"/>
    <mergeCell ref="A25:B25"/>
    <mergeCell ref="S182:T182"/>
    <mergeCell ref="O49:P49"/>
    <mergeCell ref="F273:K273"/>
    <mergeCell ref="L31:N31"/>
    <mergeCell ref="D32:E32"/>
    <mergeCell ref="A164:E164"/>
    <mergeCell ref="F32:G32"/>
    <mergeCell ref="D97:E97"/>
    <mergeCell ref="L272:P272"/>
    <mergeCell ref="A133:T133"/>
    <mergeCell ref="B6:P6"/>
    <mergeCell ref="O50:P50"/>
    <mergeCell ref="A195:E195"/>
    <mergeCell ref="B128:C128"/>
    <mergeCell ref="F233:R233"/>
    <mergeCell ref="J41:K41"/>
    <mergeCell ref="O42:P42"/>
    <mergeCell ref="G45:H45"/>
    <mergeCell ref="F104:R104"/>
    <mergeCell ref="Q129:R129"/>
    <mergeCell ref="F164:R164"/>
    <mergeCell ref="A188:E188"/>
    <mergeCell ref="O52:P52"/>
    <mergeCell ref="G55:H55"/>
    <mergeCell ref="F235:R235"/>
    <mergeCell ref="A20:B20"/>
    <mergeCell ref="A109:E109"/>
    <mergeCell ref="A253:E253"/>
    <mergeCell ref="A259:E259"/>
    <mergeCell ref="D42:E42"/>
    <mergeCell ref="G47:H47"/>
    <mergeCell ref="B222:C222"/>
    <mergeCell ref="A68:E68"/>
    <mergeCell ref="F106:R106"/>
    <mergeCell ref="A190:E190"/>
    <mergeCell ref="F228:R228"/>
    <mergeCell ref="G46:H46"/>
    <mergeCell ref="B50:C50"/>
    <mergeCell ref="D52:F52"/>
    <mergeCell ref="O37:P37"/>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2.xml><?xml version="1.0" encoding="utf-8"?>
<worksheet xmlns="http://schemas.openxmlformats.org/spreadsheetml/2006/main">
  <sheetPr>
    <tabColor rgb="00C55A11"/>
    <outlinePr summaryBelow="1" summaryRight="1"/>
    <pageSetUpPr fitToPage="1"/>
  </sheetPr>
  <dimension ref="A1:AZ41"/>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22" customWidth="1" min="3" max="3"/>
    <col width="6" customWidth="1" min="4" max="4"/>
    <col width="14" customWidth="1" min="5" max="5"/>
    <col width="9" customWidth="1" min="6" max="6"/>
    <col width="28" customWidth="1" min="7" max="7"/>
    <col width="7" customWidth="1" min="8" max="8"/>
    <col width="18" customWidth="1" min="9" max="9"/>
    <col width="7" customWidth="1" min="10" max="10"/>
    <col width="24" customWidth="1" min="11" max="11"/>
    <col width="18" customWidth="1" min="12" max="12"/>
    <col width="44" customWidth="1" min="13" max="13"/>
    <col width="40" customWidth="1" min="14" max="14"/>
    <col width="32" customWidth="1" min="15" max="15"/>
    <col width="30" customWidth="1" min="16" max="16"/>
    <col width="30" customWidth="1" min="17" max="17"/>
    <col width="34" customWidth="1" min="18" max="18"/>
    <col width="28" customWidth="1" min="19" max="19"/>
    <col width="26" customWidth="1" min="20" max="20"/>
    <col width="26" customWidth="1" min="21" max="21"/>
    <col width="24" customWidth="1" min="22" max="22"/>
    <col width="22" customWidth="1" min="23" max="23"/>
    <col width="22" customWidth="1" min="24" max="24"/>
    <col width="22" customWidth="1" min="25" max="25"/>
    <col width="10" customWidth="1" min="26" max="26"/>
    <col width="22" customWidth="1" min="27" max="27"/>
    <col width="20" customWidth="1" min="28" max="28"/>
    <col width="18" customWidth="1" min="29" max="29"/>
    <col width="22" customWidth="1" min="30" max="30"/>
    <col width="30" customWidth="1" min="31" max="31"/>
    <col width="30" customWidth="1" min="32" max="32"/>
    <col width="9" customWidth="1" min="33" max="33"/>
    <col width="8" customWidth="1" min="34" max="34"/>
    <col width="34" customWidth="1" min="35" max="35"/>
    <col width="26" customWidth="1" min="36" max="36"/>
    <col width="26" customWidth="1" min="37" max="37"/>
    <col width="28" customWidth="1" min="38" max="38"/>
    <col width="26" customWidth="1" min="39" max="39"/>
    <col width="24" customWidth="1" min="40" max="40"/>
    <col width="26" customWidth="1" min="41" max="41"/>
    <col width="26" customWidth="1" min="42" max="42"/>
    <col width="24" customWidth="1" min="43" max="43"/>
    <col width="34" customWidth="1" min="44" max="44"/>
    <col width="22" customWidth="1" min="45" max="45"/>
    <col width="32" customWidth="1" min="46" max="46"/>
    <col width="28" customWidth="1" min="47" max="47"/>
    <col width="28" customWidth="1" min="48" max="48"/>
    <col width="30" customWidth="1" min="49" max="49"/>
    <col width="22" customWidth="1" min="50" max="50"/>
    <col width="22" customWidth="1" min="51" max="51"/>
    <col width="13" customWidth="1" min="52" max="52"/>
  </cols>
  <sheetData>
    <row r="1" ht="34" customHeight="1">
      <c r="A1" s="1" t="inlineStr">
        <is>
          <t>Role Catalogue — the roles held in this workbook, as defined once for all of IRIS</t>
        </is>
      </c>
      <c r="AZ1" s="241" t="inlineStr">
        <is>
          <t>◂ Contents</t>
        </is>
      </c>
    </row>
    <row r="2" ht="30" customHeight="1">
      <c r="A2" s="3" t="inlineStr">
        <is>
          <t>Sheet 6 · One row per catalogue role · job family × sub-family × level × track that someone here holds. The entry is the same IRIS-wide in every workbook: purpose and responsibilities are written in catalogue language · the sub-family definition and the level standard, followed by the common themes in the role-holders' own answers · 3+ answered — the role itself, else its sub-family across levels; the 'Evidence basis' column says which. Views of the role are counted themes, never quoted. The full catalogue is in IRIS_JA_3_Framework_and_Model_Master.xlsx.</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row>
    <row r="5" ht="32" customHeight="1">
      <c r="A5" s="73" t="inlineStr">
        <is>
          <t>ROLE</t>
        </is>
      </c>
      <c r="J5" s="74" t="inlineStr">
        <is>
          <t>IN THIS WORKBOOK</t>
        </is>
      </c>
      <c r="M5" s="76" t="inlineStr">
        <is>
          <t>PURPOSE &amp; RESPONSIBILITIES · catalogue text + common themes from role-holders' own answers</t>
        </is>
      </c>
      <c r="U5" s="77" t="inlineStr">
        <is>
          <t>WHAT THE LEVEL REQUIRES · framework standard</t>
        </is>
      </c>
      <c r="AD5" s="79" t="inlineStr">
        <is>
          <t>CAPABILITY</t>
        </is>
      </c>
      <c r="AG5" s="81" t="inlineStr">
        <is>
          <t>MARKET &amp; CAREER</t>
        </is>
      </c>
      <c r="AL5" s="83" t="inlineStr">
        <is>
          <t>LEARNING &amp; VOICE OF THE ROLE · counted themes — never quoted</t>
        </is>
      </c>
      <c r="AR5" s="85" t="inlineStr">
        <is>
          <t>DISCIPLINE DETAIL — from IRIS Career Architecture V2 · HR research, adopted 7 Oct 2026; comparable stage by scope, not a grade</t>
        </is>
      </c>
      <c r="AX5" s="87" t="inlineStr">
        <is>
          <t>EVIDENCE</t>
        </is>
      </c>
    </row>
    <row r="6" ht="46" customHeight="1">
      <c r="A6" s="91" t="inlineStr">
        <is>
          <t>Catalogue ID</t>
        </is>
      </c>
      <c r="B6" s="92" t="inlineStr">
        <is>
          <t>Job family</t>
        </is>
      </c>
      <c r="C6" s="92" t="inlineStr">
        <is>
          <t>Sub-family</t>
        </is>
      </c>
      <c r="D6" s="92" t="inlineStr">
        <is>
          <t>Level</t>
        </is>
      </c>
      <c r="E6" s="92" t="inlineStr">
        <is>
          <t>Level title</t>
        </is>
      </c>
      <c r="F6" s="92" t="inlineStr">
        <is>
          <t>Track</t>
        </is>
      </c>
      <c r="G6" s="92" t="inlineStr">
        <is>
          <t>Designations used at IRIS</t>
        </is>
      </c>
      <c r="H6" s="92" t="inlineStr">
        <is>
          <t>Holders</t>
        </is>
      </c>
      <c r="I6" s="92" t="inlineStr">
        <is>
          <t>Holders by business</t>
        </is>
      </c>
      <c r="J6" s="93" t="inlineStr">
        <is>
          <t>Holders here</t>
        </is>
      </c>
      <c r="K6" s="12" t="inlineStr">
        <is>
          <t>Who</t>
        </is>
      </c>
      <c r="L6" s="12" t="inlineStr">
        <is>
          <t>Department · s here</t>
        </is>
      </c>
      <c r="M6" s="94" t="inlineStr">
        <is>
          <t>Purpose</t>
        </is>
      </c>
      <c r="N6" s="156" t="inlineStr">
        <is>
          <t>Key responsibilities</t>
        </is>
      </c>
      <c r="O6" s="156" t="inlineStr">
        <is>
          <t>Deliverables</t>
        </is>
      </c>
      <c r="P6" s="156" t="inlineStr">
        <is>
          <t>Accountable for</t>
        </is>
      </c>
      <c r="Q6" s="156" t="inlineStr">
        <is>
          <t>Decision rights</t>
        </is>
      </c>
      <c r="R6" s="156" t="inlineStr">
        <is>
          <t>Manager-set KRAs · common themes</t>
        </is>
      </c>
      <c r="S6" s="156" t="inlineStr">
        <is>
          <t>Skills &amp; knowledge · counts</t>
        </is>
      </c>
      <c r="T6" s="156" t="inlineStr">
        <is>
          <t>Tools &amp; platforms · counts</t>
        </is>
      </c>
      <c r="U6" s="95" t="inlineStr">
        <is>
          <t>What the role owns</t>
        </is>
      </c>
      <c r="V6" s="96" t="inlineStr">
        <is>
          <t>Complexity &amp; expertise</t>
        </is>
      </c>
      <c r="W6" s="96" t="inlineStr">
        <is>
          <t>Autonomy &amp; decisions</t>
        </is>
      </c>
      <c r="X6" s="96" t="inlineStr">
        <is>
          <t>Accountability &amp; impact</t>
        </is>
      </c>
      <c r="Y6" s="96" t="inlineStr">
        <is>
          <t>Leadership</t>
        </is>
      </c>
      <c r="Z6" s="96" t="inlineStr">
        <is>
          <t>Experience · guide</t>
        </is>
      </c>
      <c r="AA6" s="96" t="inlineStr">
        <is>
          <t>Education</t>
        </is>
      </c>
      <c r="AB6" s="96" t="inlineStr">
        <is>
          <t>Credentials</t>
        </is>
      </c>
      <c r="AC6" s="96" t="inlineStr">
        <is>
          <t>Span of control</t>
        </is>
      </c>
      <c r="AD6" s="97" t="inlineStr">
        <is>
          <t>Proficiency by cluster</t>
        </is>
      </c>
      <c r="AE6" s="98" t="inlineStr">
        <is>
          <t>★ Must-have competencies</t>
        </is>
      </c>
      <c r="AF6" s="98" t="inlineStr">
        <is>
          <t>Other functional competencies</t>
        </is>
      </c>
      <c r="AG6" s="99" t="inlineStr">
        <is>
          <t>Radford / Mercer</t>
        </is>
      </c>
      <c r="AH6" s="100" t="inlineStr">
        <is>
          <t>SFIA 9</t>
        </is>
      </c>
      <c r="AI6" s="100" t="inlineStr">
        <is>
          <t>Peer equivalents</t>
        </is>
      </c>
      <c r="AJ6" s="100" t="inlineStr">
        <is>
          <t>Professional standard</t>
        </is>
      </c>
      <c r="AK6" s="100" t="inlineStr">
        <is>
          <t>Next step</t>
        </is>
      </c>
      <c r="AL6" s="101" t="inlineStr">
        <is>
          <t>Learning needs · topics, people</t>
        </is>
      </c>
      <c r="AM6" s="102" t="inlineStr">
        <is>
          <t>Manager-identified training</t>
        </is>
      </c>
      <c r="AN6" s="102" t="inlineStr">
        <is>
          <t>What helped people learn</t>
        </is>
      </c>
      <c r="AO6" s="102" t="inlineStr">
        <is>
          <t>What slows the role down · themes</t>
        </is>
      </c>
      <c r="AP6" s="102" t="inlineStr">
        <is>
          <t>If one thing could change · themes</t>
        </is>
      </c>
      <c r="AQ6" s="102" t="inlineStr">
        <is>
          <t>How the role is changing</t>
        </is>
      </c>
      <c r="AR6" s="103" t="inlineStr">
        <is>
          <t>Family boundary · purpose · includes · excludes</t>
        </is>
      </c>
      <c r="AS6" s="104" t="inlineStr">
        <is>
          <t>Comparable V2 stage · external research label</t>
        </is>
      </c>
      <c r="AT6" s="104" t="inlineStr">
        <is>
          <t>Discipline work expectation</t>
        </is>
      </c>
      <c r="AU6" s="104" t="inlineStr">
        <is>
          <t>Readiness evidence</t>
        </is>
      </c>
      <c r="AV6" s="104" t="inlineStr">
        <is>
          <t>Typical work sample</t>
        </is>
      </c>
      <c r="AW6" s="104" t="inlineStr">
        <is>
          <t>Peer evidence · observed titles</t>
        </is>
      </c>
      <c r="AX6" s="105" t="inlineStr">
        <is>
          <t>Evidence basis for purpose and responsibilities</t>
        </is>
      </c>
      <c r="AY6" s="106" t="inlineStr">
        <is>
          <t>Respondents</t>
        </is>
      </c>
    </row>
    <row r="7">
      <c r="A7" s="160" t="inlineStr">
        <is>
          <t>Data &amp; Analytics</t>
        </is>
      </c>
    </row>
    <row r="8" ht="67" customHeight="1">
      <c r="A8" s="175" t="inlineStr">
        <is>
          <t>RC-043</t>
        </is>
      </c>
      <c r="B8" s="111" t="inlineStr">
        <is>
          <t>Data &amp; Analytics</t>
        </is>
      </c>
      <c r="C8" s="111" t="inlineStr">
        <is>
          <t>MIS &amp; Business Reporting</t>
        </is>
      </c>
      <c r="D8" s="144" t="inlineStr">
        <is>
          <t>A2</t>
        </is>
      </c>
      <c r="E8" s="140" t="inlineStr">
        <is>
          <t>Associate</t>
        </is>
      </c>
      <c r="F8" s="111" t="inlineStr">
        <is>
          <t>IC</t>
        </is>
      </c>
      <c r="G8" s="111" t="inlineStr">
        <is>
          <t>MIS Associate</t>
        </is>
      </c>
      <c r="H8" s="112" t="n">
        <v>1</v>
      </c>
      <c r="I8" s="111" t="inlineStr">
        <is>
          <t>Datatech 1</t>
        </is>
      </c>
      <c r="J8" s="162" t="n">
        <v>1</v>
      </c>
      <c r="K8" s="115" t="inlineStr">
        <is>
          <t>Sameeksha More</t>
        </is>
      </c>
      <c r="L8" s="115" t="inlineStr">
        <is>
          <t>Datatech - Outreach</t>
        </is>
      </c>
      <c r="M8" s="118" t="inlineStr">
        <is>
          <t>Builds MIS, dashboards and revenue/ARR forecasts. At A2: standard work delivered independently.</t>
        </is>
      </c>
      <c r="N8" s="164" t="inlineStr">
        <is>
          <t>Builds MIS, dashboards and revenue/ARR forecasts; Standard work of the discipline; Own deliverables · accuracy, TAT</t>
        </is>
      </c>
      <c r="O8" s="164" t="inlineStr">
        <is>
          <t>Own deliverables · accuracy, TAT</t>
        </is>
      </c>
      <c r="P8" s="164" t="inlineStr">
        <is>
          <t>Own deliverables · accuracy, TAT</t>
        </is>
      </c>
      <c r="Q8" s="164" t="inlineStr">
        <is>
          <t>Chooses own approach within standards</t>
        </is>
      </c>
      <c r="R8" s="164" t="inlineStr">
        <is>
          <t>—</t>
        </is>
      </c>
      <c r="S8" s="164" t="inlineStr">
        <is>
          <t>—</t>
        </is>
      </c>
      <c r="T8" s="164" t="inlineStr">
        <is>
          <t>—</t>
        </is>
      </c>
      <c r="U8" s="119" t="inlineStr">
        <is>
          <t>Standard work delivered independently</t>
        </is>
      </c>
      <c r="V8" s="165" t="inlineStr">
        <is>
          <t>Standard work of the discipline</t>
        </is>
      </c>
      <c r="W8" s="165" t="inlineStr">
        <is>
          <t>Chooses own approach within standards</t>
        </is>
      </c>
      <c r="X8" s="165" t="inlineStr">
        <is>
          <t>Own deliverables · accuracy, TAT</t>
        </is>
      </c>
      <c r="Y8" s="165" t="inlineStr">
        <is>
          <t>Not scored in Band A</t>
        </is>
      </c>
      <c r="Z8" s="165" t="inlineStr">
        <is>
          <t>0–2 yrs</t>
        </is>
      </c>
      <c r="AA8" s="165" t="inlineStr">
        <is>
          <t>Graduate · or diploma with experience</t>
        </is>
      </c>
      <c r="AB8" s="165" t="inlineStr">
        <is>
          <t>Power BI / Tableau · optional; Database certifications · optional</t>
        </is>
      </c>
      <c r="AC8" s="165" t="inlineStr">
        <is>
          <t>No direct reports</t>
        </is>
      </c>
      <c r="AD8" s="121" t="inlineStr">
        <is>
          <t>Core 2 · Future-ready 2 · Functional 2 · Leadership —</t>
        </is>
      </c>
      <c r="AE8" s="122" t="inlineStr">
        <is>
          <t>Data Analytics, BI &amp; Visualisation · Database, SQL &amp; Data Engineering</t>
        </is>
      </c>
      <c r="AF8" s="122" t="inlineStr">
        <is>
          <t>Advanced Excel &amp; Productivity Tools · Regulatory &amp; BFSI Domain · Process Improvement &amp; Quality Mindset · Accounting &amp; Reporting Standards · IFRS/US GAAP</t>
        </is>
      </c>
      <c r="AG8" s="176" t="inlineStr">
        <is>
          <t>P1–P2</t>
        </is>
      </c>
      <c r="AH8" s="128" t="inlineStr">
        <is>
          <t>2 Assist</t>
        </is>
      </c>
      <c r="AI8" s="177" t="inlineStr">
        <is>
          <r>
            <rPr>
              <rFont val="Calibri"/>
              <b val="1"/>
              <sz val="10"/>
            </rPr>
            <t>Atlassian company-wide P-levels:</t>
          </r>
          <r>
            <rPr>
              <rFont val="Calibri"/>
              <sz val="10"/>
            </rPr>
            <t xml:space="preserve"> P30 Analyst · IRIS Vs Competitor Benchmark — data analyst ladder: Data Analyst I</t>
          </r>
        </is>
      </c>
      <c r="AJ8" s="177" t="inlineStr">
        <is>
          <t>DAMA-DMBOK · 11 knowledge areas around data governance</t>
        </is>
      </c>
      <c r="AK8" s="177" t="inlineStr">
        <is>
          <t>A3 · Senior Associate</t>
        </is>
      </c>
      <c r="AL8" s="129" t="inlineStr">
        <is>
          <t>Technical depth &amp; architecture · Data, SQL &amp; analytics</t>
        </is>
      </c>
      <c r="AM8" s="130" t="inlineStr">
        <is>
          <r>
            <rPr>
              <rFont val="Calibri"/>
              <b val="1"/>
              <sz val="10"/>
            </rPr>
            <t>Decision:</t>
          </r>
          <r>
            <rPr>
              <rFont val="Calibri"/>
              <sz val="10"/>
            </rPr>
            <t xml:space="preserve"> Contract extension · not conversion at this point for 6-12 months.</t>
          </r>
        </is>
      </c>
      <c r="AN8" s="130" t="inlineStr">
        <is>
          <t>—</t>
        </is>
      </c>
      <c r="AO8" s="130" t="inlineStr">
        <is>
          <t>—</t>
        </is>
      </c>
      <c r="AP8" s="130" t="inlineStr">
        <is>
          <t>—</t>
        </is>
      </c>
      <c r="AQ8" s="130" t="inlineStr">
        <is>
          <t>—</t>
        </is>
      </c>
      <c r="AR8" s="131" t="inlineStr">
        <is>
          <t>Turn data into defensible decisions and models. Includes: BI, decision analysis and data science. Excludes: Financial-data production; software engineering of pipelines.</t>
        </is>
      </c>
      <c r="AS8" s="132" t="inlineStr">
        <is>
          <t>DAT01-1 · Junior Data Analyst</t>
        </is>
      </c>
      <c r="AT8" s="132" t="inlineStr">
        <is>
          <r>
            <rPr>
              <rFont val="Calibri"/>
              <b val="1"/>
              <sz val="10"/>
            </rPr>
            <t>Complete defined parts under review:</t>
          </r>
          <r>
            <rPr>
              <rFont val="Calibri"/>
              <sz val="10"/>
            </rPr>
            <t xml:space="preserve"> build reconciled metrics and explain their limitations.</t>
          </r>
        </is>
      </c>
      <c r="AU8" s="132" t="inlineStr">
        <is>
          <t>Repeatable correct delivery, safe escalation and required entry eligibility.</t>
        </is>
      </c>
      <c r="AV8" s="132" t="inlineStr">
        <is>
          <t>A reconciled dashboard with explicit metric definitions and documented decisions</t>
        </is>
      </c>
      <c r="AW8" s="132" t="inlineStr">
        <is>
          <r>
            <rPr>
              <rFont val="Calibri"/>
              <b val="1"/>
              <sz val="10"/>
            </rPr>
            <t>S&amp;P Global:</t>
          </r>
          <r>
            <rPr>
              <rFont val="Calibri"/>
              <sz val="10"/>
            </rPr>
            <t xml:space="preserve"> Lead data analyst · Adjacent work, retained extract. Gap: Financial-data processing is not decision analytics; Wise is the stronger scope source</t>
          </r>
        </is>
      </c>
      <c r="AX8" s="133" t="inlineStr">
        <is>
          <t>Framework only · fewer than 3 answered</t>
        </is>
      </c>
      <c r="AY8" s="134" t="inlineStr">
        <is>
          <t>1 holder, 1 answered the survey; sub-family 2 answered</t>
        </is>
      </c>
    </row>
    <row r="9">
      <c r="A9" s="160" t="inlineStr">
        <is>
          <t>Design &amp; Creative</t>
        </is>
      </c>
    </row>
    <row r="10" ht="93" customHeight="1">
      <c r="A10" s="175" t="inlineStr">
        <is>
          <t>RC-051</t>
        </is>
      </c>
      <c r="B10" s="111" t="inlineStr">
        <is>
          <t>Design &amp; Creative</t>
        </is>
      </c>
      <c r="C10" s="111" t="inlineStr">
        <is>
          <t>Brand, Graphic &amp; Video Design</t>
        </is>
      </c>
      <c r="D10" s="144" t="inlineStr">
        <is>
          <t>A2</t>
        </is>
      </c>
      <c r="E10" s="140" t="inlineStr">
        <is>
          <t>Associate</t>
        </is>
      </c>
      <c r="F10" s="111" t="inlineStr">
        <is>
          <t>IC</t>
        </is>
      </c>
      <c r="G10" s="111" t="inlineStr">
        <is>
          <t>Designer</t>
        </is>
      </c>
      <c r="H10" s="112" t="n">
        <v>1</v>
      </c>
      <c r="I10" s="111" t="inlineStr">
        <is>
          <t>Datatech 1</t>
        </is>
      </c>
      <c r="J10" s="162" t="n">
        <v>1</v>
      </c>
      <c r="K10" s="115" t="inlineStr">
        <is>
          <t>Vaishnavi Dhuri</t>
        </is>
      </c>
      <c r="L10" s="115" t="inlineStr">
        <is>
          <t>Marketing</t>
        </is>
      </c>
      <c r="M10" s="118" t="inlineStr">
        <is>
          <r>
            <rPr>
              <rFont val="Calibri"/>
              <sz val="10"/>
            </rPr>
            <t xml:space="preserve">Creates brand assets, creatives, decks, motion graphics and video. At A2: standard work delivered independently.
</t>
          </r>
          <r>
            <rPr>
              <rFont val="Calibri"/>
              <b val="1"/>
              <sz val="10"/>
            </rPr>
            <t>Common themes in sub-family holders, all levels' answers:</t>
          </r>
          <r>
            <rPr>
              <rFont val="Calibri"/>
              <sz val="10"/>
            </rPr>
            <t xml:space="preserve"> media · social · collaterals · designing · shobhan · reports</t>
          </r>
        </is>
      </c>
      <c r="N10" s="164" t="inlineStr">
        <is>
          <r>
            <rPr>
              <rFont val="Calibri"/>
              <sz val="10"/>
            </rPr>
            <t xml:space="preserve">Creates brand assets, creatives, decks, motion graphics and video; Standard work of the discipline; Own deliverables · accuracy, TAT
</t>
          </r>
          <r>
            <rPr>
              <rFont val="Calibri"/>
              <b val="1"/>
              <sz val="10"/>
            </rPr>
            <t>Common themes in sub-family holders, all levels' answers:</t>
          </r>
          <r>
            <rPr>
              <rFont val="Calibri"/>
              <sz val="10"/>
            </rPr>
            <t xml:space="preserve"> sales · event · collaterals</t>
          </r>
        </is>
      </c>
      <c r="O10" s="164" t="inlineStr">
        <is>
          <r>
            <rPr>
              <rFont val="Calibri"/>
              <sz val="10"/>
            </rPr>
            <t xml:space="preserve">Own deliverables · accuracy, TAT
</t>
          </r>
          <r>
            <rPr>
              <rFont val="Calibri"/>
              <b val="1"/>
              <sz val="10"/>
            </rPr>
            <t>Common themes in sub-family holders, all levels' answers:</t>
          </r>
          <r>
            <rPr>
              <rFont val="Calibri"/>
              <sz val="10"/>
            </rPr>
            <t xml:space="preserve"> decks · assets · video · event · presentation · social</t>
          </r>
        </is>
      </c>
      <c r="P10" s="164" t="inlineStr">
        <is>
          <r>
            <rPr>
              <rFont val="Calibri"/>
              <sz val="10"/>
            </rPr>
            <t xml:space="preserve">Own deliverables · accuracy, TAT
</t>
          </r>
          <r>
            <rPr>
              <rFont val="Calibri"/>
              <b val="1"/>
              <sz val="10"/>
            </rPr>
            <t>Common themes in sub-family holders, all levels' answers:</t>
          </r>
          <r>
            <rPr>
              <rFont val="Calibri"/>
              <sz val="10"/>
            </rPr>
            <t xml:space="preserve"> visual · design · presentation · solution</t>
          </r>
        </is>
      </c>
      <c r="Q10" s="164" t="inlineStr">
        <is>
          <r>
            <rPr>
              <rFont val="Calibri"/>
              <sz val="10"/>
            </rPr>
            <t xml:space="preserve">Chooses own approach within standards
</t>
          </r>
          <r>
            <rPr>
              <rFont val="Calibri"/>
              <b val="1"/>
              <sz val="10"/>
            </rPr>
            <t>Common themes in sub-family holders, all levels' answers:</t>
          </r>
          <r>
            <rPr>
              <rFont val="Calibri"/>
              <sz val="10"/>
            </rPr>
            <t xml:space="preserve"> design</t>
          </r>
        </is>
      </c>
      <c r="R10" s="164" t="inlineStr">
        <is>
          <t>—</t>
        </is>
      </c>
      <c r="S10" s="164" t="inlineStr">
        <is>
          <t>Graphic design</t>
        </is>
      </c>
      <c r="T10" s="164" t="inlineStr">
        <is>
          <t>Canva</t>
        </is>
      </c>
      <c r="U10" s="119" t="inlineStr">
        <is>
          <t>Standard work delivered independently</t>
        </is>
      </c>
      <c r="V10" s="165" t="inlineStr">
        <is>
          <t>Standard work of the discipline</t>
        </is>
      </c>
      <c r="W10" s="165" t="inlineStr">
        <is>
          <t>Chooses own approach within standards</t>
        </is>
      </c>
      <c r="X10" s="165" t="inlineStr">
        <is>
          <t>Own deliverables · accuracy, TAT</t>
        </is>
      </c>
      <c r="Y10" s="165" t="inlineStr">
        <is>
          <t>Not scored in Band A</t>
        </is>
      </c>
      <c r="Z10" s="165" t="inlineStr">
        <is>
          <t>0–2 yrs</t>
        </is>
      </c>
      <c r="AA10" s="165" t="inlineStr">
        <is>
          <t>Graduate · or diploma with experience</t>
        </is>
      </c>
      <c r="AB10" s="165" t="inlineStr">
        <is>
          <t>Internal product certification</t>
        </is>
      </c>
      <c r="AC10" s="165" t="inlineStr">
        <is>
          <t>No direct reports</t>
        </is>
      </c>
      <c r="AD10" s="121" t="inlineStr">
        <is>
          <t>Core 2 · Future-ready 2 · Functional 2 · Leadership —</t>
        </is>
      </c>
      <c r="AE10" s="122" t="inlineStr">
        <is>
          <t>Product, Platform &amp; Domain Knowledge · Communication &amp; Presentation</t>
        </is>
      </c>
      <c r="AF10" s="122" t="inlineStr">
        <is>
          <t>Marketing Tech &amp; Digital Marketing · Process Improvement &amp; Quality Mindset · AI, GenAI &amp; Prompt Engineering · Stakeholder &amp; Client Management</t>
        </is>
      </c>
      <c r="AG10" s="176" t="inlineStr">
        <is>
          <t>P1–P2</t>
        </is>
      </c>
      <c r="AH10" s="128" t="inlineStr">
        <is>
          <t>2 Assist</t>
        </is>
      </c>
      <c r="AI10" s="177" t="inlineStr">
        <is>
          <t>IRIS Vs Competitor Benchmark — UX / design ladder: Junior Designer</t>
        </is>
      </c>
      <c r="AJ10" s="177" t="inlineStr">
        <is>
          <t>UX career ladder Junior → Designer → Senior → Lead → Principal; WCAG accessibility</t>
        </is>
      </c>
      <c r="AK10" s="177" t="inlineStr">
        <is>
          <t>A3 · Senior Associate</t>
        </is>
      </c>
      <c r="AL10" s="129" t="inlineStr">
        <is>
          <t>Product &amp; tool knowledge · Marketing &amp; content</t>
        </is>
      </c>
      <c r="AM10" s="130" t="inlineStr">
        <is>
          <t>—</t>
        </is>
      </c>
      <c r="AN10" s="130" t="inlineStr">
        <is>
          <t>Knowledge transfer · KT · Mentoring / guidance from seniors</t>
        </is>
      </c>
      <c r="AO10" s="130" t="inlineStr">
        <is>
          <t>No common theme</t>
        </is>
      </c>
      <c r="AP10" s="130" t="inlineStr">
        <is>
          <t>No common theme</t>
        </is>
      </c>
      <c r="AQ10" s="130" t="inlineStr">
        <is>
          <t>2 of 4 say the role is changing because of AI / automation</t>
        </is>
      </c>
      <c r="AR10" s="131" t="inlineStr">
        <is>
          <t>Shape usable experiences and visual communication. Includes: Brand creative, product design and user research. Excludes: Marketing campaign ownership; frontend implementation.</t>
        </is>
      </c>
      <c r="AS10" s="132" t="inlineStr">
        <is>
          <t>DES01-1 · Junior Graphic Designer</t>
        </is>
      </c>
      <c r="AT10" s="132" t="inlineStr">
        <is>
          <r>
            <rPr>
              <rFont val="Calibri"/>
              <b val="1"/>
              <sz val="10"/>
            </rPr>
            <t>Complete defined parts under review:</t>
          </r>
          <r>
            <rPr>
              <rFont val="Calibri"/>
              <sz val="10"/>
            </rPr>
            <t xml:space="preserve"> produce usable brand assets with correct production specifications.</t>
          </r>
        </is>
      </c>
      <c r="AU10" s="132" t="inlineStr">
        <is>
          <t>Repeatable correct delivery, safe escalation and required entry eligibility.</t>
        </is>
      </c>
      <c r="AV10" s="132" t="inlineStr">
        <is>
          <t>A brand or creative portfolio with audience fit, design rationale and production quality</t>
        </is>
      </c>
      <c r="AW10" s="132" t="inlineStr">
        <is>
          <r>
            <rPr>
              <rFont val="Calibri"/>
              <b val="1"/>
              <sz val="10"/>
            </rPr>
            <t>Workiva:</t>
          </r>
          <r>
            <rPr>
              <rFont val="Calibri"/>
              <sz val="10"/>
            </rPr>
            <t xml:space="preserve"> Brand Graphic Design Intern, 2027 cohort · Entry only. Gap: Brand internship directly observed; product-design principal levels cannot be borrowed</t>
          </r>
        </is>
      </c>
      <c r="AX10" s="178" t="inlineStr">
        <is>
          <t>Framework + sub-family themes · 3+ answered</t>
        </is>
      </c>
      <c r="AY10" s="134" t="inlineStr">
        <is>
          <t>1 holder, 1 answered the survey; sub-family 4 answered</t>
        </is>
      </c>
    </row>
    <row r="11" ht="67" customHeight="1">
      <c r="A11" s="175" t="inlineStr">
        <is>
          <t>RC-054</t>
        </is>
      </c>
      <c r="B11" s="111" t="inlineStr">
        <is>
          <t>Design &amp; Creative</t>
        </is>
      </c>
      <c r="C11" s="111" t="inlineStr">
        <is>
          <t>UX / UI Design</t>
        </is>
      </c>
      <c r="D11" s="144" t="inlineStr">
        <is>
          <t>A3</t>
        </is>
      </c>
      <c r="E11" s="140" t="inlineStr">
        <is>
          <t>Senior Associate</t>
        </is>
      </c>
      <c r="F11" s="111" t="inlineStr">
        <is>
          <t>IC</t>
        </is>
      </c>
      <c r="G11" s="111" t="inlineStr">
        <is>
          <t>Senior Product Designer</t>
        </is>
      </c>
      <c r="H11" s="112" t="n">
        <v>2</v>
      </c>
      <c r="I11" s="111" t="inlineStr">
        <is>
          <t>CARBON 1 · Datatech 1</t>
        </is>
      </c>
      <c r="J11" s="162" t="n">
        <v>1</v>
      </c>
      <c r="K11" s="115" t="inlineStr">
        <is>
          <t>Utkarsh Sagar Bafana</t>
        </is>
      </c>
      <c r="L11" s="115" t="inlineStr">
        <is>
          <t>Technology</t>
        </is>
      </c>
      <c r="M11" s="118" t="inlineStr">
        <is>
          <t>Designs product screens, flows and prototypes. At A3: varied work; reviews juniors; go-to for a process.</t>
        </is>
      </c>
      <c r="N11" s="164" t="inlineStr">
        <is>
          <t>Designs product screens, flows and prototypes; Varied and non-standard work; handles exceptions; A module / process, or work with client or regulatory consequences</t>
        </is>
      </c>
      <c r="O11" s="164" t="inlineStr">
        <is>
          <t>A module / process, or work with client or regulatory consequences</t>
        </is>
      </c>
      <c r="P11" s="164" t="inlineStr">
        <is>
          <t>A module / process, or work with client or regulatory consequences</t>
        </is>
      </c>
      <c r="Q11" s="164" t="inlineStr">
        <is>
          <t>Technical / QC / client calls on own work</t>
        </is>
      </c>
      <c r="R11" s="164" t="inlineStr">
        <is>
          <t>—</t>
        </is>
      </c>
      <c r="S11" s="164" t="inlineStr">
        <is>
          <t>—</t>
        </is>
      </c>
      <c r="T11" s="164" t="inlineStr">
        <is>
          <t>—</t>
        </is>
      </c>
      <c r="U11" s="119" t="inlineStr">
        <is>
          <t>Varied work; reviews juniors; go-to for a process</t>
        </is>
      </c>
      <c r="V11" s="165" t="inlineStr">
        <is>
          <t>Varied and non-standard work; handles exceptions</t>
        </is>
      </c>
      <c r="W11" s="165" t="inlineStr">
        <is>
          <t>Technical / QC / client calls on own work</t>
        </is>
      </c>
      <c r="X11" s="165" t="inlineStr">
        <is>
          <t>A module / process, or work with client or regulatory consequences</t>
        </is>
      </c>
      <c r="Y11" s="165" t="inlineStr">
        <is>
          <t>Not scored in Band A</t>
        </is>
      </c>
      <c r="Z11" s="165" t="inlineStr">
        <is>
          <t>2–4 yrs</t>
        </is>
      </c>
      <c r="AA11" s="165" t="inlineStr">
        <is>
          <t>Graduate; relevant certification preferred</t>
        </is>
      </c>
      <c r="AB11" s="165" t="inlineStr">
        <is>
          <t>Internal product certification</t>
        </is>
      </c>
      <c r="AC11" s="165" t="inlineStr">
        <is>
          <t>None · guides 1–3 juniors informally</t>
        </is>
      </c>
      <c r="AD11" s="121" t="inlineStr">
        <is>
          <t>Core 2 · Future-ready 2 · Functional 3 · Leadership —</t>
        </is>
      </c>
      <c r="AE11" s="122" t="inlineStr">
        <is>
          <t>Product, Platform &amp; Domain Knowledge · Communication &amp; Presentation</t>
        </is>
      </c>
      <c r="AF11" s="122" t="inlineStr">
        <is>
          <t>Marketing Tech &amp; Digital Marketing · Process Improvement &amp; Quality Mindset · AI, GenAI &amp; Prompt Engineering · Stakeholder &amp; Client Management</t>
        </is>
      </c>
      <c r="AG11" s="176" t="inlineStr">
        <is>
          <t>P2</t>
        </is>
      </c>
      <c r="AH11" s="128" t="inlineStr">
        <is>
          <t>3 Apply</t>
        </is>
      </c>
      <c r="AI11" s="177" t="inlineStr">
        <is>
          <t>IRIS Vs Competitor Benchmark — UX / design ladder: Designer</t>
        </is>
      </c>
      <c r="AJ11" s="177" t="inlineStr">
        <is>
          <t>UX career ladder Junior → Designer → Senior → Lead → Principal; WCAG accessibility</t>
        </is>
      </c>
      <c r="AK11" s="177" t="inlineStr">
        <is>
          <t>B1 · Specialist</t>
        </is>
      </c>
      <c r="AL11" s="129" t="inlineStr">
        <is>
          <t>Product &amp; tool knowledge</t>
        </is>
      </c>
      <c r="AM11" s="130" t="inlineStr">
        <is>
          <t>-None at this time</t>
        </is>
      </c>
      <c r="AN11" s="130" t="inlineStr">
        <is>
          <t>—</t>
        </is>
      </c>
      <c r="AO11" s="130" t="inlineStr">
        <is>
          <t>—</t>
        </is>
      </c>
      <c r="AP11" s="130" t="inlineStr">
        <is>
          <t>—</t>
        </is>
      </c>
      <c r="AQ11" s="130" t="inlineStr">
        <is>
          <t>—</t>
        </is>
      </c>
      <c r="AR11" s="131" t="inlineStr">
        <is>
          <t>Shape usable experiences and visual communication. Includes: Brand creative, product design and user research. Excludes: Marketing campaign ownership; frontend implementation.</t>
        </is>
      </c>
      <c r="AS11" s="132" t="inlineStr">
        <is>
          <t>DES02-2 · Product Designer</t>
        </is>
      </c>
      <c r="AT11" s="132" t="inlineStr">
        <is>
          <t>Design and test a usable product workflow.</t>
        </is>
      </c>
      <c r="AU11" s="132" t="inlineStr">
        <is>
          <t>Demonstrate routine delivery plus judgement in bounded exceptions.</t>
        </is>
      </c>
      <c r="AV11" s="132" t="inlineStr">
        <is>
          <t>A validated customer workflow with research evidence, usability measures and implementation review</t>
        </is>
      </c>
      <c r="AW11" s="132" t="inlineStr">
        <is>
          <r>
            <rPr>
              <rFont val="Calibri"/>
              <b val="1"/>
              <sz val="10"/>
            </rPr>
            <t>Workiva:</t>
          </r>
          <r>
            <rPr>
              <rFont val="Calibri"/>
              <sz val="10"/>
            </rPr>
            <t xml:space="preserve"> Principal Product Designer · Selected expert role. Gap: Strong peer example of multi-product expert scope</t>
          </r>
        </is>
      </c>
      <c r="AX11" s="133" t="inlineStr">
        <is>
          <t>Framework only · fewer than 3 answered</t>
        </is>
      </c>
      <c r="AY11" s="134" t="inlineStr">
        <is>
          <t>2 holders, 2 answered the survey; sub-family 2 answered</t>
        </is>
      </c>
    </row>
    <row r="12">
      <c r="A12" s="160" t="inlineStr">
        <is>
          <t>Engineering &amp; Architecture</t>
        </is>
      </c>
    </row>
    <row r="13" ht="119" customHeight="1">
      <c r="A13" s="175" t="inlineStr">
        <is>
          <t>RC-057</t>
        </is>
      </c>
      <c r="B13" s="111" t="inlineStr">
        <is>
          <t>Engineering &amp; Architecture</t>
        </is>
      </c>
      <c r="C13" s="111" t="inlineStr">
        <is>
          <t>Solution &amp; Technical Architecture</t>
        </is>
      </c>
      <c r="D13" s="179" t="inlineStr">
        <is>
          <t>C1</t>
        </is>
      </c>
      <c r="E13" s="151" t="inlineStr">
        <is>
          <t>Principal</t>
        </is>
      </c>
      <c r="F13" s="111" t="inlineStr">
        <is>
          <t>IC</t>
        </is>
      </c>
      <c r="G13" s="111" t="inlineStr">
        <is>
          <t>Technical Architect · Solution Architect</t>
        </is>
      </c>
      <c r="H13" s="112" t="n">
        <v>2</v>
      </c>
      <c r="I13" s="111" t="inlineStr">
        <is>
          <t>iFile 1 · Datatech 1</t>
        </is>
      </c>
      <c r="J13" s="162" t="n">
        <v>1</v>
      </c>
      <c r="K13" s="115" t="inlineStr">
        <is>
          <t>Sanghamitra Saxena</t>
        </is>
      </c>
      <c r="L13" s="115" t="inlineStr">
        <is>
          <t>Technology</t>
        </is>
      </c>
      <c r="M13" s="118" t="inlineStr">
        <is>
          <r>
            <rPr>
              <rFont val="Calibri"/>
              <sz val="10"/>
            </rPr>
            <t xml:space="preserve">Designs system / solution architecture, integrations and technical standards; guides build teams. At C1: a sub-function, or principal authority across products.
</t>
          </r>
          <r>
            <rPr>
              <rFont val="Calibri"/>
              <b val="1"/>
              <sz val="10"/>
            </rPr>
            <t>Common themes in sub-family holders, all levels' answers:</t>
          </r>
          <r>
            <rPr>
              <rFont val="Calibri"/>
              <sz val="10"/>
            </rPr>
            <t xml:space="preserve"> technical · client · project · design · development · business</t>
          </r>
        </is>
      </c>
      <c r="N13" s="164" t="inlineStr">
        <is>
          <r>
            <rPr>
              <rFont val="Calibri"/>
              <sz val="10"/>
            </rPr>
            <t xml:space="preserve">Designs system / solution architecture, integrations and technical standards; guides build teams; Ambiguous, cross-product problems; Sub-function results or domain quality across products
</t>
          </r>
          <r>
            <rPr>
              <rFont val="Calibri"/>
              <b val="1"/>
              <sz val="10"/>
            </rPr>
            <t>Common themes in sub-family holders, all levels' answers:</t>
          </r>
          <r>
            <rPr>
              <rFont val="Calibri"/>
              <sz val="10"/>
            </rPr>
            <t xml:space="preserve"> client · technical · documentation · solution · architecture · management</t>
          </r>
        </is>
      </c>
      <c r="O13" s="164"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architecture · design · documentation · solution · technical · project</t>
          </r>
        </is>
      </c>
      <c r="P13" s="164"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technical · client · solution · architecture · design · am</t>
          </r>
        </is>
      </c>
      <c r="Q13" s="164" t="inlineStr">
        <is>
          <r>
            <rPr>
              <rFont val="Calibri"/>
              <sz val="10"/>
            </rPr>
            <t xml:space="preserve">Sets direction for a sub-function or domain
</t>
          </r>
          <r>
            <rPr>
              <rFont val="Calibri"/>
              <b val="1"/>
              <sz val="10"/>
            </rPr>
            <t>Common themes in sub-family holders, all levels' answers:</t>
          </r>
          <r>
            <rPr>
              <rFont val="Calibri"/>
              <sz val="10"/>
            </rPr>
            <t xml:space="preserve"> technical · approach · design · standards</t>
          </r>
        </is>
      </c>
      <c r="R13" s="164" t="inlineStr">
        <is>
          <t>—</t>
        </is>
      </c>
      <c r="S13" s="164" t="inlineStr">
        <is>
          <t>Java · NET MVC · Spring Boot</t>
        </is>
      </c>
      <c r="T13" s="164" t="inlineStr">
        <is>
          <t>Visual Studio</t>
        </is>
      </c>
      <c r="U13" s="119" t="inlineStr">
        <is>
          <t>A sub-function, or principal authority across products</t>
        </is>
      </c>
      <c r="V13" s="165" t="inlineStr">
        <is>
          <t>Ambiguous, cross-product problems</t>
        </is>
      </c>
      <c r="W13" s="165" t="inlineStr">
        <is>
          <t>Sets direction for a sub-function or domain</t>
        </is>
      </c>
      <c r="X13" s="165" t="inlineStr">
        <is>
          <t>Sub-function results or domain quality across products</t>
        </is>
      </c>
      <c r="Y13" s="165" t="inlineStr">
        <is>
          <t>Leads managers or a community of practice</t>
        </is>
      </c>
      <c r="Z13" s="165" t="inlineStr">
        <is>
          <t>10–14 yrs</t>
        </is>
      </c>
      <c r="AA13" s="165" t="inlineStr">
        <is>
          <t>Postgraduate / professional qualification preferred</t>
        </is>
      </c>
      <c r="AB13" s="165" t="inlineStr">
        <is>
          <t>AWS / Azure architect · optional; Cloud / language certifications · optional</t>
        </is>
      </c>
      <c r="AC13" s="165" t="inlineStr">
        <is>
          <t>5–8, mostly managers</t>
        </is>
      </c>
      <c r="AD13" s="121" t="inlineStr">
        <is>
          <t>Core 4 · Future-ready 4 · Functional 4 · Leadership 4</t>
        </is>
      </c>
      <c r="AE13" s="122" t="inlineStr">
        <is>
          <t>System Design &amp; Architecture · Programming &amp; Tech-Stack Depth</t>
        </is>
      </c>
      <c r="AF13" s="122" t="inlineStr">
        <is>
          <t>Cloud, DevOps &amp; CI/CD · Cybersecurity &amp; Infrastructure · Stakeholder &amp; Client Management · Strategic Thinking &amp; Business Acumen</t>
        </is>
      </c>
      <c r="AG13" s="176" t="inlineStr">
        <is>
          <t>P6 / M5</t>
        </is>
      </c>
      <c r="AH13" s="128" t="inlineStr">
        <is>
          <t>5–6</t>
        </is>
      </c>
      <c r="AI13" s="177" t="inlineStr">
        <is>
          <r>
            <rPr>
              <rFont val="Calibri"/>
              <b val="1"/>
              <sz val="10"/>
            </rPr>
            <t>Nasdaq / AxiomSL:</t>
          </r>
          <r>
            <rPr>
              <rFont val="Calibri"/>
              <sz val="10"/>
            </rPr>
            <t xml:space="preserve"> Principal SE · Salesforce: PMTS · Atlassian: P60 Principal · 10+ yrs · Freshworks: Senior Staff SE</t>
          </r>
        </is>
      </c>
      <c r="AJ13" s="177" t="inlineStr">
        <is>
          <t>SFIA 9 · solution architecture; TOGAF; AWS / Azure architect certifications</t>
        </is>
      </c>
      <c r="AK13" s="177" t="inlineStr">
        <is>
          <t>C2 · Senior Principal / Architect</t>
        </is>
      </c>
      <c r="AL13" s="129" t="inlineStr">
        <is>
          <t>Leadership &amp; people management · Technical depth &amp; architecture · Strategy &amp; business acumen</t>
        </is>
      </c>
      <c r="AM13" s="130" t="inlineStr">
        <is>
          <t>AI and data science related training may help at this juncture for Sharan to build products to enable SupTech stakeholders</t>
        </is>
      </c>
      <c r="AN13" s="130" t="inlineStr">
        <is>
          <t>On-the-job / hands-on · Formal / classroom training · Knowledge transfer · KT · Online courses / self-learning · Mentoring / guidance from seniors</t>
        </is>
      </c>
      <c r="AO13" s="130" t="inlineStr">
        <is>
          <t>changing · priorities</t>
        </is>
      </c>
      <c r="AP13" s="130" t="inlineStr">
        <is>
          <t>add · clearer requirements · faster · gets · deliverables</t>
        </is>
      </c>
      <c r="AQ13" s="130" t="inlineStr">
        <is>
          <t>6 of 9 say the role is changing because of AI / automation</t>
        </is>
      </c>
      <c r="AR13" s="131" t="inlineStr">
        <is>
          <t>Define system architecture across components. Includes: Solution design, non-functional trade-offs and architecture standards. Excludes: Presales persuasion alone; routine software delivery.</t>
        </is>
      </c>
      <c r="AS13" s="132" t="inlineStr">
        <is>
          <t>ARC01-4 · Principal Solution Architect</t>
        </is>
      </c>
      <c r="AT13" s="132" t="inlineStr">
        <is>
          <t>Set cross-product architecture principles and govern justified exceptions.</t>
        </is>
      </c>
      <c r="AU13" s="132" t="inlineStr">
        <is>
          <t>Adoption beyond own work; recurring authority and measurable wider outcomes.</t>
        </is>
      </c>
      <c r="AV13" s="132" t="inlineStr">
        <is>
          <t>A design decision record with alternatives, cost and security trade-offs plus implementation validation</t>
        </is>
      </c>
      <c r="AW13" s="132" t="inlineStr">
        <is>
          <r>
            <rPr>
              <rFont val="Calibri"/>
              <b val="1"/>
              <sz val="10"/>
            </rPr>
            <t>CoreFiling:</t>
          </r>
          <r>
            <rPr>
              <rFont val="Calibri"/>
              <sz val="10"/>
            </rPr>
            <t xml:space="preserve"> Careers and technical context · Context only. Gap: Peer context supports technical/domain expertise but no complete architecture ladder</t>
          </r>
        </is>
      </c>
      <c r="AX13" s="178" t="inlineStr">
        <is>
          <t>Framework + sub-family themes · 3+ answered</t>
        </is>
      </c>
      <c r="AY13" s="134" t="inlineStr">
        <is>
          <t>2 holders, 1 answered the survey; sub-family 9 answered</t>
        </is>
      </c>
    </row>
    <row r="14">
      <c r="A14" s="160" t="inlineStr">
        <is>
          <t>Engineering &amp; Development</t>
        </is>
      </c>
    </row>
    <row r="15" ht="106" customHeight="1">
      <c r="A15" s="175" t="inlineStr">
        <is>
          <t>RC-066</t>
        </is>
      </c>
      <c r="B15" s="111" t="inlineStr">
        <is>
          <t>Engineering &amp; Development</t>
        </is>
      </c>
      <c r="C15" s="111" t="inlineStr">
        <is>
          <t>Backend Development</t>
        </is>
      </c>
      <c r="D15" s="144" t="inlineStr">
        <is>
          <t>A2</t>
        </is>
      </c>
      <c r="E15" s="140" t="inlineStr">
        <is>
          <t>Associate</t>
        </is>
      </c>
      <c r="F15" s="111" t="inlineStr">
        <is>
          <t>IC</t>
        </is>
      </c>
      <c r="G15" s="111" t="inlineStr">
        <is>
          <t>Software Engineer</t>
        </is>
      </c>
      <c r="H15" s="112" t="n">
        <v>7</v>
      </c>
      <c r="I15" s="111" t="inlineStr">
        <is>
          <t>iFile 3 · iDEAL 2 · CARBON 1 · Datatech 1</t>
        </is>
      </c>
      <c r="J15" s="162" t="n">
        <v>1</v>
      </c>
      <c r="K15" s="115" t="inlineStr">
        <is>
          <t>Krishnadev Arya</t>
        </is>
      </c>
      <c r="L15" s="115" t="inlineStr">
        <is>
          <t>Technology</t>
        </is>
      </c>
      <c r="M15" s="118" t="inlineStr">
        <is>
          <r>
            <rPr>
              <rFont val="Calibri"/>
              <sz val="10"/>
            </rPr>
            <t xml:space="preserve">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t>
          </r>
        </is>
      </c>
      <c r="N15" s="164" t="inlineStr">
        <is>
          <r>
            <rPr>
              <rFont val="Calibri"/>
              <sz val="10"/>
            </rPr>
            <t xml:space="preserve">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t>
          </r>
        </is>
      </c>
      <c r="O15" s="164" t="inlineStr">
        <is>
          <r>
            <rPr>
              <rFont val="Calibri"/>
              <sz val="10"/>
            </rPr>
            <t xml:space="preserve">Own deliverables · accuracy, TAT
</t>
          </r>
          <r>
            <rPr>
              <rFont val="Calibri"/>
              <b val="1"/>
              <sz val="10"/>
            </rPr>
            <t>Common themes in role-holders' answers:</t>
          </r>
          <r>
            <rPr>
              <rFont val="Calibri"/>
              <sz val="10"/>
            </rPr>
            <t xml:space="preserve"> solutions · bug · fixes · features</t>
          </r>
        </is>
      </c>
      <c r="P15" s="164" t="inlineStr">
        <is>
          <r>
            <rPr>
              <rFont val="Calibri"/>
              <sz val="10"/>
            </rPr>
            <t xml:space="preserve">Own deliverables · accuracy, TAT
</t>
          </r>
          <r>
            <rPr>
              <rFont val="Calibri"/>
              <b val="1"/>
              <sz val="10"/>
            </rPr>
            <t>Common themes in role-holders' answers:</t>
          </r>
          <r>
            <rPr>
              <rFont val="Calibri"/>
              <sz val="10"/>
            </rPr>
            <t xml:space="preserve"> quality · personally · reliable · delivering · am · accountable</t>
          </r>
        </is>
      </c>
      <c r="Q15" s="164" t="inlineStr">
        <is>
          <r>
            <rPr>
              <rFont val="Calibri"/>
              <sz val="10"/>
            </rPr>
            <t xml:space="preserve">Chooses own approach within standards
</t>
          </r>
          <r>
            <rPr>
              <rFont val="Calibri"/>
              <b val="1"/>
              <sz val="10"/>
            </rPr>
            <t>Common themes in role-holders' answers:</t>
          </r>
          <r>
            <rPr>
              <rFont val="Calibri"/>
              <sz val="10"/>
            </rPr>
            <t xml:space="preserve"> implement · solutions · issues · structure · design</t>
          </r>
        </is>
      </c>
      <c r="R15" s="164" t="inlineStr">
        <is>
          <r>
            <rPr>
              <rFont val="Calibri"/>
              <b val="1"/>
              <sz val="10"/>
            </rPr>
            <t>Common themes in manager-set KRAs:</t>
          </r>
          <r>
            <rPr>
              <rFont val="Calibri"/>
              <sz val="10"/>
            </rPr>
            <t xml:space="preserve"> improve · deliver · modules · committed · coverage · automated</t>
          </r>
        </is>
      </c>
      <c r="S15" s="164" t="inlineStr">
        <is>
          <t>NET MVC · Java</t>
        </is>
      </c>
      <c r="T15" s="164" t="inlineStr">
        <is>
          <t>Postman · Oracle database</t>
        </is>
      </c>
      <c r="U15" s="119" t="inlineStr">
        <is>
          <t>Standard work delivered independently</t>
        </is>
      </c>
      <c r="V15" s="165" t="inlineStr">
        <is>
          <t>Standard work of the discipline</t>
        </is>
      </c>
      <c r="W15" s="165" t="inlineStr">
        <is>
          <t>Chooses own approach within standards</t>
        </is>
      </c>
      <c r="X15" s="165" t="inlineStr">
        <is>
          <t>Own deliverables · accuracy, TAT</t>
        </is>
      </c>
      <c r="Y15" s="165" t="inlineStr">
        <is>
          <t>Not scored in Band A</t>
        </is>
      </c>
      <c r="Z15" s="165" t="inlineStr">
        <is>
          <t>0–2 yrs</t>
        </is>
      </c>
      <c r="AA15" s="165" t="inlineStr">
        <is>
          <t>Graduate · or diploma with experience</t>
        </is>
      </c>
      <c r="AB15" s="165" t="inlineStr">
        <is>
          <t>Cloud / language certifications · optional; AWS / Azure architect · optional</t>
        </is>
      </c>
      <c r="AC15" s="165" t="inlineStr">
        <is>
          <t>No direct reports</t>
        </is>
      </c>
      <c r="AD15" s="121" t="inlineStr">
        <is>
          <t>Core 2 · Future-ready 2 · Functional 2 · Leadership —</t>
        </is>
      </c>
      <c r="AE15" s="122" t="inlineStr">
        <is>
          <t>Programming &amp; Tech-Stack Depth · System Design &amp; Architecture</t>
        </is>
      </c>
      <c r="AF15" s="122" t="inlineStr">
        <is>
          <t>Database, SQL &amp; Data Engineering · Cloud, DevOps &amp; CI/CD · AI, GenAI &amp; Prompt Engineering · Product, Platform &amp; Domain Knowledge</t>
        </is>
      </c>
      <c r="AG15" s="176" t="inlineStr">
        <is>
          <t>P1–P2</t>
        </is>
      </c>
      <c r="AH15" s="128" t="inlineStr">
        <is>
          <t>2 Assist</t>
        </is>
      </c>
      <c r="AI15" s="177" t="inlineStr">
        <is>
          <r>
            <rPr>
              <rFont val="Calibri"/>
              <b val="1"/>
              <sz val="10"/>
            </rPr>
            <t>Workiva:</t>
          </r>
          <r>
            <rPr>
              <rFont val="Calibri"/>
              <sz val="10"/>
            </rPr>
            <t xml:space="preserve"> Associate SE · Broadridge India: SE · Nasdaq / AxiomSL: SE · Salesforce: AMTS</t>
          </r>
        </is>
      </c>
      <c r="AJ15" s="177" t="inlineStr">
        <is>
          <t>SFIA 9 · software development, programming; OWASP secure coding; cloud vendor certifications</t>
        </is>
      </c>
      <c r="AK15" s="177" t="inlineStr">
        <is>
          <t>A3 · Senior Associate</t>
        </is>
      </c>
      <c r="AL15" s="129" t="inlineStr">
        <is>
          <t>Broader exposure &amp; ownership · Technical depth &amp; architecture · AI / automation · Leadership &amp; people management · Product &amp; tool knowledge</t>
        </is>
      </c>
      <c r="AM15" s="130" t="inlineStr">
        <is>
          <t>ai · design · system · utilization · tools</t>
        </is>
      </c>
      <c r="AN15" s="130" t="inlineStr">
        <is>
          <t>Mentoring / guidance from seniors · Formal / classroom training · On-the-job / hands-on</t>
        </is>
      </c>
      <c r="AO15" s="130" t="inlineStr">
        <is>
          <t>limited · unclear</t>
        </is>
      </c>
      <c r="AP15" s="130" t="inlineStr">
        <is>
          <t>documentation · requirements · better · system · onboarding</t>
        </is>
      </c>
      <c r="AQ15" s="130" t="inlineStr">
        <is>
          <t>1 of 6 say the role is changing because of AI / automation</t>
        </is>
      </c>
      <c r="AR15" s="131" t="inlineStr">
        <is>
          <t>Build and operate software capabilities. Includes: Application code, data/ML engineering and product reliability. Excludes: Product investment decisions; internal IT service desk.</t>
        </is>
      </c>
      <c r="AS15" s="132" t="inlineStr">
        <is>
          <t>ENG01-1 · Associate Software Engineer</t>
        </is>
      </c>
      <c r="AT15" s="132" t="inlineStr">
        <is>
          <r>
            <rPr>
              <rFont val="Calibri"/>
              <b val="1"/>
              <sz val="10"/>
            </rPr>
            <t>Complete defined parts under review:</t>
          </r>
          <r>
            <rPr>
              <rFont val="Calibri"/>
              <sz val="10"/>
            </rPr>
            <t xml:space="preserve"> deliver tested apis and services with clear error handling.</t>
          </r>
        </is>
      </c>
      <c r="AU15" s="132" t="inlineStr">
        <is>
          <t>Repeatable correct delivery, safe escalation and required entry eligibility.</t>
        </is>
      </c>
      <c r="AV15" s="132" t="inlineStr">
        <is>
          <t>A service design and implementation with tests, failure handling and measured production behaviour</t>
        </is>
      </c>
      <c r="AW15"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15" s="180" t="inlineStr">
        <is>
          <t>Framework + role-holders' themes · 3+ answered</t>
        </is>
      </c>
      <c r="AY15" s="134" t="inlineStr">
        <is>
          <t>7 holders, 7 answered the survey; sub-family 79 answered</t>
        </is>
      </c>
    </row>
    <row r="16" ht="119" customHeight="1">
      <c r="A16" s="175" t="inlineStr">
        <is>
          <t>RC-067</t>
        </is>
      </c>
      <c r="B16" s="111" t="inlineStr">
        <is>
          <t>Engineering &amp; Development</t>
        </is>
      </c>
      <c r="C16" s="111" t="inlineStr">
        <is>
          <t>Backend Development</t>
        </is>
      </c>
      <c r="D16" s="144" t="inlineStr">
        <is>
          <t>A3</t>
        </is>
      </c>
      <c r="E16" s="140" t="inlineStr">
        <is>
          <t>Senior Associate</t>
        </is>
      </c>
      <c r="F16" s="111" t="inlineStr">
        <is>
          <t>IC</t>
        </is>
      </c>
      <c r="G16" s="111" t="inlineStr">
        <is>
          <t>Senior Software Engineer · Technical Specialist</t>
        </is>
      </c>
      <c r="H16" s="112" t="n">
        <v>49</v>
      </c>
      <c r="I16" s="111" t="inlineStr">
        <is>
          <t>iFile 33 · CARBON 9 · iDEAL 5 · Datatech 2</t>
        </is>
      </c>
      <c r="J16" s="162" t="n">
        <v>2</v>
      </c>
      <c r="K16" s="115" t="inlineStr">
        <is>
          <t>Niraj Santosh Patil, Shivam Dhumal</t>
        </is>
      </c>
      <c r="L16" s="115" t="inlineStr">
        <is>
          <t>Technology</t>
        </is>
      </c>
      <c r="M16" s="118" t="inlineStr">
        <is>
          <r>
            <rPr>
              <rFont val="Calibri"/>
              <sz val="10"/>
            </rPr>
            <t xml:space="preserve">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t>
          </r>
        </is>
      </c>
      <c r="N16" s="164" t="inlineStr">
        <is>
          <r>
            <rPr>
              <rFont val="Calibri"/>
              <sz val="10"/>
            </rPr>
            <t xml:space="preserve">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t>
          </r>
        </is>
      </c>
      <c r="O16"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features · product · application · software · support · deliver</t>
          </r>
        </is>
      </c>
      <c r="P16"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quality · accountable · delivery · features · am · timely</t>
          </r>
        </is>
      </c>
      <c r="Q16" s="164" t="inlineStr">
        <is>
          <r>
            <rPr>
              <rFont val="Calibri"/>
              <sz val="10"/>
            </rPr>
            <t xml:space="preserve">Technical / QC / client calls on own work
</t>
          </r>
          <r>
            <rPr>
              <rFont val="Calibri"/>
              <b val="1"/>
              <sz val="10"/>
            </rPr>
            <t>Common themes in role-holders' answers:</t>
          </r>
          <r>
            <rPr>
              <rFont val="Calibri"/>
              <sz val="10"/>
            </rPr>
            <t xml:space="preserve"> code · technical · implementation · bug · approach · decisions</t>
          </r>
        </is>
      </c>
      <c r="R16" s="164" t="inlineStr">
        <is>
          <r>
            <rPr>
              <rFont val="Calibri"/>
              <b val="1"/>
              <sz val="10"/>
            </rPr>
            <t>Common themes in manager-set KRAs:</t>
          </r>
          <r>
            <rPr>
              <rFont val="Calibri"/>
              <sz val="10"/>
            </rPr>
            <t xml:space="preserve"> year · coverage · code · quality · deliver · assigned</t>
          </r>
        </is>
      </c>
      <c r="S16" s="164" t="inlineStr">
        <is>
          <t>Java · NET MVC · debugging · AI · Technical knowledge · Software development · Devops · Spring Boot</t>
        </is>
      </c>
      <c r="T16" s="164" t="inlineStr">
        <is>
          <t>VS Code · Visual studio · Claude · Copilot · Git · Excel · Co-pilot · AWS</t>
        </is>
      </c>
      <c r="U16" s="119" t="inlineStr">
        <is>
          <t>Varied work; reviews juniors; go-to for a process</t>
        </is>
      </c>
      <c r="V16" s="165" t="inlineStr">
        <is>
          <t>Varied and non-standard work; handles exceptions</t>
        </is>
      </c>
      <c r="W16" s="165" t="inlineStr">
        <is>
          <t>Technical / QC / client calls on own work</t>
        </is>
      </c>
      <c r="X16" s="165" t="inlineStr">
        <is>
          <t>A module / process, or work with client or regulatory consequences</t>
        </is>
      </c>
      <c r="Y16" s="165" t="inlineStr">
        <is>
          <t>Not scored in Band A</t>
        </is>
      </c>
      <c r="Z16" s="165" t="inlineStr">
        <is>
          <t>2–4 yrs</t>
        </is>
      </c>
      <c r="AA16" s="165" t="inlineStr">
        <is>
          <t>Graduate; relevant certification preferred</t>
        </is>
      </c>
      <c r="AB16" s="165" t="inlineStr">
        <is>
          <t>Cloud / language certifications · optional; AWS / Azure architect · optional</t>
        </is>
      </c>
      <c r="AC16" s="165" t="inlineStr">
        <is>
          <t>None · guides 1–3 juniors informally</t>
        </is>
      </c>
      <c r="AD16" s="121" t="inlineStr">
        <is>
          <t>Core 2 · Future-ready 2 · Functional 3 · Leadership —</t>
        </is>
      </c>
      <c r="AE16" s="122" t="inlineStr">
        <is>
          <t>Programming &amp; Tech-Stack Depth · System Design &amp; Architecture</t>
        </is>
      </c>
      <c r="AF16" s="122" t="inlineStr">
        <is>
          <t>Database, SQL &amp; Data Engineering · Cloud, DevOps &amp; CI/CD · AI, GenAI &amp; Prompt Engineering · Product, Platform &amp; Domain Knowledge</t>
        </is>
      </c>
      <c r="AG16" s="176" t="inlineStr">
        <is>
          <t>P2</t>
        </is>
      </c>
      <c r="AH16" s="128" t="inlineStr">
        <is>
          <t>3 Apply</t>
        </is>
      </c>
      <c r="AI16" s="177" t="inlineStr">
        <is>
          <r>
            <rPr>
              <rFont val="Calibri"/>
              <b val="1"/>
              <sz val="10"/>
            </rPr>
            <t>Workiva:</t>
          </r>
          <r>
            <rPr>
              <rFont val="Calibri"/>
              <sz val="10"/>
            </rPr>
            <t xml:space="preserve"> SE · Broadridge India: SE · Nasdaq / AxiomSL: SE · Salesforce: MTS</t>
          </r>
        </is>
      </c>
      <c r="AJ16" s="177" t="inlineStr">
        <is>
          <t>SFIA 9 · software development, programming; OWASP secure coding; cloud vendor certifications</t>
        </is>
      </c>
      <c r="AK16" s="177" t="inlineStr">
        <is>
          <t>B1 · Specialist</t>
        </is>
      </c>
      <c r="AL16" s="129" t="inlineStr">
        <is>
          <t>Technical depth &amp; architecture · Leadership &amp; people management · Broader exposure &amp; ownership · AI / automation · Project / programme management</t>
        </is>
      </c>
      <c r="AM16" s="130" t="inlineStr">
        <is>
          <t>design · secure · fundamentals · skills · leadership</t>
        </is>
      </c>
      <c r="AN16" s="130" t="inlineStr">
        <is>
          <t>Mentoring / guidance from seniors · On-the-job / hands-on · Formal / classroom training · Online courses / self-learning · Certification · Knowledge transfer · KT</t>
        </is>
      </c>
      <c r="AO16" s="130" t="inlineStr">
        <is>
          <t>unclear · requirements · dependencies · dependency · ai</t>
        </is>
      </c>
      <c r="AP16" s="130" t="inlineStr">
        <is>
          <t>better · requirements · documentation · clearer · faster</t>
        </is>
      </c>
      <c r="AQ16" s="130" t="inlineStr">
        <is>
          <t>33 of 46 say the role is changing because of AI / automation</t>
        </is>
      </c>
      <c r="AR16" s="131" t="inlineStr">
        <is>
          <t>Build and operate software capabilities. Includes: Application code, data/ML engineering and product reliability. Excludes: Product investment decisions; internal IT service desk.</t>
        </is>
      </c>
      <c r="AS16" s="132" t="inlineStr">
        <is>
          <t>ENG01-2 · Software Engineer</t>
        </is>
      </c>
      <c r="AT16" s="132" t="inlineStr">
        <is>
          <t>Deliver tested APIs and services with clear error handling.</t>
        </is>
      </c>
      <c r="AU16" s="132" t="inlineStr">
        <is>
          <t>Demonstrate routine delivery plus judgement in bounded exceptions.</t>
        </is>
      </c>
      <c r="AV16" s="132" t="inlineStr">
        <is>
          <t>A service design and implementation with tests, failure handling and measured production behaviour</t>
        </is>
      </c>
      <c r="AW16"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16" s="180" t="inlineStr">
        <is>
          <t>Framework + role-holders' themes · 3+ answered</t>
        </is>
      </c>
      <c r="AY16" s="134" t="inlineStr">
        <is>
          <t>49 holders, 48 answered the survey; sub-family 79 answered</t>
        </is>
      </c>
    </row>
    <row r="17" ht="119" customHeight="1">
      <c r="A17" s="175" t="inlineStr">
        <is>
          <t>RC-069</t>
        </is>
      </c>
      <c r="B17" s="111" t="inlineStr">
        <is>
          <t>Engineering &amp; Development</t>
        </is>
      </c>
      <c r="C17" s="111" t="inlineStr">
        <is>
          <t>Backend Development</t>
        </is>
      </c>
      <c r="D17" s="116" t="inlineStr">
        <is>
          <t>B2</t>
        </is>
      </c>
      <c r="E17" s="18" t="inlineStr">
        <is>
          <t>Senior Specialist</t>
        </is>
      </c>
      <c r="F17" s="111" t="inlineStr">
        <is>
          <t>IC</t>
        </is>
      </c>
      <c r="G17" s="111" t="inlineStr">
        <is>
          <t>Senior Technical Specialist – POD Lead · Lead Software Engineer · Lead Software Engineer – POD Lead · Senior Technical Specialist</t>
        </is>
      </c>
      <c r="H17" s="112" t="n">
        <v>8</v>
      </c>
      <c r="I17" s="111" t="inlineStr">
        <is>
          <t>iFile 5 · CARBON 2 · Datatech 1</t>
        </is>
      </c>
      <c r="J17" s="162" t="n">
        <v>1</v>
      </c>
      <c r="K17" s="115" t="inlineStr">
        <is>
          <t>Akshay Shetty</t>
        </is>
      </c>
      <c r="L17" s="115" t="inlineStr">
        <is>
          <t>Technology</t>
        </is>
      </c>
      <c r="M17" s="118" t="inlineStr">
        <is>
          <r>
            <rPr>
              <rFont val="Calibri"/>
              <sz val="10"/>
            </rPr>
            <t xml:space="preserve">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t>
          </r>
        </is>
      </c>
      <c r="N17" s="164" t="inlineStr">
        <is>
          <r>
            <rPr>
              <rFont val="Calibri"/>
              <sz val="10"/>
            </rPr>
            <t xml:space="preserve">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t>
          </r>
        </is>
      </c>
      <c r="O17" s="164" t="inlineStr">
        <is>
          <r>
            <rPr>
              <rFont val="Calibri"/>
              <sz val="10"/>
            </rPr>
            <t xml:space="preserve">One team or a client portfolio
</t>
          </r>
          <r>
            <rPr>
              <rFont val="Calibri"/>
              <b val="1"/>
              <sz val="10"/>
            </rPr>
            <t>Common themes in role-holders' answers:</t>
          </r>
          <r>
            <rPr>
              <rFont val="Calibri"/>
              <sz val="10"/>
            </rPr>
            <t xml:space="preserve"> documentation · features · software · produce · deliver</t>
          </r>
        </is>
      </c>
      <c r="P17" s="164" t="inlineStr">
        <is>
          <r>
            <rPr>
              <rFont val="Calibri"/>
              <sz val="10"/>
            </rPr>
            <t xml:space="preserve">One team or a client portfolio
</t>
          </r>
          <r>
            <rPr>
              <rFont val="Calibri"/>
              <b val="1"/>
              <sz val="10"/>
            </rPr>
            <t>Common themes in role-holders' answers:</t>
          </r>
          <r>
            <rPr>
              <rFont val="Calibri"/>
              <sz val="10"/>
            </rPr>
            <t xml:space="preserve"> design · am · accountable · solution · technical · delivery</t>
          </r>
        </is>
      </c>
      <c r="Q17" s="164" t="inlineStr">
        <is>
          <r>
            <rPr>
              <rFont val="Calibri"/>
              <sz val="10"/>
            </rPr>
            <t xml:space="preserve">Allocates people and sets team priorities
</t>
          </r>
          <r>
            <rPr>
              <rFont val="Calibri"/>
              <b val="1"/>
              <sz val="10"/>
            </rPr>
            <t>Common themes in role-holders' answers:</t>
          </r>
          <r>
            <rPr>
              <rFont val="Calibri"/>
              <sz val="10"/>
            </rPr>
            <t xml:space="preserve"> technical · approach · design · implementation · ai · code</t>
          </r>
        </is>
      </c>
      <c r="R17" s="164" t="inlineStr">
        <is>
          <r>
            <rPr>
              <rFont val="Calibri"/>
              <b val="1"/>
              <sz val="10"/>
            </rPr>
            <t>Common themes in manager-set KRAs:</t>
          </r>
          <r>
            <rPr>
              <rFont val="Calibri"/>
              <sz val="10"/>
            </rPr>
            <t xml:space="preserve"> modules · coverage · complete · components · committed · sprint</t>
          </r>
        </is>
      </c>
      <c r="S17" s="164" t="inlineStr">
        <is>
          <t>NET MVC · Java</t>
        </is>
      </c>
      <c r="T17" s="164" t="inlineStr">
        <is>
          <t>—</t>
        </is>
      </c>
      <c r="U17" s="119" t="inlineStr">
        <is>
          <t>Deep domain expertise, or one team</t>
        </is>
      </c>
      <c r="V17" s="165" t="inlineStr">
        <is>
          <t>Hardest problems in the domain</t>
        </is>
      </c>
      <c r="W17" s="165" t="inlineStr">
        <is>
          <t>Allocates people and sets team priorities</t>
        </is>
      </c>
      <c r="X17" s="165" t="inlineStr">
        <is>
          <t>One team or a client portfolio</t>
        </is>
      </c>
      <c r="Y17" s="165" t="inlineStr">
        <is>
          <r>
            <rPr>
              <rFont val="Calibri"/>
              <b val="1"/>
              <sz val="10"/>
            </rPr>
            <t>IC:</t>
          </r>
          <r>
            <rPr>
              <rFont val="Calibri"/>
              <sz val="10"/>
            </rPr>
            <t xml:space="preserve"> guides others in the domain · People: manages a team of 6+</t>
          </r>
        </is>
      </c>
      <c r="Z17" s="165" t="inlineStr">
        <is>
          <t>6–9 yrs</t>
        </is>
      </c>
      <c r="AA17" s="165" t="inlineStr">
        <is>
          <t>Graduate or postgraduate; professional qualification preferred</t>
        </is>
      </c>
      <c r="AB17" s="165" t="inlineStr">
        <is>
          <t>Cloud / language certifications · optional; AWS / Azure architect · optional</t>
        </is>
      </c>
      <c r="AC17" s="165" t="inlineStr">
        <is>
          <r>
            <rPr>
              <rFont val="Calibri"/>
              <b val="1"/>
              <sz val="10"/>
            </rPr>
            <t>IC:</t>
          </r>
          <r>
            <rPr>
              <rFont val="Calibri"/>
              <sz val="10"/>
            </rPr>
            <t xml:space="preserve"> none · People: 6–8 knowledge work, 8–12 standardised delivery</t>
          </r>
        </is>
      </c>
      <c r="AD17" s="121" t="inlineStr">
        <is>
          <t>Core 3 · Future-ready 3 · Functional 4 · Leadership 2</t>
        </is>
      </c>
      <c r="AE17" s="122" t="inlineStr">
        <is>
          <t>Programming &amp; Tech-Stack Depth · System Design &amp; Architecture</t>
        </is>
      </c>
      <c r="AF17" s="122" t="inlineStr">
        <is>
          <t>Database, SQL &amp; Data Engineering · Cloud, DevOps &amp; CI/CD · AI, GenAI &amp; Prompt Engineering · Product, Platform &amp; Domain Knowledge</t>
        </is>
      </c>
      <c r="AG17" s="176" t="inlineStr">
        <is>
          <t>P4 / M3</t>
        </is>
      </c>
      <c r="AH17" s="128" t="inlineStr">
        <is>
          <t>4–5</t>
        </is>
      </c>
      <c r="AI17" s="177" t="inlineStr">
        <is>
          <r>
            <rPr>
              <rFont val="Calibri"/>
              <b val="1"/>
              <sz val="10"/>
            </rPr>
            <t>Workiva:</t>
          </r>
          <r>
            <rPr>
              <rFont val="Calibri"/>
              <sz val="10"/>
            </rPr>
            <t xml:space="preserve"> Senior SE · Broadridge India: Lead SE · Nasdaq / AxiomSL: Senior SE · Salesforce: SMTS</t>
          </r>
        </is>
      </c>
      <c r="AJ17" s="177" t="inlineStr">
        <is>
          <t>SFIA 9 · software development, programming; OWASP secure coding; cloud vendor certifications</t>
        </is>
      </c>
      <c r="AK17" s="177" t="inlineStr">
        <is>
          <t>B3 · Lead Specialist</t>
        </is>
      </c>
      <c r="AL17" s="129" t="inlineStr">
        <is>
          <t>Technical depth &amp; architecture · Broader exposure &amp; ownership · Leadership &amp; people management · Product &amp; tool knowledge · AI / automation</t>
        </is>
      </c>
      <c r="AM17" s="130" t="inlineStr">
        <is>
          <t>design · system · leadership · practices · unit/automated testing</t>
        </is>
      </c>
      <c r="AN17" s="130" t="inlineStr">
        <is>
          <t>On-the-job / hands-on · Mentoring / guidance from seniors · Formal / classroom training</t>
        </is>
      </c>
      <c r="AO17" s="130" t="inlineStr">
        <is>
          <t>requirements · unclear · priorities · dependencies · cross-team</t>
        </is>
      </c>
      <c r="AP17" s="130" t="inlineStr">
        <is>
          <t>clearer · ownership · decision-making · stronger · documentation</t>
        </is>
      </c>
      <c r="AQ17" s="130" t="inlineStr">
        <is>
          <t>7 of 7 say the role is changing because of AI / automation</t>
        </is>
      </c>
      <c r="AR17" s="131" t="inlineStr">
        <is>
          <t>Build and operate software capabilities. Includes: Application code, data/ML engineering and product reliability. Excludes: Product investment decisions; internal IT service desk.</t>
        </is>
      </c>
      <c r="AS17" s="132" t="inlineStr">
        <is>
          <t>ENG01-3 · Senior Software Engineer</t>
        </is>
      </c>
      <c r="AT17" s="132" t="inlineStr">
        <is>
          <t>Own a service design, security review and production failure analysis.</t>
        </is>
      </c>
      <c r="AU17" s="132" t="inlineStr">
        <is>
          <t>Evidence of complex work, decisions and outcomes beyond routine delivery.</t>
        </is>
      </c>
      <c r="AV17" s="132" t="inlineStr">
        <is>
          <t>A service design and implementation with tests, failure handling and measured production behaviour</t>
        </is>
      </c>
      <c r="AW17" s="132" t="inlineStr">
        <is>
          <r>
            <rPr>
              <rFont val="Calibri"/>
              <b val="1"/>
              <sz val="10"/>
            </rPr>
            <t>Regnology:</t>
          </r>
          <r>
            <rPr>
              <rFont val="Calibri"/>
              <sz val="10"/>
            </rPr>
            <t xml:space="preserve"> Senior Software Engineer, Pune · Selected role. Gap: Java role directly supports software delivery and mentoring; full-stack coverage is partial</t>
          </r>
        </is>
      </c>
      <c r="AX17" s="180" t="inlineStr">
        <is>
          <t>Framework + role-holders' themes · 3+ answered</t>
        </is>
      </c>
      <c r="AY17" s="134" t="inlineStr">
        <is>
          <t>8 holders, 7 answered the survey; sub-family 79 answered</t>
        </is>
      </c>
    </row>
    <row r="18" ht="119" customHeight="1">
      <c r="A18" s="175" t="inlineStr">
        <is>
          <t>RC-073</t>
        </is>
      </c>
      <c r="B18" s="111" t="inlineStr">
        <is>
          <t>Engineering &amp; Development</t>
        </is>
      </c>
      <c r="C18" s="111" t="inlineStr">
        <is>
          <t>Backend Development</t>
        </is>
      </c>
      <c r="D18" s="150" t="inlineStr">
        <is>
          <t>X1</t>
        </is>
      </c>
      <c r="E18" s="136" t="inlineStr">
        <is>
          <t>Associate Consultant</t>
        </is>
      </c>
      <c r="F18" s="111" t="inlineStr">
        <is>
          <t>IC</t>
        </is>
      </c>
      <c r="G18" s="111" t="inlineStr">
        <is>
          <t>Associate Consultant – Software Development</t>
        </is>
      </c>
      <c r="H18" s="112" t="n">
        <v>16</v>
      </c>
      <c r="I18" s="111" t="inlineStr">
        <is>
          <t>iFile 13 · Datatech 3</t>
        </is>
      </c>
      <c r="J18" s="162" t="n">
        <v>3</v>
      </c>
      <c r="K18" s="115" t="inlineStr">
        <is>
          <t>Sadhan Kumar, Sohel Yadav, Vivek Kumar</t>
        </is>
      </c>
      <c r="L18" s="115" t="inlineStr">
        <is>
          <t>Technology</t>
        </is>
      </c>
      <c r="M18" s="118" t="inlineStr">
        <is>
          <r>
            <rPr>
              <rFont val="Calibri"/>
              <sz val="10"/>
            </rPr>
            <t xml:space="preserve">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t>
          </r>
        </is>
      </c>
      <c r="N18" s="164" t="inlineStr">
        <is>
          <r>
            <rPr>
              <rFont val="Calibri"/>
              <sz val="10"/>
            </rPr>
            <t xml:space="preserve">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t>
          </r>
        </is>
      </c>
      <c r="O18" s="164" t="inlineStr">
        <is>
          <r>
            <rPr>
              <rFont val="Calibri"/>
              <sz val="10"/>
            </rPr>
            <t xml:space="preserve">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t>
          </r>
        </is>
      </c>
      <c r="P18" s="164" t="inlineStr">
        <is>
          <r>
            <rPr>
              <rFont val="Calibri"/>
              <sz val="10"/>
            </rPr>
            <t xml:space="preserve">Deliverables under the statement of work
</t>
          </r>
          <r>
            <rPr>
              <rFont val="Calibri"/>
              <b val="1"/>
              <sz val="10"/>
            </rPr>
            <t>Common themes in sub-family holders, all levels' answers:</t>
          </r>
          <r>
            <rPr>
              <rFont val="Calibri"/>
              <sz val="10"/>
            </rPr>
            <t xml:space="preserve"> quality · accountable · am · delivery · features · code</t>
          </r>
        </is>
      </c>
      <c r="Q18" s="164" t="inlineStr">
        <is>
          <r>
            <rPr>
              <rFont val="Calibri"/>
              <sz val="10"/>
            </rPr>
            <t xml:space="preserve">Within the statement of work
</t>
          </r>
          <r>
            <rPr>
              <rFont val="Calibri"/>
              <b val="1"/>
              <sz val="10"/>
            </rPr>
            <t>Common themes in sub-family holders, all levels' answers:</t>
          </r>
          <r>
            <rPr>
              <rFont val="Calibri"/>
              <sz val="10"/>
            </rPr>
            <t xml:space="preserve"> technical · code · approach · implementation · decisions · issues</t>
          </r>
        </is>
      </c>
      <c r="R18" s="164" t="inlineStr">
        <is>
          <t>—</t>
        </is>
      </c>
      <c r="S18" s="164" t="inlineStr">
        <is>
          <t>Java · NET MVC · Debugging · AI · SQL · Technical knowledge · Problem Solving · Python</t>
        </is>
      </c>
      <c r="T18" s="164" t="inlineStr">
        <is>
          <t>VS code · Visual studio · Claude · Git · Postman · Oracle Database · Copilot · Excel</t>
        </is>
      </c>
      <c r="U18" s="119" t="inlineStr">
        <is>
          <t>Defined deliverables under a statement of work · ≈ A2–A3</t>
        </is>
      </c>
      <c r="V18" s="165" t="inlineStr">
        <is>
          <t>—</t>
        </is>
      </c>
      <c r="W18" s="165" t="inlineStr">
        <is>
          <t>—</t>
        </is>
      </c>
      <c r="X18" s="165" t="inlineStr">
        <is>
          <t>—</t>
        </is>
      </c>
      <c r="Y18" s="165" t="inlineStr">
        <is>
          <t>—</t>
        </is>
      </c>
      <c r="Z18" s="165" t="inlineStr">
        <is>
          <t>0–5 yrs</t>
        </is>
      </c>
      <c r="AA18" s="165" t="inlineStr">
        <is>
          <t>As for equivalent role</t>
        </is>
      </c>
      <c r="AB18" s="165" t="inlineStr">
        <is>
          <t>Cloud / language certifications · optional; AWS / Azure architect · optional</t>
        </is>
      </c>
      <c r="AC18" s="165" t="inlineStr">
        <is>
          <t>Not counted in spans</t>
        </is>
      </c>
      <c r="AD18" s="121" t="inlineStr">
        <is>
          <t>Per statement of work</t>
        </is>
      </c>
      <c r="AE18" s="122" t="inlineStr">
        <is>
          <t>Programming &amp; Tech-Stack Depth · System Design &amp; Architecture</t>
        </is>
      </c>
      <c r="AF18" s="122" t="inlineStr">
        <is>
          <t>Database, SQL &amp; Data Engineering · Cloud, DevOps &amp; CI/CD · AI, GenAI &amp; Prompt Engineering · Product, Platform &amp; Domain Knowledge</t>
        </is>
      </c>
      <c r="AG18" s="176" t="inlineStr">
        <is>
          <t>Contractor</t>
        </is>
      </c>
      <c r="AH18" s="128" t="inlineStr">
        <is>
          <t>—</t>
        </is>
      </c>
      <c r="AI18" s="177" t="inlineStr">
        <is>
          <t>—</t>
        </is>
      </c>
      <c r="AJ18" s="177" t="inlineStr">
        <is>
          <t>SFIA 9 · software development, programming; OWASP secure coding; cloud vendor certifications</t>
        </is>
      </c>
      <c r="AK18" s="177" t="inlineStr">
        <is>
          <t>—</t>
        </is>
      </c>
      <c r="AL18" s="129" t="inlineStr">
        <is>
          <t>—</t>
        </is>
      </c>
      <c r="AM18" s="130" t="inlineStr">
        <is>
          <t>Reactive Programming/Spring AI/System Design &amp; Pattern</t>
        </is>
      </c>
      <c r="AN18" s="130" t="inlineStr">
        <is>
          <t>Mentoring / guidance from seniors · On-the-job / hands-on · Formal / classroom training · Online courses / self-learning · Knowledge transfer · KT · Certification</t>
        </is>
      </c>
      <c r="AO18" s="130" t="inlineStr">
        <is>
          <t>unclear · requirements · dependencies · ai · dependency</t>
        </is>
      </c>
      <c r="AP18" s="130" t="inlineStr">
        <is>
          <t>better · requirements · documentation · clearer · support</t>
        </is>
      </c>
      <c r="AQ18" s="130" t="inlineStr">
        <is>
          <t>50 of 73 say the role is changing because of AI / automation</t>
        </is>
      </c>
      <c r="AR18" s="131" t="inlineStr">
        <is>
          <t>Build and operate software capabilities. Includes: Application code, data/ML engineering and product reliability. Excludes: Product investment decisions; internal IT service desk.</t>
        </is>
      </c>
      <c r="AS18" s="132" t="inlineStr">
        <is>
          <t>—</t>
        </is>
      </c>
      <c r="AT18" s="132" t="inlineStr">
        <is>
          <t>—</t>
        </is>
      </c>
      <c r="AU18" s="132" t="inlineStr">
        <is>
          <t>—</t>
        </is>
      </c>
      <c r="AV18" s="132" t="inlineStr">
        <is>
          <t>—</t>
        </is>
      </c>
      <c r="AW18" s="132" t="inlineStr">
        <is>
          <t>—</t>
        </is>
      </c>
      <c r="AX18" s="178" t="inlineStr">
        <is>
          <t>Framework + sub-family themes · 3+ answered</t>
        </is>
      </c>
      <c r="AY18" s="134" t="inlineStr">
        <is>
          <t>16 holders, 0 answered the survey; sub-family 79 answered</t>
        </is>
      </c>
    </row>
    <row r="19">
      <c r="A19" s="160" t="inlineStr">
        <is>
          <t>Executive Leadership</t>
        </is>
      </c>
    </row>
    <row r="20" ht="80" customHeight="1">
      <c r="A20" s="175" t="inlineStr">
        <is>
          <t>RC-091</t>
        </is>
      </c>
      <c r="B20" s="111" t="inlineStr">
        <is>
          <t>Executive Leadership</t>
        </is>
      </c>
      <c r="C20" s="111" t="inlineStr">
        <is>
          <t>Business &amp; Functional Leadership</t>
        </is>
      </c>
      <c r="D20" s="181" t="inlineStr">
        <is>
          <t>D2</t>
        </is>
      </c>
      <c r="E20" s="146" t="inlineStr">
        <is>
          <t>Vice President</t>
        </is>
      </c>
      <c r="F20" s="111" t="inlineStr">
        <is>
          <t>Manager</t>
        </is>
      </c>
      <c r="G20" s="111" t="inlineStr">
        <is>
          <t>Business Head · Business Head – SupTech &amp; Bank-RegTech · Business Head – DataTech</t>
        </is>
      </c>
      <c r="H20" s="112" t="n">
        <v>3</v>
      </c>
      <c r="I20" s="111" t="inlineStr">
        <is>
          <t>CARBON 1 · iFile 1 · Datatech 1</t>
        </is>
      </c>
      <c r="J20" s="162" t="n">
        <v>1</v>
      </c>
      <c r="K20" s="115" t="inlineStr">
        <is>
          <t>Shilpa Dhobale</t>
        </is>
      </c>
      <c r="L20" s="115" t="inlineStr">
        <is>
          <t>Datatech Business Head</t>
        </is>
      </c>
      <c r="M20" s="118" t="inlineStr">
        <is>
          <t>Owns a business line or enterprise function end to end. At D2: several business lines or an executive-scope enterprise function.</t>
        </is>
      </c>
      <c r="N20" s="164" t="inlineStr">
        <is>
          <t>Owns a business line or enterprise function end to end; Portfolio-level strategic, financial and regulatory trade-offs; Multi-business results</t>
        </is>
      </c>
      <c r="O20" s="164" t="inlineStr">
        <is>
          <t>Multi-business results</t>
        </is>
      </c>
      <c r="P20" s="164" t="inlineStr">
        <is>
          <t>Multi-business results</t>
        </is>
      </c>
      <c r="Q20" s="164" t="inlineStr">
        <is>
          <t>Sets direction across business lines</t>
        </is>
      </c>
      <c r="R20" s="164" t="inlineStr">
        <is>
          <t>—</t>
        </is>
      </c>
      <c r="S20" s="164" t="inlineStr">
        <is>
          <t>Product Management</t>
        </is>
      </c>
      <c r="T20" s="164" t="inlineStr">
        <is>
          <t>—</t>
        </is>
      </c>
      <c r="U20" s="119" t="inlineStr">
        <is>
          <t>Several business lines or an executive-scope enterprise function</t>
        </is>
      </c>
      <c r="V20" s="165" t="inlineStr">
        <is>
          <t>Portfolio-level strategic, financial and regulatory trade-offs</t>
        </is>
      </c>
      <c r="W20" s="165" t="inlineStr">
        <is>
          <t>Sets direction across business lines</t>
        </is>
      </c>
      <c r="X20" s="165" t="inlineStr">
        <is>
          <t>Multi-business results</t>
        </is>
      </c>
      <c r="Y20" s="165" t="inlineStr">
        <is>
          <t>Builds the leadership team across businesses</t>
        </is>
      </c>
      <c r="Z20" s="165" t="inlineStr">
        <is>
          <t>18–24 yrs</t>
        </is>
      </c>
      <c r="AA20" s="165" t="inlineStr">
        <is>
          <t>Postgraduate / professional qualification preferred</t>
        </is>
      </c>
      <c r="AB20" s="165" t="inlineStr">
        <is>
          <t>MBA / PGDM · preferred at C+</t>
        </is>
      </c>
      <c r="AC20" s="165" t="inlineStr">
        <is>
          <t>5–8 AVPs / heads</t>
        </is>
      </c>
      <c r="AD20" s="121" t="inlineStr">
        <is>
          <t>Core 5 · Future-ready 4 · Functional 4 · Leadership 5</t>
        </is>
      </c>
      <c r="AE20" s="122" t="inlineStr">
        <is>
          <t>Strategic Thinking &amp; Business Acumen · People Leadership &amp; Mentoring</t>
        </is>
      </c>
      <c r="AF20" s="122" t="inlineStr">
        <is>
          <t>Stakeholder &amp; Client Management · Product, Platform &amp; Domain Knowledge · Regulatory &amp; BFSI Domain · Communication &amp; Presentation</t>
        </is>
      </c>
      <c r="AG20" s="176" t="inlineStr">
        <is>
          <t>E3–E4</t>
        </is>
      </c>
      <c r="AH20" s="128" t="inlineStr">
        <is>
          <t>7 Set strategy</t>
        </is>
      </c>
      <c r="AI20" s="177" t="inlineStr">
        <is>
          <t>IRIS Vs Market Benchmark — Aon Radford / Mercer executive codes: E3–E4 SVP · IRIS Vs Competitor Benchmark — regtech / SaaS executive titles: SVP</t>
        </is>
      </c>
      <c r="AJ20" s="177" t="inlineStr">
        <is>
          <t>Aon Radford executive levels E1–E6; Mercer ET1–ET3; Korn Ferry Leadership Architect</t>
        </is>
      </c>
      <c r="AK20" s="177" t="inlineStr">
        <is>
          <t>E1 · —</t>
        </is>
      </c>
      <c r="AL20" s="129" t="inlineStr">
        <is>
          <t>—</t>
        </is>
      </c>
      <c r="AM20" s="130" t="inlineStr">
        <is>
          <t>Leaderdership coaching and stakeholder management, | leadership coaching</t>
        </is>
      </c>
      <c r="AN20" s="130" t="inlineStr">
        <is>
          <t>—</t>
        </is>
      </c>
      <c r="AO20" s="130" t="inlineStr">
        <is>
          <t>—</t>
        </is>
      </c>
      <c r="AP20" s="130" t="inlineStr">
        <is>
          <t>—</t>
        </is>
      </c>
      <c r="AQ20" s="130" t="inlineStr">
        <is>
          <t>—</t>
        </is>
      </c>
      <c r="AR20" s="131" t="inlineStr">
        <is>
          <t>Integrate enterprise or business outcomes. Includes: Business-unit, enterprise and exceptional expert mandates. Excludes: A generic promotion destination without a new accountable role.</t>
        </is>
      </c>
      <c r="AS20" s="132" t="inlineStr">
        <is>
          <t>EX01 · Business Unit Head / General Manager</t>
        </is>
      </c>
      <c r="AT20" s="132" t="inlineStr">
        <is>
          <t>Own integrated commercial, operational, financial and risk outcomes for a defined business</t>
        </is>
      </c>
      <c r="AU20" s="132" t="inlineStr">
        <is>
          <t>A transition from functional leadership; size and delegated P&amp;L/resource mandate determine level.</t>
        </is>
      </c>
      <c r="AV20" s="132" t="inlineStr">
        <is>
          <t>—</t>
        </is>
      </c>
      <c r="AW20" s="132" t="inlineStr">
        <is>
          <t>—</t>
        </is>
      </c>
      <c r="AX20" s="133" t="inlineStr">
        <is>
          <t>Framework only · fewer than 3 answered</t>
        </is>
      </c>
      <c r="AY20" s="134" t="inlineStr">
        <is>
          <t>3 holders, 0 answered the survey; sub-family 0 answered</t>
        </is>
      </c>
    </row>
    <row r="21">
      <c r="A21" s="160" t="inlineStr">
        <is>
          <t>Marketing &amp; Communications</t>
        </is>
      </c>
    </row>
    <row r="22" ht="119" customHeight="1">
      <c r="A22" s="175" t="inlineStr">
        <is>
          <t>RC-112</t>
        </is>
      </c>
      <c r="B22" s="111" t="inlineStr">
        <is>
          <t>Marketing &amp; Communications</t>
        </is>
      </c>
      <c r="C22" s="111" t="inlineStr">
        <is>
          <t>Content Marketing</t>
        </is>
      </c>
      <c r="D22" s="144" t="inlineStr">
        <is>
          <t>A3</t>
        </is>
      </c>
      <c r="E22" s="140" t="inlineStr">
        <is>
          <t>Senior Associate</t>
        </is>
      </c>
      <c r="F22" s="111" t="inlineStr">
        <is>
          <t>IC</t>
        </is>
      </c>
      <c r="G22" s="111" t="inlineStr">
        <is>
          <t>Senior Content Marketing Associate</t>
        </is>
      </c>
      <c r="H22" s="112" t="n">
        <v>2</v>
      </c>
      <c r="I22" s="111" t="inlineStr">
        <is>
          <t>CARBON 1 · Datatech 1</t>
        </is>
      </c>
      <c r="J22" s="162" t="n">
        <v>1</v>
      </c>
      <c r="K22" s="115" t="inlineStr">
        <is>
          <t>Vasundhara Lella</t>
        </is>
      </c>
      <c r="L22" s="115" t="inlineStr">
        <is>
          <t>Marketing</t>
        </is>
      </c>
      <c r="M22" s="118" t="inlineStr">
        <is>
          <r>
            <rPr>
              <rFont val="Calibri"/>
              <sz val="10"/>
            </rPr>
            <t xml:space="preserve">Writes blogs, web copy, collateral and social content. At A3: varied work; reviews juniors; go-to for a process.
</t>
          </r>
          <r>
            <rPr>
              <rFont val="Calibri"/>
              <b val="1"/>
              <sz val="10"/>
            </rPr>
            <t>Common themes in sub-family holders, all levels' answers:</t>
          </r>
          <r>
            <rPr>
              <rFont val="Calibri"/>
              <sz val="10"/>
            </rPr>
            <t xml:space="preserve"> content · creation · brand · marketing · leads · through</t>
          </r>
        </is>
      </c>
      <c r="N22" s="164" t="inlineStr">
        <is>
          <r>
            <rPr>
              <rFont val="Calibri"/>
              <sz val="10"/>
            </rPr>
            <t xml:space="preserve">Writes blogs, web copy, collateral and social content; Varied and non-standard work; handles exceptions; A module / process, or work with client or regulatory consequences
</t>
          </r>
          <r>
            <rPr>
              <rFont val="Calibri"/>
              <b val="1"/>
              <sz val="10"/>
            </rPr>
            <t>Common themes in sub-family holders, all levels' answers:</t>
          </r>
          <r>
            <rPr>
              <rFont val="Calibri"/>
              <sz val="10"/>
            </rPr>
            <t xml:space="preserve"> content · blogs · week · research · campaign · assets</t>
          </r>
        </is>
      </c>
      <c r="O22"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content · media · social · marketing · blogs · campaigns</t>
          </r>
        </is>
      </c>
      <c r="P22"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content · social media · website · accountable · marketing · brand</t>
          </r>
        </is>
      </c>
      <c r="Q22" s="164" t="inlineStr">
        <is>
          <r>
            <rPr>
              <rFont val="Calibri"/>
              <sz val="10"/>
            </rPr>
            <t xml:space="preserve">Technical / QC / client calls on own work
</t>
          </r>
          <r>
            <rPr>
              <rFont val="Calibri"/>
              <b val="1"/>
              <sz val="10"/>
            </rPr>
            <t>Common themes in sub-family holders, all levels' answers:</t>
          </r>
          <r>
            <rPr>
              <rFont val="Calibri"/>
              <sz val="10"/>
            </rPr>
            <t xml:space="preserve"> seo · blogs · content</t>
          </r>
        </is>
      </c>
      <c r="R22" s="164" t="inlineStr">
        <is>
          <t>—</t>
        </is>
      </c>
      <c r="S22" s="164" t="inlineStr">
        <is>
          <t>Marketing · Research skills · Content strategy · Copywriting</t>
        </is>
      </c>
      <c r="T22" s="164" t="inlineStr">
        <is>
          <t>Semrush · Google Analytics · Canva · Hubspot · Buffer · Claude</t>
        </is>
      </c>
      <c r="U22" s="119" t="inlineStr">
        <is>
          <t>Varied work; reviews juniors; go-to for a process</t>
        </is>
      </c>
      <c r="V22" s="165" t="inlineStr">
        <is>
          <t>Varied and non-standard work; handles exceptions</t>
        </is>
      </c>
      <c r="W22" s="165" t="inlineStr">
        <is>
          <t>Technical / QC / client calls on own work</t>
        </is>
      </c>
      <c r="X22" s="165" t="inlineStr">
        <is>
          <t>A module / process, or work with client or regulatory consequences</t>
        </is>
      </c>
      <c r="Y22" s="165" t="inlineStr">
        <is>
          <t>Not scored in Band A</t>
        </is>
      </c>
      <c r="Z22" s="165" t="inlineStr">
        <is>
          <t>2–4 yrs</t>
        </is>
      </c>
      <c r="AA22" s="165" t="inlineStr">
        <is>
          <t>Graduate; relevant certification preferred</t>
        </is>
      </c>
      <c r="AB22" s="165" t="inlineStr">
        <is>
          <t>Google / HubSpot certifications</t>
        </is>
      </c>
      <c r="AC22" s="165" t="inlineStr">
        <is>
          <t>None · guides 1–3 juniors informally</t>
        </is>
      </c>
      <c r="AD22" s="121" t="inlineStr">
        <is>
          <t>Core 2 · Future-ready 2 · Functional 3 · Leadership —</t>
        </is>
      </c>
      <c r="AE22" s="122" t="inlineStr">
        <is>
          <t>Marketing Tech &amp; Digital Marketing · Communication &amp; Presentation</t>
        </is>
      </c>
      <c r="AF22" s="122" t="inlineStr">
        <is>
          <t>Data Analytics, BI &amp; Visualisation · AI, GenAI &amp; Prompt Engineering · Product, Platform &amp; Domain Knowledge · Strategic Thinking &amp; Business Acumen</t>
        </is>
      </c>
      <c r="AG22" s="176" t="inlineStr">
        <is>
          <t>P2</t>
        </is>
      </c>
      <c r="AH22" s="128" t="inlineStr">
        <is>
          <t>3 Apply</t>
        </is>
      </c>
      <c r="AI22" s="177" t="inlineStr">
        <is>
          <t>IRIS Vs Market Benchmark — CIM proficiency scale: 2–3 · IRIS Vs Competitor Benchmark — SaaS marketing ladder: Marketing Specialist</t>
        </is>
      </c>
      <c r="AJ22" s="177" t="inlineStr">
        <is>
          <t>CIM Global Professional Marketing Framework — proficiency Aware → Active learner → Able → Accomplished → Authoritative</t>
        </is>
      </c>
      <c r="AK22" s="177" t="inlineStr">
        <is>
          <t>B1 · Specialist</t>
        </is>
      </c>
      <c r="AL22" s="129" t="inlineStr">
        <is>
          <t>Marketing &amp; content · Leadership &amp; people management · Product &amp; tool knowledge</t>
        </is>
      </c>
      <c r="AM22" s="130" t="inlineStr">
        <is>
          <t>Alisha to learn how brand positioning is mapped into content strategy for messaging consistency.</t>
        </is>
      </c>
      <c r="AN22" s="130" t="inlineStr">
        <is>
          <t>Formal / classroom training · Mentoring / guidance from seniors · Knowledge transfer · KT</t>
        </is>
      </c>
      <c r="AO22" s="130" t="inlineStr">
        <is>
          <t>delay · approvals · review</t>
        </is>
      </c>
      <c r="AP22" s="130" t="inlineStr">
        <is>
          <t>clarity · content</t>
        </is>
      </c>
      <c r="AQ22" s="130" t="inlineStr">
        <is>
          <t>0 of 6 say the role is changing because of AI / automation</t>
        </is>
      </c>
      <c r="AR22" s="131" t="inlineStr">
        <is>
          <t>Create market understanding, demand and reputation. Includes: Content, demand, digital, product marketing, operations and communications. Excludes: Account closing; product UX design.</t>
        </is>
      </c>
      <c r="AS22" s="132" t="inlineStr">
        <is>
          <t>MKT01-2 · Content Marketing Specialist</t>
        </is>
      </c>
      <c r="AT22" s="132" t="inlineStr">
        <is>
          <t>Produce accurate content for an identified audience and purpose.</t>
        </is>
      </c>
      <c r="AU22" s="132" t="inlineStr">
        <is>
          <t>Demonstrate routine delivery plus judgement in bounded exceptions.</t>
        </is>
      </c>
      <c r="AV22" s="132" t="inlineStr">
        <is>
          <t>A content portfolio with source accuracy, audience fit and measured qualified engagement</t>
        </is>
      </c>
      <c r="AW22" s="132" t="inlineStr">
        <is>
          <r>
            <rPr>
              <rFont val="Calibri"/>
              <b val="1"/>
              <sz val="10"/>
            </rPr>
            <t>Workiva:</t>
          </r>
          <r>
            <rPr>
              <rFont val="Calibri"/>
              <sz val="10"/>
            </rPr>
            <t xml:space="preserve"> Marketing Intern, 2027 cohort · Entry only. Gap: Peer entry content work observed; senior content ladder is proposed</t>
          </r>
        </is>
      </c>
      <c r="AX22" s="178" t="inlineStr">
        <is>
          <t>Framework + sub-family themes · 3+ answered</t>
        </is>
      </c>
      <c r="AY22" s="134" t="inlineStr">
        <is>
          <t>2 holders, 2 answered the survey; sub-family 8 answered</t>
        </is>
      </c>
    </row>
    <row r="23" ht="93" customHeight="1">
      <c r="A23" s="175" t="inlineStr">
        <is>
          <t>RC-117</t>
        </is>
      </c>
      <c r="B23" s="111" t="inlineStr">
        <is>
          <t>Marketing &amp; Communications</t>
        </is>
      </c>
      <c r="C23" s="111" t="inlineStr">
        <is>
          <t>Digital Marketing, Web &amp; Social</t>
        </is>
      </c>
      <c r="D23" s="144" t="inlineStr">
        <is>
          <t>A3</t>
        </is>
      </c>
      <c r="E23" s="140" t="inlineStr">
        <is>
          <t>Senior Associate</t>
        </is>
      </c>
      <c r="F23" s="111" t="inlineStr">
        <is>
          <t>IC</t>
        </is>
      </c>
      <c r="G23" s="111" t="inlineStr">
        <is>
          <t>Senior Digital Marketing Associate</t>
        </is>
      </c>
      <c r="H23" s="112" t="n">
        <v>2</v>
      </c>
      <c r="I23" s="111" t="inlineStr">
        <is>
          <t>CARBON 1 · Datatech 1</t>
        </is>
      </c>
      <c r="J23" s="162" t="n">
        <v>1</v>
      </c>
      <c r="K23" s="115" t="inlineStr">
        <is>
          <t>Lalit Subhash Dhamale</t>
        </is>
      </c>
      <c r="L23" s="115" t="inlineStr">
        <is>
          <t>Marketing</t>
        </is>
      </c>
      <c r="M23" s="118" t="inlineStr">
        <is>
          <t>Runs website, SEO/AEO, social media and online reputation. At A3: varied work; reviews juniors; go-to for a process.</t>
        </is>
      </c>
      <c r="N23" s="164" t="inlineStr">
        <is>
          <t>Runs website, SEO/AEO, social media and online reputation; Varied and non-standard work; handles exceptions; A module / process, or work with client or regulatory consequences</t>
        </is>
      </c>
      <c r="O23" s="164" t="inlineStr">
        <is>
          <t>A module / process, or work with client or regulatory consequences</t>
        </is>
      </c>
      <c r="P23" s="164" t="inlineStr">
        <is>
          <t>A module / process, or work with client or regulatory consequences</t>
        </is>
      </c>
      <c r="Q23" s="164" t="inlineStr">
        <is>
          <t>Technical / QC / client calls on own work</t>
        </is>
      </c>
      <c r="R23" s="164" t="inlineStr">
        <is>
          <t>—</t>
        </is>
      </c>
      <c r="S23" s="164" t="inlineStr">
        <is>
          <t>Marketing</t>
        </is>
      </c>
      <c r="T23" s="164" t="inlineStr">
        <is>
          <t>—</t>
        </is>
      </c>
      <c r="U23" s="119" t="inlineStr">
        <is>
          <t>Varied work; reviews juniors; go-to for a process</t>
        </is>
      </c>
      <c r="V23" s="165" t="inlineStr">
        <is>
          <t>Varied and non-standard work; handles exceptions</t>
        </is>
      </c>
      <c r="W23" s="165" t="inlineStr">
        <is>
          <t>Technical / QC / client calls on own work</t>
        </is>
      </c>
      <c r="X23" s="165" t="inlineStr">
        <is>
          <t>A module / process, or work with client or regulatory consequences</t>
        </is>
      </c>
      <c r="Y23" s="165" t="inlineStr">
        <is>
          <t>Not scored in Band A</t>
        </is>
      </c>
      <c r="Z23" s="165" t="inlineStr">
        <is>
          <t>2–4 yrs</t>
        </is>
      </c>
      <c r="AA23" s="165" t="inlineStr">
        <is>
          <t>Graduate; relevant certification preferred</t>
        </is>
      </c>
      <c r="AB23" s="165" t="inlineStr">
        <is>
          <t>Google / HubSpot certifications</t>
        </is>
      </c>
      <c r="AC23" s="165" t="inlineStr">
        <is>
          <t>None · guides 1–3 juniors informally</t>
        </is>
      </c>
      <c r="AD23" s="121" t="inlineStr">
        <is>
          <t>Core 2 · Future-ready 2 · Functional 3 · Leadership —</t>
        </is>
      </c>
      <c r="AE23" s="122" t="inlineStr">
        <is>
          <t>Marketing Tech &amp; Digital Marketing · Communication &amp; Presentation</t>
        </is>
      </c>
      <c r="AF23" s="122" t="inlineStr">
        <is>
          <t>Data Analytics, BI &amp; Visualisation · AI, GenAI &amp; Prompt Engineering · Product, Platform &amp; Domain Knowledge · Strategic Thinking &amp; Business Acumen</t>
        </is>
      </c>
      <c r="AG23" s="176" t="inlineStr">
        <is>
          <t>P2</t>
        </is>
      </c>
      <c r="AH23" s="128" t="inlineStr">
        <is>
          <t>3 Apply</t>
        </is>
      </c>
      <c r="AI23" s="177" t="inlineStr">
        <is>
          <t>IRIS Vs Market Benchmark — CIM proficiency scale: 2–3 · IRIS Vs Competitor Benchmark — SaaS marketing ladder: Marketing Specialist</t>
        </is>
      </c>
      <c r="AJ23" s="177" t="inlineStr">
        <is>
          <t>CIM Global Professional Marketing Framework — proficiency Aware → Active learner → Able → Accomplished → Authoritative</t>
        </is>
      </c>
      <c r="AK23" s="177" t="inlineStr">
        <is>
          <t>B1 · Specialist</t>
        </is>
      </c>
      <c r="AL23" s="129" t="inlineStr">
        <is>
          <t>Marketing &amp; content · Product &amp; tool knowledge</t>
        </is>
      </c>
      <c r="AM23" s="130" t="inlineStr">
        <is>
          <t>—</t>
        </is>
      </c>
      <c r="AN23" s="130" t="inlineStr">
        <is>
          <t>—</t>
        </is>
      </c>
      <c r="AO23" s="130" t="inlineStr">
        <is>
          <t>—</t>
        </is>
      </c>
      <c r="AP23" s="130" t="inlineStr">
        <is>
          <t>—</t>
        </is>
      </c>
      <c r="AQ23" s="130" t="inlineStr">
        <is>
          <t>—</t>
        </is>
      </c>
      <c r="AR23" s="131" t="inlineStr">
        <is>
          <t>Create market understanding, demand and reputation. Includes: Content, demand, digital, product marketing, operations and communications. Excludes: Account closing; product UX design.</t>
        </is>
      </c>
      <c r="AS23" s="132" t="inlineStr">
        <is>
          <t>MKT04-2 · Digital Marketing Specialist</t>
        </is>
      </c>
      <c r="AT23" s="132" t="inlineStr">
        <is>
          <t>Run instrumented channel campaigns and search improvements.</t>
        </is>
      </c>
      <c r="AU23" s="132" t="inlineStr">
        <is>
          <t>Demonstrate routine delivery plus judgement in bounded exceptions.</t>
        </is>
      </c>
      <c r="AV23" s="132" t="inlineStr">
        <is>
          <t>A channel experiment with trustworthy tracking and measurable conversion improvement</t>
        </is>
      </c>
      <c r="AW23" s="132" t="inlineStr">
        <is>
          <r>
            <rPr>
              <rFont val="Calibri"/>
              <b val="1"/>
              <sz val="10"/>
            </rPr>
            <t>Workiva:</t>
          </r>
          <r>
            <rPr>
              <rFont val="Calibri"/>
              <sz val="10"/>
            </rPr>
            <t xml:space="preserve"> Marketing Intern, 2027 cohort
</t>
          </r>
          <r>
            <rPr>
              <rFont val="Calibri"/>
              <b val="1"/>
              <sz val="10"/>
            </rPr>
            <t>Workiva:</t>
          </r>
          <r>
            <rPr>
              <rFont val="Calibri"/>
              <sz val="10"/>
            </rPr>
            <t xml:space="preserve"> Senior Campaign Manager · Selected roles. Gap: Campaign evidence supports demand work; digital-specialist path is partly inferred</t>
          </r>
        </is>
      </c>
      <c r="AX23" s="133" t="inlineStr">
        <is>
          <t>Framework only · fewer than 3 answered</t>
        </is>
      </c>
      <c r="AY23" s="134" t="inlineStr">
        <is>
          <t>2 holders, 2 answered the survey; sub-family 2 answered</t>
        </is>
      </c>
    </row>
    <row r="24" ht="80" customHeight="1">
      <c r="A24" s="175" t="inlineStr">
        <is>
          <t>RC-118</t>
        </is>
      </c>
      <c r="B24" s="111" t="inlineStr">
        <is>
          <t>Marketing &amp; Communications</t>
        </is>
      </c>
      <c r="C24" s="111" t="inlineStr">
        <is>
          <t>Marketing · role not recorded</t>
        </is>
      </c>
      <c r="D24" s="150" t="inlineStr">
        <is>
          <t>X1</t>
        </is>
      </c>
      <c r="E24" s="136" t="inlineStr">
        <is>
          <t>Associate Consultant</t>
        </is>
      </c>
      <c r="F24" s="111" t="inlineStr">
        <is>
          <t>IC</t>
        </is>
      </c>
      <c r="G24" s="111" t="inlineStr">
        <is>
          <t>Associate Consultant – Demand Generation, Brand &amp; Events</t>
        </is>
      </c>
      <c r="H24" s="112" t="n">
        <v>1</v>
      </c>
      <c r="I24" s="111" t="inlineStr">
        <is>
          <t>Datatech 1</t>
        </is>
      </c>
      <c r="J24" s="162" t="n">
        <v>1</v>
      </c>
      <c r="K24" s="115" t="inlineStr">
        <is>
          <t>R Indumathi</t>
        </is>
      </c>
      <c r="L24" s="115" t="inlineStr">
        <is>
          <t>Marketing</t>
        </is>
      </c>
      <c r="M24" s="118" t="inlineStr">
        <is>
          <t>Consultant — work not captured. At X1: defined deliverables under a statement of work · ≈ A2–A3.</t>
        </is>
      </c>
      <c r="N24" s="164" t="inlineStr">
        <is>
          <t>Consultant — work not captured</t>
        </is>
      </c>
      <c r="O24" s="164" t="inlineStr">
        <is>
          <t>Consultant — work not captured.</t>
        </is>
      </c>
      <c r="P24" s="164" t="inlineStr">
        <is>
          <t>Deliverables under the statement of work</t>
        </is>
      </c>
      <c r="Q24" s="164" t="inlineStr">
        <is>
          <t>Within the statement of work</t>
        </is>
      </c>
      <c r="R24" s="164" t="inlineStr">
        <is>
          <t>—</t>
        </is>
      </c>
      <c r="S24" s="164" t="inlineStr">
        <is>
          <t>—</t>
        </is>
      </c>
      <c r="T24" s="164" t="inlineStr">
        <is>
          <t>—</t>
        </is>
      </c>
      <c r="U24" s="119" t="inlineStr">
        <is>
          <t>Defined deliverables under a statement of work · ≈ A2–A3</t>
        </is>
      </c>
      <c r="V24" s="165" t="inlineStr">
        <is>
          <t>—</t>
        </is>
      </c>
      <c r="W24" s="165" t="inlineStr">
        <is>
          <t>—</t>
        </is>
      </c>
      <c r="X24" s="165" t="inlineStr">
        <is>
          <t>—</t>
        </is>
      </c>
      <c r="Y24" s="165" t="inlineStr">
        <is>
          <t>—</t>
        </is>
      </c>
      <c r="Z24" s="165" t="inlineStr">
        <is>
          <t>0–5 yrs</t>
        </is>
      </c>
      <c r="AA24" s="165" t="inlineStr">
        <is>
          <t>As for equivalent role</t>
        </is>
      </c>
      <c r="AB24" s="165" t="inlineStr">
        <is>
          <t>Google / HubSpot certifications</t>
        </is>
      </c>
      <c r="AC24" s="165" t="inlineStr">
        <is>
          <t>Not counted in spans</t>
        </is>
      </c>
      <c r="AD24" s="121" t="inlineStr">
        <is>
          <t>Per statement of work</t>
        </is>
      </c>
      <c r="AE24" s="122" t="inlineStr">
        <is>
          <t>Marketing Tech &amp; Digital Marketing · Communication &amp; Presentation</t>
        </is>
      </c>
      <c r="AF24" s="122" t="inlineStr">
        <is>
          <t>Data Analytics, BI &amp; Visualisation · AI, GenAI &amp; Prompt Engineering · Product, Platform &amp; Domain Knowledge · Strategic Thinking &amp; Business Acumen</t>
        </is>
      </c>
      <c r="AG24" s="176" t="inlineStr">
        <is>
          <t>Contractor</t>
        </is>
      </c>
      <c r="AH24" s="128" t="inlineStr">
        <is>
          <t>—</t>
        </is>
      </c>
      <c r="AI24" s="177" t="inlineStr">
        <is>
          <t>—</t>
        </is>
      </c>
      <c r="AJ24" s="177" t="inlineStr">
        <is>
          <t>CIM Global Professional Marketing Framework — proficiency Aware → Active learner → Able → Accomplished → Authoritative</t>
        </is>
      </c>
      <c r="AK24" s="177" t="inlineStr">
        <is>
          <t>—</t>
        </is>
      </c>
      <c r="AL24" s="129" t="inlineStr">
        <is>
          <t>—</t>
        </is>
      </c>
      <c r="AM24" s="130" t="inlineStr">
        <is>
          <t>—</t>
        </is>
      </c>
      <c r="AN24" s="130" t="inlineStr">
        <is>
          <t>—</t>
        </is>
      </c>
      <c r="AO24" s="130" t="inlineStr">
        <is>
          <t>—</t>
        </is>
      </c>
      <c r="AP24" s="130" t="inlineStr">
        <is>
          <t>—</t>
        </is>
      </c>
      <c r="AQ24" s="130" t="inlineStr">
        <is>
          <t>—</t>
        </is>
      </c>
      <c r="AR24" s="131" t="inlineStr">
        <is>
          <t>Create market understanding, demand and reputation. Includes: Content, demand, digital, product marketing, operations and communications. Excludes: Account closing; product UX design.</t>
        </is>
      </c>
      <c r="AS24" s="132" t="inlineStr">
        <is>
          <t>—</t>
        </is>
      </c>
      <c r="AT24" s="132" t="inlineStr">
        <is>
          <t>—</t>
        </is>
      </c>
      <c r="AU24" s="132" t="inlineStr">
        <is>
          <t>—</t>
        </is>
      </c>
      <c r="AV24" s="132" t="inlineStr">
        <is>
          <t>—</t>
        </is>
      </c>
      <c r="AW24" s="132" t="inlineStr">
        <is>
          <t>—</t>
        </is>
      </c>
      <c r="AX24" s="133" t="inlineStr">
        <is>
          <t>Framework only · fewer than 3 answered</t>
        </is>
      </c>
      <c r="AY24" s="134" t="inlineStr">
        <is>
          <t>1 holder, 0 answered the survey; sub-family 0 answered</t>
        </is>
      </c>
    </row>
    <row r="25" ht="80" customHeight="1">
      <c r="A25" s="175" t="inlineStr">
        <is>
          <t>RC-119</t>
        </is>
      </c>
      <c r="B25" s="111" t="inlineStr">
        <is>
          <t>Marketing &amp; Communications</t>
        </is>
      </c>
      <c r="C25" s="111" t="inlineStr">
        <is>
          <t>Marketing Leadership</t>
        </is>
      </c>
      <c r="D25" s="116" t="inlineStr">
        <is>
          <t>B2</t>
        </is>
      </c>
      <c r="E25" s="18" t="inlineStr">
        <is>
          <t>Senior Specialist</t>
        </is>
      </c>
      <c r="F25" s="111" t="inlineStr">
        <is>
          <t>IC</t>
        </is>
      </c>
      <c r="G25" s="111" t="inlineStr">
        <is>
          <t>Marketing Specialist – POD Lead</t>
        </is>
      </c>
      <c r="H25" s="112" t="n">
        <v>1</v>
      </c>
      <c r="I25" s="111" t="inlineStr">
        <is>
          <t>Datatech 1</t>
        </is>
      </c>
      <c r="J25" s="162" t="n">
        <v>1</v>
      </c>
      <c r="K25" s="115" t="inlineStr">
        <is>
          <t>Ankita Pathak</t>
        </is>
      </c>
      <c r="L25" s="115" t="inlineStr">
        <is>
          <t>Marketing</t>
        </is>
      </c>
      <c r="M25" s="118" t="inlineStr">
        <is>
          <t>Leads the marketing &amp; communications function. At B2: deep domain expertise, or one team.</t>
        </is>
      </c>
      <c r="N25" s="164" t="inlineStr">
        <is>
          <t>Leads the marketing &amp; communications function; Hardest problems in the domain; One team or a client portfolio</t>
        </is>
      </c>
      <c r="O25" s="164" t="inlineStr">
        <is>
          <t>One team or a client portfolio</t>
        </is>
      </c>
      <c r="P25" s="164" t="inlineStr">
        <is>
          <t>One team or a client portfolio</t>
        </is>
      </c>
      <c r="Q25" s="164" t="inlineStr">
        <is>
          <t>Allocates people and sets team priorities</t>
        </is>
      </c>
      <c r="R25" s="164" t="inlineStr">
        <is>
          <t>—</t>
        </is>
      </c>
      <c r="S25" s="164" t="inlineStr">
        <is>
          <t>Marketing</t>
        </is>
      </c>
      <c r="T25" s="164" t="inlineStr">
        <is>
          <t>—</t>
        </is>
      </c>
      <c r="U25" s="119" t="inlineStr">
        <is>
          <t>Deep domain expertise, or one team</t>
        </is>
      </c>
      <c r="V25" s="165" t="inlineStr">
        <is>
          <t>Hardest problems in the domain</t>
        </is>
      </c>
      <c r="W25" s="165" t="inlineStr">
        <is>
          <t>Allocates people and sets team priorities</t>
        </is>
      </c>
      <c r="X25" s="165" t="inlineStr">
        <is>
          <t>One team or a client portfolio</t>
        </is>
      </c>
      <c r="Y25" s="165" t="inlineStr">
        <is>
          <r>
            <rPr>
              <rFont val="Calibri"/>
              <b val="1"/>
              <sz val="10"/>
            </rPr>
            <t>IC:</t>
          </r>
          <r>
            <rPr>
              <rFont val="Calibri"/>
              <sz val="10"/>
            </rPr>
            <t xml:space="preserve"> guides others in the domain · People: manages a team of 6+</t>
          </r>
        </is>
      </c>
      <c r="Z25" s="165" t="inlineStr">
        <is>
          <t>6–9 yrs</t>
        </is>
      </c>
      <c r="AA25" s="165" t="inlineStr">
        <is>
          <t>Graduate or postgraduate; professional qualification preferred</t>
        </is>
      </c>
      <c r="AB25" s="165" t="inlineStr">
        <is>
          <t>Google / HubSpot certifications</t>
        </is>
      </c>
      <c r="AC25" s="165" t="inlineStr">
        <is>
          <r>
            <rPr>
              <rFont val="Calibri"/>
              <b val="1"/>
              <sz val="10"/>
            </rPr>
            <t>IC:</t>
          </r>
          <r>
            <rPr>
              <rFont val="Calibri"/>
              <sz val="10"/>
            </rPr>
            <t xml:space="preserve"> none · People: 6–8 knowledge work, 8–12 standardised delivery</t>
          </r>
        </is>
      </c>
      <c r="AD25" s="121" t="inlineStr">
        <is>
          <t>Core 3 · Future-ready 3 · Functional 4 · Leadership 2</t>
        </is>
      </c>
      <c r="AE25" s="122" t="inlineStr">
        <is>
          <t>Marketing Tech &amp; Digital Marketing · Communication &amp; Presentation</t>
        </is>
      </c>
      <c r="AF25" s="122" t="inlineStr">
        <is>
          <t>Data Analytics, BI &amp; Visualisation · AI, GenAI &amp; Prompt Engineering · Product, Platform &amp; Domain Knowledge · Strategic Thinking &amp; Business Acumen</t>
        </is>
      </c>
      <c r="AG25" s="176" t="inlineStr">
        <is>
          <t>P4 / M3</t>
        </is>
      </c>
      <c r="AH25" s="128" t="inlineStr">
        <is>
          <t>4–5</t>
        </is>
      </c>
      <c r="AI25" s="177" t="inlineStr">
        <is>
          <t>IRIS Vs Market Benchmark — CIM proficiency scale: 3–4 · IRIS Vs Competitor Benchmark — SaaS marketing ladder: Marketing Manager</t>
        </is>
      </c>
      <c r="AJ25" s="177" t="inlineStr">
        <is>
          <t>CIM Global Professional Marketing Framework — proficiency Aware → Active learner → Able → Accomplished → Authoritative</t>
        </is>
      </c>
      <c r="AK25" s="177" t="inlineStr">
        <is>
          <t>B3 · Lead Specialist</t>
        </is>
      </c>
      <c r="AL25" s="129" t="inlineStr">
        <is>
          <t>Strategy &amp; business acumen · Marketing &amp; content</t>
        </is>
      </c>
      <c r="AM25" s="130" t="inlineStr">
        <is>
          <t>Performance marketing, Leadership coaching</t>
        </is>
      </c>
      <c r="AN25" s="130" t="inlineStr">
        <is>
          <t>—</t>
        </is>
      </c>
      <c r="AO25" s="130" t="inlineStr">
        <is>
          <t>—</t>
        </is>
      </c>
      <c r="AP25" s="130" t="inlineStr">
        <is>
          <t>—</t>
        </is>
      </c>
      <c r="AQ25" s="130" t="inlineStr">
        <is>
          <t>—</t>
        </is>
      </c>
      <c r="AR25" s="131" t="inlineStr">
        <is>
          <t>Create market understanding, demand and reputation. Includes: Content, demand, digital, product marketing, operations and communications. Excludes: Account closing; product UX design.</t>
        </is>
      </c>
      <c r="AS25" s="132" t="inlineStr">
        <is>
          <t>LD10-1 · Marketing Discipline Manager</t>
        </is>
      </c>
      <c r="AT25" s="132" t="inlineStr">
        <is>
          <t>Own staffing decisions, performance support, service quality and delegated team resources</t>
        </is>
      </c>
      <c r="AU25" s="132" t="inlineStr">
        <is>
          <t>Do not manufacture three reporting layers. Choose roles the organisation needs. A specialist may remain on an equally valued expert path.</t>
        </is>
      </c>
      <c r="AV25" s="132" t="inlineStr">
        <is>
          <t>—</t>
        </is>
      </c>
      <c r="AW25" s="132" t="inlineStr">
        <is>
          <t>—</t>
        </is>
      </c>
      <c r="AX25" s="133" t="inlineStr">
        <is>
          <t>Framework only · fewer than 3 answered</t>
        </is>
      </c>
      <c r="AY25" s="134" t="inlineStr">
        <is>
          <t>1 holder, 1 answered the survey; sub-family 2 answered</t>
        </is>
      </c>
    </row>
    <row r="26">
      <c r="A26" s="160" t="inlineStr">
        <is>
          <t>Product Management</t>
        </is>
      </c>
    </row>
    <row r="27" ht="93" customHeight="1">
      <c r="A27" s="175" t="inlineStr">
        <is>
          <t>RC-125</t>
        </is>
      </c>
      <c r="B27" s="111" t="inlineStr">
        <is>
          <t>Product Management</t>
        </is>
      </c>
      <c r="C27" s="111" t="inlineStr">
        <is>
          <t>Product Management</t>
        </is>
      </c>
      <c r="D27" s="116" t="inlineStr">
        <is>
          <t>B1</t>
        </is>
      </c>
      <c r="E27" s="18" t="inlineStr">
        <is>
          <t>Specialist</t>
        </is>
      </c>
      <c r="F27" s="111" t="inlineStr">
        <is>
          <t>IC</t>
        </is>
      </c>
      <c r="G27" s="111" t="inlineStr">
        <is>
          <t>Associate Product Manager – POD Lead · Associate Product Manager</t>
        </is>
      </c>
      <c r="H27" s="112" t="n">
        <v>5</v>
      </c>
      <c r="I27" s="111" t="inlineStr">
        <is>
          <t>CARBON 3 · Datatech 2</t>
        </is>
      </c>
      <c r="J27" s="162" t="n">
        <v>2</v>
      </c>
      <c r="K27" s="115" t="inlineStr">
        <is>
          <t>Ayushi Maurya, Gaurav Bansal</t>
        </is>
      </c>
      <c r="L27" s="115" t="inlineStr">
        <is>
          <t>Product Management</t>
        </is>
      </c>
      <c r="M27" s="118" t="inlineStr">
        <is>
          <r>
            <rPr>
              <rFont val="Calibri"/>
              <sz val="10"/>
            </rPr>
            <t xml:space="preserve">Owns product vision, roadmap, requirements · PRDs, prioritisation and adoption. At B1: a domain / module, or a small team.
</t>
          </r>
          <r>
            <rPr>
              <rFont val="Calibri"/>
              <b val="1"/>
              <sz val="10"/>
            </rPr>
            <t>Common themes in role-holders' answers:</t>
          </r>
          <r>
            <rPr>
              <rFont val="Calibri"/>
              <sz val="10"/>
            </rPr>
            <t xml:space="preserve"> product · management · customers · roadmap · shape · stakeholder</t>
          </r>
        </is>
      </c>
      <c r="N27" s="164" t="inlineStr">
        <is>
          <r>
            <rPr>
              <rFont val="Calibri"/>
              <sz val="10"/>
            </rPr>
            <t xml:space="preserve">Owns product vision, roadmap, requirements · PRDs, prioritisation and adoption; Domain specialist work; A domain or a small team
</t>
          </r>
          <r>
            <rPr>
              <rFont val="Calibri"/>
              <b val="1"/>
              <sz val="10"/>
            </rPr>
            <t>Common themes in role-holders' answers:</t>
          </r>
          <r>
            <rPr>
              <rFont val="Calibri"/>
              <sz val="10"/>
            </rPr>
            <t xml:space="preserve"> research · demos · product · management · customer · analysis</t>
          </r>
        </is>
      </c>
      <c r="O27" s="164" t="inlineStr">
        <is>
          <r>
            <rPr>
              <rFont val="Calibri"/>
              <sz val="10"/>
            </rPr>
            <t xml:space="preserve">A domain or a small team
</t>
          </r>
          <r>
            <rPr>
              <rFont val="Calibri"/>
              <b val="1"/>
              <sz val="10"/>
            </rPr>
            <t>Common themes in role-holders' answers:</t>
          </r>
          <r>
            <rPr>
              <rFont val="Calibri"/>
              <sz val="10"/>
            </rPr>
            <t xml:space="preserve"> product</t>
          </r>
        </is>
      </c>
      <c r="P27" s="164" t="inlineStr">
        <is>
          <r>
            <rPr>
              <rFont val="Calibri"/>
              <sz val="10"/>
            </rPr>
            <t xml:space="preserve">A domain or a small team
</t>
          </r>
          <r>
            <rPr>
              <rFont val="Calibri"/>
              <b val="1"/>
              <sz val="10"/>
            </rPr>
            <t>Common themes in role-holders' answers:</t>
          </r>
          <r>
            <rPr>
              <rFont val="Calibri"/>
              <sz val="10"/>
            </rPr>
            <t xml:space="preserve"> product</t>
          </r>
        </is>
      </c>
      <c r="Q27" s="164" t="inlineStr">
        <is>
          <t>Technical / QC / client calls for the domain</t>
        </is>
      </c>
      <c r="R27" s="164" t="inlineStr">
        <is>
          <t>—</t>
        </is>
      </c>
      <c r="S27" s="164" t="inlineStr">
        <is>
          <t>Product Management · Project management · Product sense · Market research · CA + CE</t>
        </is>
      </c>
      <c r="T27" s="164" t="inlineStr">
        <is>
          <t>Claude · Mixpanel</t>
        </is>
      </c>
      <c r="U27" s="119" t="inlineStr">
        <is>
          <t>A domain / module, or a small team</t>
        </is>
      </c>
      <c r="V27" s="165" t="inlineStr">
        <is>
          <t>Domain specialist work</t>
        </is>
      </c>
      <c r="W27" s="165" t="inlineStr">
        <is>
          <t>Technical / QC / client calls for the domain</t>
        </is>
      </c>
      <c r="X27" s="165" t="inlineStr">
        <is>
          <t>A domain or a small team</t>
        </is>
      </c>
      <c r="Y27" s="165" t="inlineStr">
        <is>
          <r>
            <rPr>
              <rFont val="Calibri"/>
              <b val="1"/>
              <sz val="10"/>
            </rPr>
            <t>IC:</t>
          </r>
          <r>
            <rPr>
              <rFont val="Calibri"/>
              <sz val="10"/>
            </rPr>
            <t xml:space="preserve"> mentors and reviews · People: hands-on team lead of 3–5</t>
          </r>
        </is>
      </c>
      <c r="Z27" s="165" t="inlineStr">
        <is>
          <t>4–7 yrs</t>
        </is>
      </c>
      <c r="AA27" s="165" t="inlineStr">
        <is>
          <t>Graduate + relevant qualification or certification preferred</t>
        </is>
      </c>
      <c r="AB27" s="165" t="inlineStr">
        <is>
          <t>Internal product certification; CBAP / CCBA · optional</t>
        </is>
      </c>
      <c r="AC27" s="165" t="inlineStr">
        <is>
          <r>
            <rPr>
              <rFont val="Calibri"/>
              <b val="1"/>
              <sz val="10"/>
            </rPr>
            <t>IC:</t>
          </r>
          <r>
            <rPr>
              <rFont val="Calibri"/>
              <sz val="10"/>
            </rPr>
            <t xml:space="preserve"> none · Team Lead: 3–5</t>
          </r>
        </is>
      </c>
      <c r="AD27" s="121" t="inlineStr">
        <is>
          <t>Core 3 · Future-ready 3 · Functional 3 · Leadership 1</t>
        </is>
      </c>
      <c r="AE27" s="122" t="inlineStr">
        <is>
          <t>Product, Platform &amp; Domain Knowledge · Business Analysis &amp; Requirements Engineering</t>
        </is>
      </c>
      <c r="AF27" s="122" t="inlineStr">
        <is>
          <t>Data Analytics, BI &amp; Visualisation · Strategic Thinking &amp; Business Acumen · Stakeholder &amp; Client Management · AI, GenAI &amp; Prompt Engineering</t>
        </is>
      </c>
      <c r="AG27" s="176" t="inlineStr">
        <is>
          <t>P3 / M2</t>
        </is>
      </c>
      <c r="AH27" s="128" t="inlineStr">
        <is>
          <t>4 Enable</t>
        </is>
      </c>
      <c r="AI27" s="177" t="inlineStr">
        <is>
          <t>IRIS Vs Competitor Benchmark — SaaS product ladder: Product Manager</t>
        </is>
      </c>
      <c r="AJ27" s="177" t="inlineStr">
        <is>
          <t>Pragmatic Institute Framework · 37 activities, 7 categories; AIPMM</t>
        </is>
      </c>
      <c r="AK27" s="177" t="inlineStr">
        <is>
          <t>B2 · Senior Specialist</t>
        </is>
      </c>
      <c r="AL27" s="129" t="inlineStr">
        <is>
          <t>Product &amp; tool knowledge · Broader exposure &amp; ownership · AI / automation · Strategy &amp; business acumen · Marketing &amp; content</t>
        </is>
      </c>
      <c r="AM27" s="130" t="inlineStr">
        <is>
          <t>thinking · management · communication · ticketing sla · de-escalation</t>
        </is>
      </c>
      <c r="AN27" s="130" t="inlineStr">
        <is>
          <t>Mentoring / guidance from seniors · Formal / classroom training · On-the-job / hands-on · Knowledge transfer · KT</t>
        </is>
      </c>
      <c r="AO27" s="130" t="inlineStr">
        <is>
          <t>No common theme</t>
        </is>
      </c>
      <c r="AP27" s="130" t="inlineStr">
        <is>
          <t>improve</t>
        </is>
      </c>
      <c r="AQ27" s="130" t="inlineStr">
        <is>
          <t>3 of 5 say the role is changing because of AI / automation</t>
        </is>
      </c>
      <c r="AR27" s="131" t="inlineStr">
        <is>
          <t>Choose and organise product outcomes. Includes: Discovery, prioritisation, roadmap decisions and product operations. Excludes: Project schedule ownership alone; user research as a standalone discipline.</t>
        </is>
      </c>
      <c r="AS27" s="132" t="inlineStr">
        <is>
          <t>PRO01-3 · Senior Product Manager</t>
        </is>
      </c>
      <c r="AT27" s="132" t="inlineStr">
        <is>
          <t>Set product strategy and make evidence-based outcome trade-offs.</t>
        </is>
      </c>
      <c r="AU27" s="132" t="inlineStr">
        <is>
          <t>Evidence of complex work, decisions and outcomes beyond routine delivery.</t>
        </is>
      </c>
      <c r="AV27" s="132" t="inlineStr">
        <is>
          <t>A product decision with customer evidence, trade-offs and measured outcomes after launch</t>
        </is>
      </c>
      <c r="AW27" s="132" t="inlineStr">
        <is>
          <r>
            <rPr>
              <rFont val="Calibri"/>
              <b val="1"/>
              <sz val="10"/>
            </rPr>
            <t>Workiva:</t>
          </r>
          <r>
            <rPr>
              <rFont val="Calibri"/>
              <sz val="10"/>
            </rPr>
            <t xml:space="preserve"> Lead data product manager · Selected role. Gap: Data-product role refreshed; Wise supplies differentiated product scope</t>
          </r>
        </is>
      </c>
      <c r="AX27" s="180" t="inlineStr">
        <is>
          <t>Framework + role-holders' themes · 3+ answered</t>
        </is>
      </c>
      <c r="AY27" s="134" t="inlineStr">
        <is>
          <t>5 holders, 5 answered the survey; sub-family 13 answered</t>
        </is>
      </c>
    </row>
    <row r="28" ht="106" customHeight="1">
      <c r="A28" s="175" t="inlineStr">
        <is>
          <t>RC-126</t>
        </is>
      </c>
      <c r="B28" s="111" t="inlineStr">
        <is>
          <t>Product Management</t>
        </is>
      </c>
      <c r="C28" s="111" t="inlineStr">
        <is>
          <t>Product Management</t>
        </is>
      </c>
      <c r="D28" s="116" t="inlineStr">
        <is>
          <t>B2</t>
        </is>
      </c>
      <c r="E28" s="18" t="inlineStr">
        <is>
          <t>Senior Specialist</t>
        </is>
      </c>
      <c r="F28" s="111" t="inlineStr">
        <is>
          <t>IC</t>
        </is>
      </c>
      <c r="G28" s="111" t="inlineStr">
        <is>
          <t>Product Manager</t>
        </is>
      </c>
      <c r="H28" s="112" t="n">
        <v>2</v>
      </c>
      <c r="I28" s="111" t="inlineStr">
        <is>
          <t>Datatech 2</t>
        </is>
      </c>
      <c r="J28" s="162" t="n">
        <v>2</v>
      </c>
      <c r="K28" s="115" t="inlineStr">
        <is>
          <t>Piyush Raj, Sachinam Sawant</t>
        </is>
      </c>
      <c r="L28" s="115" t="inlineStr">
        <is>
          <t>Product Management</t>
        </is>
      </c>
      <c r="M28" s="118" t="inlineStr">
        <is>
          <r>
            <rPr>
              <rFont val="Calibri"/>
              <sz val="10"/>
            </rPr>
            <t xml:space="preserve">Owns product vision, roadmap, requirements · PRDs, prioritisation and adoption. At B2: deep domain expertise, or one team.
</t>
          </r>
          <r>
            <rPr>
              <rFont val="Calibri"/>
              <b val="1"/>
              <sz val="10"/>
            </rPr>
            <t>Common themes in sub-family holders, all levels' answers:</t>
          </r>
          <r>
            <rPr>
              <rFont val="Calibri"/>
              <sz val="10"/>
            </rPr>
            <t xml:space="preserve"> product · market · business · customers · management · revenue</t>
          </r>
        </is>
      </c>
      <c r="N28" s="164" t="inlineStr">
        <is>
          <r>
            <rPr>
              <rFont val="Calibri"/>
              <sz val="10"/>
            </rPr>
            <t xml:space="preserve">Owns product vision, roadmap, requirements · PRDs, prioritisation and adoption; Hardest problems in the domain; One team or a client portfolio
</t>
          </r>
          <r>
            <rPr>
              <rFont val="Calibri"/>
              <b val="1"/>
              <sz val="10"/>
            </rPr>
            <t>Common themes in sub-family holders, all levels' answers:</t>
          </r>
          <r>
            <rPr>
              <rFont val="Calibri"/>
              <sz val="10"/>
            </rPr>
            <t xml:space="preserve"> product · roadmap · management · customer · research · implementation</t>
          </r>
        </is>
      </c>
      <c r="O28" s="164" t="inlineStr">
        <is>
          <r>
            <rPr>
              <rFont val="Calibri"/>
              <sz val="10"/>
            </rPr>
            <t xml:space="preserve">One team or a client portfolio
</t>
          </r>
          <r>
            <rPr>
              <rFont val="Calibri"/>
              <b val="1"/>
              <sz val="10"/>
            </rPr>
            <t>Common themes in sub-family holders, all levels' answers:</t>
          </r>
          <r>
            <rPr>
              <rFont val="Calibri"/>
              <sz val="10"/>
            </rPr>
            <t xml:space="preserve"> product · customer · client · feature · business · revenue</t>
          </r>
        </is>
      </c>
      <c r="P28" s="164" t="inlineStr">
        <is>
          <r>
            <rPr>
              <rFont val="Calibri"/>
              <sz val="10"/>
            </rPr>
            <t xml:space="preserve">One team or a client portfolio
</t>
          </r>
          <r>
            <rPr>
              <rFont val="Calibri"/>
              <b val="1"/>
              <sz val="10"/>
            </rPr>
            <t>Common themes in sub-family holders, all levels' answers:</t>
          </r>
          <r>
            <rPr>
              <rFont val="Calibri"/>
              <sz val="10"/>
            </rPr>
            <t xml:space="preserve"> product · if · delivery · customer · requirements · client</t>
          </r>
        </is>
      </c>
      <c r="Q28" s="164" t="inlineStr">
        <is>
          <r>
            <rPr>
              <rFont val="Calibri"/>
              <sz val="10"/>
            </rPr>
            <t xml:space="preserve">Allocates people and sets team priorities
</t>
          </r>
          <r>
            <rPr>
              <rFont val="Calibri"/>
              <b val="1"/>
              <sz val="10"/>
            </rPr>
            <t>Common themes in sub-family holders, all levels' answers:</t>
          </r>
          <r>
            <rPr>
              <rFont val="Calibri"/>
              <sz val="10"/>
            </rPr>
            <t xml:space="preserve"> research · priorities · approach · roadmap · product · stakeholders</t>
          </r>
        </is>
      </c>
      <c r="R28" s="164" t="inlineStr">
        <is>
          <t>—</t>
        </is>
      </c>
      <c r="S28" s="164" t="inlineStr">
        <is>
          <t>Product Management · stakeholder management · Market research · Project management · Product sense · Data analysis · ESG · CA + CE</t>
        </is>
      </c>
      <c r="T28" s="164" t="inlineStr">
        <is>
          <t>Claude · Excel · Mixpanel · MoEngage · Figma</t>
        </is>
      </c>
      <c r="U28" s="119" t="inlineStr">
        <is>
          <t>Deep domain expertise, or one team</t>
        </is>
      </c>
      <c r="V28" s="165" t="inlineStr">
        <is>
          <t>Hardest problems in the domain</t>
        </is>
      </c>
      <c r="W28" s="165" t="inlineStr">
        <is>
          <t>Allocates people and sets team priorities</t>
        </is>
      </c>
      <c r="X28" s="165" t="inlineStr">
        <is>
          <t>One team or a client portfolio</t>
        </is>
      </c>
      <c r="Y28" s="165" t="inlineStr">
        <is>
          <r>
            <rPr>
              <rFont val="Calibri"/>
              <b val="1"/>
              <sz val="10"/>
            </rPr>
            <t>IC:</t>
          </r>
          <r>
            <rPr>
              <rFont val="Calibri"/>
              <sz val="10"/>
            </rPr>
            <t xml:space="preserve"> guides others in the domain · People: manages a team of 6+</t>
          </r>
        </is>
      </c>
      <c r="Z28" s="165" t="inlineStr">
        <is>
          <t>6–9 yrs</t>
        </is>
      </c>
      <c r="AA28" s="165" t="inlineStr">
        <is>
          <t>Graduate or postgraduate; professional qualification preferred</t>
        </is>
      </c>
      <c r="AB28" s="165" t="inlineStr">
        <is>
          <t>Internal product certification; CBAP / CCBA · optional</t>
        </is>
      </c>
      <c r="AC28" s="165" t="inlineStr">
        <is>
          <r>
            <rPr>
              <rFont val="Calibri"/>
              <b val="1"/>
              <sz val="10"/>
            </rPr>
            <t>IC:</t>
          </r>
          <r>
            <rPr>
              <rFont val="Calibri"/>
              <sz val="10"/>
            </rPr>
            <t xml:space="preserve"> none · People: 6–8 knowledge work, 8–12 standardised delivery</t>
          </r>
        </is>
      </c>
      <c r="AD28" s="121" t="inlineStr">
        <is>
          <t>Core 3 · Future-ready 3 · Functional 4 · Leadership 2</t>
        </is>
      </c>
      <c r="AE28" s="122" t="inlineStr">
        <is>
          <t>Product, Platform &amp; Domain Knowledge · Business Analysis &amp; Requirements Engineering</t>
        </is>
      </c>
      <c r="AF28" s="122" t="inlineStr">
        <is>
          <t>Data Analytics, BI &amp; Visualisation · Strategic Thinking &amp; Business Acumen · Stakeholder &amp; Client Management · AI, GenAI &amp; Prompt Engineering</t>
        </is>
      </c>
      <c r="AG28" s="176" t="inlineStr">
        <is>
          <t>P4 / M3</t>
        </is>
      </c>
      <c r="AH28" s="128" t="inlineStr">
        <is>
          <t>4–5</t>
        </is>
      </c>
      <c r="AI28" s="177" t="inlineStr">
        <is>
          <t>IRIS Vs Competitor Benchmark — SaaS product ladder: Senior PM</t>
        </is>
      </c>
      <c r="AJ28" s="177" t="inlineStr">
        <is>
          <t>Pragmatic Institute Framework · 37 activities, 7 categories; AIPMM</t>
        </is>
      </c>
      <c r="AK28" s="177" t="inlineStr">
        <is>
          <t>B3 · Lead Specialist</t>
        </is>
      </c>
      <c r="AL28" s="129" t="inlineStr">
        <is>
          <t>Broader exposure &amp; ownership · AI / automation · Product &amp; tool knowledge · Client, sales &amp; stakeholders · Strategy &amp; business acumen</t>
        </is>
      </c>
      <c r="AM28" s="130" t="inlineStr">
        <is>
          <t>Data Analysis</t>
        </is>
      </c>
      <c r="AN28" s="130" t="inlineStr">
        <is>
          <t>Mentoring / guidance from seniors · On-the-job / hands-on · Formal / classroom training · Knowledge transfer · KT</t>
        </is>
      </c>
      <c r="AO28" s="130" t="inlineStr">
        <is>
          <t>cross-team · dependencies · lack · dependency · meetings</t>
        </is>
      </c>
      <c r="AP28" s="130" t="inlineStr">
        <is>
          <t>quality · alignment · time · tools · early</t>
        </is>
      </c>
      <c r="AQ28" s="130" t="inlineStr">
        <is>
          <t>6 of 13 say the role is changing because of AI / automation</t>
        </is>
      </c>
      <c r="AR28" s="131" t="inlineStr">
        <is>
          <t>Choose and organise product outcomes. Includes: Discovery, prioritisation, roadmap decisions and product operations. Excludes: Project schedule ownership alone; user research as a standalone discipline.</t>
        </is>
      </c>
      <c r="AS28" s="132" t="inlineStr">
        <is>
          <t>PRO01-3 · Senior Product Manager</t>
        </is>
      </c>
      <c r="AT28" s="132" t="inlineStr">
        <is>
          <t>Set product strategy and make evidence-based outcome trade-offs.</t>
        </is>
      </c>
      <c r="AU28" s="132" t="inlineStr">
        <is>
          <t>Evidence of complex work, decisions and outcomes beyond routine delivery.</t>
        </is>
      </c>
      <c r="AV28" s="132" t="inlineStr">
        <is>
          <t>A product decision with customer evidence, trade-offs and measured outcomes after launch</t>
        </is>
      </c>
      <c r="AW28" s="132" t="inlineStr">
        <is>
          <r>
            <rPr>
              <rFont val="Calibri"/>
              <b val="1"/>
              <sz val="10"/>
            </rPr>
            <t>Workiva:</t>
          </r>
          <r>
            <rPr>
              <rFont val="Calibri"/>
              <sz val="10"/>
            </rPr>
            <t xml:space="preserve"> Lead data product manager · Selected role. Gap: Data-product role refreshed; Wise supplies differentiated product scope</t>
          </r>
        </is>
      </c>
      <c r="AX28" s="178" t="inlineStr">
        <is>
          <t>Framework + sub-family themes · 3+ answered</t>
        </is>
      </c>
      <c r="AY28" s="134" t="inlineStr">
        <is>
          <t>2 holders, 2 answered the survey; sub-family 13 answered</t>
        </is>
      </c>
    </row>
    <row r="29" ht="119" customHeight="1">
      <c r="A29" s="175" t="inlineStr">
        <is>
          <t>RC-127</t>
        </is>
      </c>
      <c r="B29" s="111" t="inlineStr">
        <is>
          <t>Product Management</t>
        </is>
      </c>
      <c r="C29" s="111" t="inlineStr">
        <is>
          <t>Product Management</t>
        </is>
      </c>
      <c r="D29" s="116" t="inlineStr">
        <is>
          <t>B2</t>
        </is>
      </c>
      <c r="E29" s="18" t="inlineStr">
        <is>
          <t>Manager</t>
        </is>
      </c>
      <c r="F29" s="111" t="inlineStr">
        <is>
          <t>Manager</t>
        </is>
      </c>
      <c r="G29" s="111" t="inlineStr">
        <is>
          <t>Product Manager</t>
        </is>
      </c>
      <c r="H29" s="112" t="n">
        <v>4</v>
      </c>
      <c r="I29" s="111" t="inlineStr">
        <is>
          <t>iDEAL 2 · CARBON 1 · Datatech 1</t>
        </is>
      </c>
      <c r="J29" s="162" t="n">
        <v>1</v>
      </c>
      <c r="K29" s="115" t="inlineStr">
        <is>
          <t>Nilesh Majumdar</t>
        </is>
      </c>
      <c r="L29" s="115" t="inlineStr">
        <is>
          <t>Product Management</t>
        </is>
      </c>
      <c r="M29" s="118" t="inlineStr">
        <is>
          <r>
            <rPr>
              <rFont val="Calibri"/>
              <sz val="10"/>
            </rPr>
            <t xml:space="preserve">Owns product vision, roadmap, requirements · PRDs, prioritisation and adoption. At B2: deep domain expertise, or one team.
</t>
          </r>
          <r>
            <rPr>
              <rFont val="Calibri"/>
              <b val="1"/>
              <sz val="10"/>
            </rPr>
            <t>Common themes in role-holders' answers:</t>
          </r>
          <r>
            <rPr>
              <rFont val="Calibri"/>
              <sz val="10"/>
            </rPr>
            <t xml:space="preserve"> product · market · delivery · business · revenue</t>
          </r>
        </is>
      </c>
      <c r="N29" s="164" t="inlineStr">
        <is>
          <r>
            <rPr>
              <rFont val="Calibri"/>
              <sz val="10"/>
            </rPr>
            <t xml:space="preserve">Owns product vision, roadmap, requirements · PRDs, prioritisation and adoption; Hardest problems in the domain; One team or a client portfolio
</t>
          </r>
          <r>
            <rPr>
              <rFont val="Calibri"/>
              <b val="1"/>
              <sz val="10"/>
            </rPr>
            <t>Common themes in role-holders' answers:</t>
          </r>
          <r>
            <rPr>
              <rFont val="Calibri"/>
              <sz val="10"/>
            </rPr>
            <t xml:space="preserve"> product · implementation · client · management · delivery</t>
          </r>
        </is>
      </c>
      <c r="O29" s="164" t="inlineStr">
        <is>
          <r>
            <rPr>
              <rFont val="Calibri"/>
              <sz val="10"/>
            </rPr>
            <t xml:space="preserve">One team or a client portfolio
</t>
          </r>
          <r>
            <rPr>
              <rFont val="Calibri"/>
              <b val="1"/>
              <sz val="10"/>
            </rPr>
            <t>Common themes in role-holders' answers:</t>
          </r>
          <r>
            <rPr>
              <rFont val="Calibri"/>
              <sz val="10"/>
            </rPr>
            <t xml:space="preserve"> product · revenue</t>
          </r>
        </is>
      </c>
      <c r="P29" s="164" t="inlineStr">
        <is>
          <r>
            <rPr>
              <rFont val="Calibri"/>
              <sz val="10"/>
            </rPr>
            <t xml:space="preserve">One team or a client portfolio
</t>
          </r>
          <r>
            <rPr>
              <rFont val="Calibri"/>
              <b val="1"/>
              <sz val="10"/>
            </rPr>
            <t>Common themes in role-holders' answers:</t>
          </r>
          <r>
            <rPr>
              <rFont val="Calibri"/>
              <sz val="10"/>
            </rPr>
            <t xml:space="preserve"> product · quality · delivery · revenue</t>
          </r>
        </is>
      </c>
      <c r="Q29" s="164" t="inlineStr">
        <is>
          <r>
            <rPr>
              <rFont val="Calibri"/>
              <sz val="10"/>
            </rPr>
            <t xml:space="preserve">Allocates people and sets team priorities
</t>
          </r>
          <r>
            <rPr>
              <rFont val="Calibri"/>
              <b val="1"/>
              <sz val="10"/>
            </rPr>
            <t>Common themes in role-holders' answers:</t>
          </r>
          <r>
            <rPr>
              <rFont val="Calibri"/>
              <sz val="10"/>
            </rPr>
            <t xml:space="preserve"> research</t>
          </r>
        </is>
      </c>
      <c r="R29" s="164" t="inlineStr">
        <is>
          <r>
            <rPr>
              <rFont val="Calibri"/>
              <b val="1"/>
              <sz val="10"/>
            </rPr>
            <t>Common themes in manager-set KRAs:</t>
          </r>
          <r>
            <rPr>
              <rFont val="Calibri"/>
              <sz val="10"/>
            </rPr>
            <t xml:space="preserve"> development participation · cash · market requirements · tech learning · support organizational · profitability</t>
          </r>
        </is>
      </c>
      <c r="S29" s="164" t="inlineStr">
        <is>
          <t>Product management</t>
        </is>
      </c>
      <c r="T29" s="164" t="inlineStr">
        <is>
          <t>—</t>
        </is>
      </c>
      <c r="U29" s="119" t="inlineStr">
        <is>
          <t>Deep domain expertise, or one team</t>
        </is>
      </c>
      <c r="V29" s="165" t="inlineStr">
        <is>
          <t>Hardest problems in the domain</t>
        </is>
      </c>
      <c r="W29" s="165" t="inlineStr">
        <is>
          <t>Allocates people and sets team priorities</t>
        </is>
      </c>
      <c r="X29" s="165" t="inlineStr">
        <is>
          <t>One team or a client portfolio</t>
        </is>
      </c>
      <c r="Y29" s="165" t="inlineStr">
        <is>
          <r>
            <rPr>
              <rFont val="Calibri"/>
              <b val="1"/>
              <sz val="10"/>
            </rPr>
            <t>IC:</t>
          </r>
          <r>
            <rPr>
              <rFont val="Calibri"/>
              <sz val="10"/>
            </rPr>
            <t xml:space="preserve"> guides others in the domain · People: manages a team of 6+</t>
          </r>
        </is>
      </c>
      <c r="Z29" s="165" t="inlineStr">
        <is>
          <t>6–9 yrs</t>
        </is>
      </c>
      <c r="AA29" s="165" t="inlineStr">
        <is>
          <t>Graduate or postgraduate; professional qualification preferred</t>
        </is>
      </c>
      <c r="AB29" s="165" t="inlineStr">
        <is>
          <t>Internal product certification; CBAP / CCBA · optional</t>
        </is>
      </c>
      <c r="AC29" s="165" t="inlineStr">
        <is>
          <r>
            <rPr>
              <rFont val="Calibri"/>
              <b val="1"/>
              <sz val="10"/>
            </rPr>
            <t>IC:</t>
          </r>
          <r>
            <rPr>
              <rFont val="Calibri"/>
              <sz val="10"/>
            </rPr>
            <t xml:space="preserve"> none · People: 6–8 knowledge work, 8–12 standardised delivery</t>
          </r>
        </is>
      </c>
      <c r="AD29" s="121" t="inlineStr">
        <is>
          <t>Core 3 · Future-ready 3 · Functional 4 · Leadership 3</t>
        </is>
      </c>
      <c r="AE29" s="122" t="inlineStr">
        <is>
          <t>Product, Platform &amp; Domain Knowledge · Business Analysis &amp; Requirements Engineering</t>
        </is>
      </c>
      <c r="AF29" s="122" t="inlineStr">
        <is>
          <t>Data Analytics, BI &amp; Visualisation · Strategic Thinking &amp; Business Acumen · Stakeholder &amp; Client Management · AI, GenAI &amp; Prompt Engineering</t>
        </is>
      </c>
      <c r="AG29" s="176" t="inlineStr">
        <is>
          <t>P4 / M3</t>
        </is>
      </c>
      <c r="AH29" s="128" t="inlineStr">
        <is>
          <t>4–5</t>
        </is>
      </c>
      <c r="AI29" s="177" t="inlineStr">
        <is>
          <t>IRIS Vs Competitor Benchmark — SaaS product ladder: Senior PM</t>
        </is>
      </c>
      <c r="AJ29" s="177" t="inlineStr">
        <is>
          <t>Pragmatic Institute Framework · 37 activities, 7 categories; AIPMM</t>
        </is>
      </c>
      <c r="AK29" s="177" t="inlineStr">
        <is>
          <t>B3 · Lead Specialist</t>
        </is>
      </c>
      <c r="AL29" s="129" t="inlineStr">
        <is>
          <t>Product &amp; tool knowledge · Broader exposure &amp; ownership · Strategy &amp; business acumen · Leadership &amp; people management · Client, sales &amp; stakeholders</t>
        </is>
      </c>
      <c r="AM29" s="130" t="inlineStr">
        <is>
          <t>Product discovery &amp; prioritisation, Information research | Leadership development: strategic thinking, cross-functional influence, financial/business acumen, succession &amp; talent development, change management, executive communication</t>
        </is>
      </c>
      <c r="AN29" s="130" t="inlineStr">
        <is>
          <t>Mentoring / guidance from seniors · On-the-job / hands-on</t>
        </is>
      </c>
      <c r="AO29" s="130" t="inlineStr">
        <is>
          <t>cross-team</t>
        </is>
      </c>
      <c r="AP29" s="130" t="inlineStr">
        <is>
          <t>No common theme</t>
        </is>
      </c>
      <c r="AQ29" s="130" t="inlineStr">
        <is>
          <t>2 of 4 say the role is changing because of AI / automation</t>
        </is>
      </c>
      <c r="AR29" s="131" t="inlineStr">
        <is>
          <t>Choose and organise product outcomes. Includes: Discovery, prioritisation, roadmap decisions and product operations. Excludes: Project schedule ownership alone; user research as a standalone discipline.</t>
        </is>
      </c>
      <c r="AS29" s="132" t="inlineStr">
        <is>
          <t>LD12-1 · Group Product Manager</t>
        </is>
      </c>
      <c r="AT29" s="132" t="inlineStr">
        <is>
          <t>Own staffing decisions, performance support, service quality and delegated team resources</t>
        </is>
      </c>
      <c r="AU29" s="132" t="inlineStr">
        <is>
          <t>Do not manufacture three reporting layers. Choose roles the organisation needs. A specialist may remain on an equally valued expert path.</t>
        </is>
      </c>
      <c r="AV29" s="132" t="inlineStr">
        <is>
          <t>—</t>
        </is>
      </c>
      <c r="AW29" s="132" t="inlineStr">
        <is>
          <t>—</t>
        </is>
      </c>
      <c r="AX29" s="180" t="inlineStr">
        <is>
          <t>Framework + role-holders' themes · 3+ answered</t>
        </is>
      </c>
      <c r="AY29" s="134" t="inlineStr">
        <is>
          <t>4 holders, 4 answered the survey; sub-family 13 answered</t>
        </is>
      </c>
    </row>
    <row r="30" ht="80" customHeight="1">
      <c r="A30" s="175" t="inlineStr">
        <is>
          <t>RC-129</t>
        </is>
      </c>
      <c r="B30" s="111" t="inlineStr">
        <is>
          <t>Product Management</t>
        </is>
      </c>
      <c r="C30" s="111" t="inlineStr">
        <is>
          <t>Product Operations &amp; Research</t>
        </is>
      </c>
      <c r="D30" s="144" t="inlineStr">
        <is>
          <t>A1</t>
        </is>
      </c>
      <c r="E30" s="140" t="inlineStr">
        <is>
          <t>Intern / Trainee</t>
        </is>
      </c>
      <c r="F30" s="111" t="inlineStr">
        <is>
          <t>IC</t>
        </is>
      </c>
      <c r="G30" s="111" t="inlineStr">
        <is>
          <t>Intern – Product Operations &amp; Research</t>
        </is>
      </c>
      <c r="H30" s="112" t="n">
        <v>1</v>
      </c>
      <c r="I30" s="111" t="inlineStr">
        <is>
          <t>Datatech 1</t>
        </is>
      </c>
      <c r="J30" s="162" t="n">
        <v>1</v>
      </c>
      <c r="K30" s="115" t="inlineStr">
        <is>
          <t>Riyanka Dey</t>
        </is>
      </c>
      <c r="L30" s="115" t="inlineStr">
        <is>
          <t>Technology</t>
        </is>
      </c>
      <c r="M30" s="118" t="inlineStr">
        <is>
          <t>Coordinates product activities and produces market / competitor research. At A1: learning the role; all work reviewed.</t>
        </is>
      </c>
      <c r="N30" s="164" t="inlineStr">
        <is>
          <t>Coordinates product activities and produces market / competitor research; Learning; follows worked examples; Learning tasks</t>
        </is>
      </c>
      <c r="O30" s="164" t="inlineStr">
        <is>
          <t>Learning tasks</t>
        </is>
      </c>
      <c r="P30" s="164" t="inlineStr">
        <is>
          <t>Learning tasks</t>
        </is>
      </c>
      <c r="Q30" s="164" t="inlineStr">
        <is>
          <t>Needs approval / close guidance</t>
        </is>
      </c>
      <c r="R30" s="164" t="inlineStr">
        <is>
          <t>—</t>
        </is>
      </c>
      <c r="S30" s="164" t="inlineStr">
        <is>
          <t>—</t>
        </is>
      </c>
      <c r="T30" s="164" t="inlineStr">
        <is>
          <t>—</t>
        </is>
      </c>
      <c r="U30" s="119" t="inlineStr">
        <is>
          <t>Learning the role; all work reviewed</t>
        </is>
      </c>
      <c r="V30" s="165" t="inlineStr">
        <is>
          <t>Learning; follows worked examples</t>
        </is>
      </c>
      <c r="W30" s="165" t="inlineStr">
        <is>
          <t>Needs approval / close guidance</t>
        </is>
      </c>
      <c r="X30" s="165" t="inlineStr">
        <is>
          <t>Learning tasks</t>
        </is>
      </c>
      <c r="Y30" s="165" t="inlineStr">
        <is>
          <t>Not scored in Band A</t>
        </is>
      </c>
      <c r="Z30" s="165" t="inlineStr">
        <is>
          <t>0 yrs · fresher / intern</t>
        </is>
      </c>
      <c r="AA30" s="165" t="inlineStr">
        <is>
          <t>Pursuing or completed graduation / diploma</t>
        </is>
      </c>
      <c r="AB30" s="165" t="inlineStr">
        <is>
          <t>Internal product certification; CBAP / CCBA · optional</t>
        </is>
      </c>
      <c r="AC30" s="165" t="inlineStr">
        <is>
          <t>No direct reports</t>
        </is>
      </c>
      <c r="AD30" s="121" t="inlineStr">
        <is>
          <t>Core 1 · Future-ready 1 · Functional 1 · Leadership —</t>
        </is>
      </c>
      <c r="AE30" s="122" t="inlineStr">
        <is>
          <t>Product, Platform &amp; Domain Knowledge · Business Analysis &amp; Requirements Engineering</t>
        </is>
      </c>
      <c r="AF30" s="122" t="inlineStr">
        <is>
          <t>Data Analytics, BI &amp; Visualisation · Strategic Thinking &amp; Business Acumen · Stakeholder &amp; Client Management · AI, GenAI &amp; Prompt Engineering</t>
        </is>
      </c>
      <c r="AG30" s="176" t="inlineStr">
        <is>
          <t>Entry / P1 · intern</t>
        </is>
      </c>
      <c r="AH30" s="128" t="inlineStr">
        <is>
          <t>1 Follow</t>
        </is>
      </c>
      <c r="AI30" s="177" t="inlineStr">
        <is>
          <t>—</t>
        </is>
      </c>
      <c r="AJ30" s="177" t="inlineStr">
        <is>
          <t>Pragmatic Institute Framework · 37 activities, 7 categories; AIPMM</t>
        </is>
      </c>
      <c r="AK30" s="177" t="inlineStr">
        <is>
          <t>A2 · Associate</t>
        </is>
      </c>
      <c r="AL30" s="129" t="inlineStr">
        <is>
          <t>Domain, regulatory &amp; XBRL · Product &amp; tool knowledge · Strategy &amp; business acumen · Broader exposure &amp; ownership</t>
        </is>
      </c>
      <c r="AM30" s="130" t="inlineStr">
        <is>
          <t>—</t>
        </is>
      </c>
      <c r="AN30" s="130" t="inlineStr">
        <is>
          <t>—</t>
        </is>
      </c>
      <c r="AO30" s="130" t="inlineStr">
        <is>
          <t>—</t>
        </is>
      </c>
      <c r="AP30" s="130" t="inlineStr">
        <is>
          <t>—</t>
        </is>
      </c>
      <c r="AQ30" s="130" t="inlineStr">
        <is>
          <t>—</t>
        </is>
      </c>
      <c r="AR30" s="131" t="inlineStr">
        <is>
          <t>Choose and organise product outcomes. Includes: Discovery, prioritisation, roadmap decisions and product operations. Excludes: Project schedule ownership alone; user research as a standalone discipline.</t>
        </is>
      </c>
      <c r="AS30" s="132" t="inlineStr">
        <is>
          <t>PRO02-0 · Product Operations Intern</t>
        </is>
      </c>
      <c r="AT30" s="132" t="inlineStr">
        <is>
          <r>
            <rPr>
              <rFont val="Calibri"/>
              <b val="1"/>
              <sz val="10"/>
            </rPr>
            <t>Assist with a supervised work sample:</t>
          </r>
          <r>
            <rPr>
              <rFont val="Calibri"/>
              <sz val="10"/>
            </rPr>
            <t xml:space="preserve"> maintain feedback, planning and product decision records.</t>
          </r>
        </is>
      </c>
      <c r="AU30" s="132" t="inlineStr">
        <is>
          <t>Reviewed learning assignment; no independent material sign-off.</t>
        </is>
      </c>
      <c r="AV30" s="132" t="inlineStr">
        <is>
          <t>A repeatable product-decision process with reliable evidence and clear decision ownership</t>
        </is>
      </c>
      <c r="AW30" s="132" t="inlineStr">
        <is>
          <r>
            <rPr>
              <rFont val="Calibri"/>
              <b val="1"/>
              <sz val="10"/>
            </rPr>
            <t>Workiva:</t>
          </r>
          <r>
            <rPr>
              <rFont val="Calibri"/>
              <sz val="10"/>
            </rPr>
            <t xml:space="preserve"> Product Marketing Operations Director · Related work. Gap: Product-marketing operations is adjacent to product operations; role boundaries are proposed</t>
          </r>
        </is>
      </c>
      <c r="AX30" s="133" t="inlineStr">
        <is>
          <t>Framework only · fewer than 3 answered</t>
        </is>
      </c>
      <c r="AY30" s="134" t="inlineStr">
        <is>
          <t>1 holder, 1 answered the survey; sub-family 2 answered</t>
        </is>
      </c>
    </row>
    <row r="31">
      <c r="A31" s="160" t="inlineStr">
        <is>
          <t>Quality Assurance</t>
        </is>
      </c>
    </row>
    <row r="32" ht="119" customHeight="1">
      <c r="A32" s="175" t="inlineStr">
        <is>
          <t>RC-141</t>
        </is>
      </c>
      <c r="B32" s="111" t="inlineStr">
        <is>
          <t>Quality Assurance</t>
        </is>
      </c>
      <c r="C32" s="111" t="inlineStr">
        <is>
          <t>Functional &amp; Domain Testing</t>
        </is>
      </c>
      <c r="D32" s="144" t="inlineStr">
        <is>
          <t>A3</t>
        </is>
      </c>
      <c r="E32" s="140" t="inlineStr">
        <is>
          <t>Senior Associate</t>
        </is>
      </c>
      <c r="F32" s="111" t="inlineStr">
        <is>
          <t>IC</t>
        </is>
      </c>
      <c r="G32" s="111" t="inlineStr">
        <is>
          <t>Senior QA Engineer · QA Specialist</t>
        </is>
      </c>
      <c r="H32" s="112" t="n">
        <v>20</v>
      </c>
      <c r="I32" s="111" t="inlineStr">
        <is>
          <t>iFile 11 · CARBON 7 · iDEAL 1 · Datatech 1</t>
        </is>
      </c>
      <c r="J32" s="162" t="n">
        <v>1</v>
      </c>
      <c r="K32" s="115" t="inlineStr">
        <is>
          <t>Supriya Patil</t>
        </is>
      </c>
      <c r="L32" s="115" t="inlineStr">
        <is>
          <t>Quality Assurance</t>
        </is>
      </c>
      <c r="M32" s="118" t="inlineStr">
        <is>
          <r>
            <rPr>
              <rFont val="Calibri"/>
              <sz val="10"/>
            </rPr>
            <t xml:space="preserve">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t>
          </r>
        </is>
      </c>
      <c r="N32" s="164" t="inlineStr">
        <is>
          <r>
            <rPr>
              <rFont val="Calibri"/>
              <sz val="10"/>
            </rPr>
            <t xml:space="preserve">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t>
          </r>
        </is>
      </c>
      <c r="O32"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test · quality · reports · cases · product · bug</t>
          </r>
        </is>
      </c>
      <c r="P32"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quality · am · test · release · missed</t>
          </r>
        </is>
      </c>
      <c r="Q32" s="164" t="inlineStr">
        <is>
          <r>
            <rPr>
              <rFont val="Calibri"/>
              <sz val="10"/>
            </rPr>
            <t xml:space="preserve">Technical / QC / client calls on own work
</t>
          </r>
          <r>
            <rPr>
              <rFont val="Calibri"/>
              <b val="1"/>
              <sz val="10"/>
            </rPr>
            <t>Common themes in role-holders' answers:</t>
          </r>
          <r>
            <rPr>
              <rFont val="Calibri"/>
              <sz val="10"/>
            </rPr>
            <t xml:space="preserve"> testing · prioritize · scenarios · independently · cases · routine</t>
          </r>
        </is>
      </c>
      <c r="R32" s="164" t="inlineStr">
        <is>
          <r>
            <rPr>
              <rFont val="Calibri"/>
              <b val="1"/>
              <sz val="10"/>
            </rPr>
            <t>Common themes in manager-set KRAs:</t>
          </r>
          <r>
            <rPr>
              <rFont val="Calibri"/>
              <sz val="10"/>
            </rPr>
            <t xml:space="preserve"> project · qa · quality · production · knowledge · test</t>
          </r>
        </is>
      </c>
      <c r="S32" s="164" t="inlineStr">
        <is>
          <t>Software testing · regression testing · Test case design · Manual Testing · Execution · Test case execution</t>
        </is>
      </c>
      <c r="T32" s="164" t="inlineStr">
        <is>
          <t>Quickscrum · Mail access · Test management tool · Bug tracking tool · POSTMAN</t>
        </is>
      </c>
      <c r="U32" s="119" t="inlineStr">
        <is>
          <t>Varied work; reviews juniors; go-to for a process</t>
        </is>
      </c>
      <c r="V32" s="165" t="inlineStr">
        <is>
          <t>Varied and non-standard work; handles exceptions</t>
        </is>
      </c>
      <c r="W32" s="165" t="inlineStr">
        <is>
          <t>Technical / QC / client calls on own work</t>
        </is>
      </c>
      <c r="X32" s="165" t="inlineStr">
        <is>
          <t>A module / process, or work with client or regulatory consequences</t>
        </is>
      </c>
      <c r="Y32" s="165" t="inlineStr">
        <is>
          <t>Not scored in Band A</t>
        </is>
      </c>
      <c r="Z32" s="165" t="inlineStr">
        <is>
          <t>2–4 yrs</t>
        </is>
      </c>
      <c r="AA32" s="165" t="inlineStr">
        <is>
          <t>Graduate; relevant certification preferred</t>
        </is>
      </c>
      <c r="AB32" s="165" t="inlineStr">
        <is>
          <t>ISTQB Foundation / Advanced; Internal product certification</t>
        </is>
      </c>
      <c r="AC32" s="165" t="inlineStr">
        <is>
          <t>None · guides 1–3 juniors informally</t>
        </is>
      </c>
      <c r="AD32" s="121" t="inlineStr">
        <is>
          <t>Core 2 · Future-ready 2 · Functional 3 · Leadership —</t>
        </is>
      </c>
      <c r="AE32" s="122" t="inlineStr">
        <is>
          <t>Test Automation &amp; QA Engineering · Product, Platform &amp; Domain Knowledge</t>
        </is>
      </c>
      <c r="AF32" s="122" t="inlineStr">
        <is>
          <t>Database, SQL &amp; Data Engineering · AI, GenAI &amp; Prompt Engineering · Process Improvement &amp; Quality Mindset · Communication &amp; Presentation</t>
        </is>
      </c>
      <c r="AG32" s="176" t="inlineStr">
        <is>
          <t>P2</t>
        </is>
      </c>
      <c r="AH32" s="128" t="inlineStr">
        <is>
          <t>3 Apply</t>
        </is>
      </c>
      <c r="AI32" s="177" t="inlineStr">
        <is>
          <r>
            <rPr>
              <rFont val="Calibri"/>
              <b val="1"/>
              <sz val="10"/>
            </rPr>
            <t>Workiva:</t>
          </r>
          <r>
            <rPr>
              <rFont val="Calibri"/>
              <sz val="10"/>
            </rPr>
            <t xml:space="preserve"> SE · Broadridge India: SE · Nasdaq / AxiomSL: SE · IRIS Vs Market Benchmark — ISTQB certification pathway: Foundation</t>
          </r>
        </is>
      </c>
      <c r="AJ32" s="177" t="inlineStr">
        <is>
          <t>ISTQB Foundation → Advanced → Expert; SFIA testing</t>
        </is>
      </c>
      <c r="AK32" s="177" t="inlineStr">
        <is>
          <t>B1 · Specialist</t>
        </is>
      </c>
      <c r="AL32" s="129" t="inlineStr">
        <is>
          <t>AI / automation · Testing &amp; quality · Broader exposure &amp; ownership · Product &amp; tool knowledge · Data, SQL &amp; analytics</t>
        </is>
      </c>
      <c r="AM32" s="130" t="inlineStr">
        <is>
          <t>automation · training · presentation influence · ownership · stakeholder management</t>
        </is>
      </c>
      <c r="AN32" s="130" t="inlineStr">
        <is>
          <t>Formal / classroom training · On-the-job / hands-on · Mentoring / guidance from seniors · Knowledge transfer · KT · Online courses / self-learning</t>
        </is>
      </c>
      <c r="AO32" s="130" t="inlineStr">
        <is>
          <t>unclear · frequent · requirements · changes · priorities</t>
        </is>
      </c>
      <c r="AP32" s="130" t="inlineStr">
        <is>
          <t>requirement · test · clearer · rework · environments</t>
        </is>
      </c>
      <c r="AQ32" s="130" t="inlineStr">
        <is>
          <t>17 of 19 say the role is changing because of AI / automation</t>
        </is>
      </c>
      <c r="AR32" s="131" t="inlineStr">
        <is>
          <t>Provide systematic product-quality assurance. Includes: Test design, automation, risk-based coverage and quality architecture. Excludes: Data-production checking where the primary output is data.</t>
        </is>
      </c>
      <c r="AS32" s="132" t="inlineStr">
        <is>
          <t>QA01-2 · Test Engineer</t>
        </is>
      </c>
      <c r="AT32" s="132" t="inlineStr">
        <is>
          <t>Design tests from requirements and report reproducible defects.</t>
        </is>
      </c>
      <c r="AU32" s="132" t="inlineStr">
        <is>
          <t>Demonstrate routine delivery plus judgement in bounded exceptions.</t>
        </is>
      </c>
      <c r="AV32" s="132" t="inlineStr">
        <is>
          <t>A risk-based test plan with traceability, reproducible defects and release recommendation</t>
        </is>
      </c>
      <c r="AW32" s="132"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32" s="180" t="inlineStr">
        <is>
          <t>Framework + role-holders' themes · 3+ answered</t>
        </is>
      </c>
      <c r="AY32" s="134" t="inlineStr">
        <is>
          <t>20 holders, 19 answered the survey; sub-family 26 answered</t>
        </is>
      </c>
    </row>
    <row r="33" ht="106" customHeight="1">
      <c r="A33" s="175" t="inlineStr">
        <is>
          <t>RC-146</t>
        </is>
      </c>
      <c r="B33" s="111" t="inlineStr">
        <is>
          <t>Quality Assurance</t>
        </is>
      </c>
      <c r="C33" s="111" t="inlineStr">
        <is>
          <t>Test Automation</t>
        </is>
      </c>
      <c r="D33" s="144" t="inlineStr">
        <is>
          <t>A3</t>
        </is>
      </c>
      <c r="E33" s="140" t="inlineStr">
        <is>
          <t>Senior Associate</t>
        </is>
      </c>
      <c r="F33" s="111" t="inlineStr">
        <is>
          <t>IC</t>
        </is>
      </c>
      <c r="G33" s="111" t="inlineStr">
        <is>
          <t>Senior QA Automation Engineer</t>
        </is>
      </c>
      <c r="H33" s="112" t="n">
        <v>6</v>
      </c>
      <c r="I33" s="111" t="inlineStr">
        <is>
          <t>iDEAL 3 · CARBON 1 · iFile 1 · Datatech 1</t>
        </is>
      </c>
      <c r="J33" s="162" t="n">
        <v>1</v>
      </c>
      <c r="K33" s="115" t="inlineStr">
        <is>
          <t>Smita Londhe</t>
        </is>
      </c>
      <c r="L33" s="115" t="inlineStr">
        <is>
          <t>Quality Assurance</t>
        </is>
      </c>
      <c r="M33" s="118" t="inlineStr">
        <is>
          <r>
            <rPr>
              <rFont val="Calibri"/>
              <sz val="10"/>
            </rPr>
            <t xml:space="preserve">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t>
          </r>
        </is>
      </c>
      <c r="N33" s="164" t="inlineStr">
        <is>
          <r>
            <rPr>
              <rFont val="Calibri"/>
              <sz val="10"/>
            </rPr>
            <t xml:space="preserve">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t>
          </r>
        </is>
      </c>
      <c r="O33"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reports · software · scripts · quality · test</t>
          </r>
        </is>
      </c>
      <c r="P33"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test · automation · quality · accountable · defect · identification</t>
          </r>
        </is>
      </c>
      <c r="Q33" s="164" t="inlineStr">
        <is>
          <r>
            <rPr>
              <rFont val="Calibri"/>
              <sz val="10"/>
            </rPr>
            <t xml:space="preserve">Technical / QC / client calls on own work
</t>
          </r>
          <r>
            <rPr>
              <rFont val="Calibri"/>
              <b val="1"/>
              <sz val="10"/>
            </rPr>
            <t>Common themes in role-holders' answers:</t>
          </r>
          <r>
            <rPr>
              <rFont val="Calibri"/>
              <sz val="10"/>
            </rPr>
            <t xml:space="preserve"> testing</t>
          </r>
        </is>
      </c>
      <c r="R33" s="164" t="inlineStr">
        <is>
          <r>
            <rPr>
              <rFont val="Calibri"/>
              <b val="1"/>
              <sz val="10"/>
            </rPr>
            <t>Common themes in manager-set KRAs:</t>
          </r>
          <r>
            <rPr>
              <rFont val="Calibri"/>
              <sz val="10"/>
            </rPr>
            <t xml:space="preserve"> test coverage · business · automation · knowledge · activities · comprehensive</t>
          </r>
        </is>
      </c>
      <c r="S33" s="164" t="inlineStr">
        <is>
          <t>Software Testing · Manual testing · Playwright</t>
        </is>
      </c>
      <c r="T33" s="164" t="inlineStr">
        <is>
          <t>Postman</t>
        </is>
      </c>
      <c r="U33" s="119" t="inlineStr">
        <is>
          <t>Varied work; reviews juniors; go-to for a process</t>
        </is>
      </c>
      <c r="V33" s="165" t="inlineStr">
        <is>
          <t>Varied and non-standard work; handles exceptions</t>
        </is>
      </c>
      <c r="W33" s="165" t="inlineStr">
        <is>
          <t>Technical / QC / client calls on own work</t>
        </is>
      </c>
      <c r="X33" s="165" t="inlineStr">
        <is>
          <t>A module / process, or work with client or regulatory consequences</t>
        </is>
      </c>
      <c r="Y33" s="165" t="inlineStr">
        <is>
          <t>Not scored in Band A</t>
        </is>
      </c>
      <c r="Z33" s="165" t="inlineStr">
        <is>
          <t>2–4 yrs</t>
        </is>
      </c>
      <c r="AA33" s="165" t="inlineStr">
        <is>
          <t>Graduate; relevant certification preferred</t>
        </is>
      </c>
      <c r="AB33" s="165" t="inlineStr">
        <is>
          <t>ISTQB Foundation / Advanced; Internal product certification</t>
        </is>
      </c>
      <c r="AC33" s="165" t="inlineStr">
        <is>
          <t>None · guides 1–3 juniors informally</t>
        </is>
      </c>
      <c r="AD33" s="121" t="inlineStr">
        <is>
          <t>Core 2 · Future-ready 2 · Functional 3 · Leadership —</t>
        </is>
      </c>
      <c r="AE33" s="122" t="inlineStr">
        <is>
          <t>Test Automation &amp; QA Engineering · Product, Platform &amp; Domain Knowledge</t>
        </is>
      </c>
      <c r="AF33" s="122" t="inlineStr">
        <is>
          <t>Database, SQL &amp; Data Engineering · AI, GenAI &amp; Prompt Engineering · Process Improvement &amp; Quality Mindset · Communication &amp; Presentation</t>
        </is>
      </c>
      <c r="AG33" s="176" t="inlineStr">
        <is>
          <t>P2</t>
        </is>
      </c>
      <c r="AH33" s="128" t="inlineStr">
        <is>
          <t>3 Apply</t>
        </is>
      </c>
      <c r="AI33" s="177" t="inlineStr">
        <is>
          <r>
            <rPr>
              <rFont val="Calibri"/>
              <b val="1"/>
              <sz val="10"/>
            </rPr>
            <t>Workiva:</t>
          </r>
          <r>
            <rPr>
              <rFont val="Calibri"/>
              <sz val="10"/>
            </rPr>
            <t xml:space="preserve"> SE · Broadridge India: SE · Nasdaq / AxiomSL: SE · IRIS Vs Market Benchmark — ISTQB certification pathway: Foundation</t>
          </r>
        </is>
      </c>
      <c r="AJ33" s="177" t="inlineStr">
        <is>
          <t>ISTQB Foundation → Advanced → Expert; SFIA testing</t>
        </is>
      </c>
      <c r="AK33" s="177" t="inlineStr">
        <is>
          <t>B1 · Specialist</t>
        </is>
      </c>
      <c r="AL33" s="129" t="inlineStr">
        <is>
          <t>AI / automation · Testing &amp; quality · Broader exposure &amp; ownership · Leadership &amp; people management · Project / programme management</t>
        </is>
      </c>
      <c r="AM33" s="130" t="inlineStr">
        <is>
          <t>training effective · utilization · training training · ai tools · xbrl training</t>
        </is>
      </c>
      <c r="AN33" s="130" t="inlineStr">
        <is>
          <t>Mentoring / guidance from seniors · On-the-job / hands-on · Formal / classroom training · Online courses / self-learning</t>
        </is>
      </c>
      <c r="AO33" s="130" t="inlineStr">
        <is>
          <t>requirements · unclear · test · multiple · unstable</t>
        </is>
      </c>
      <c r="AP33" s="130" t="inlineStr">
        <is>
          <t>time · automation · improve · test · environments</t>
        </is>
      </c>
      <c r="AQ33" s="130" t="inlineStr">
        <is>
          <t>5 of 6 say the role is changing because of AI / automation</t>
        </is>
      </c>
      <c r="AR33" s="131" t="inlineStr">
        <is>
          <t>Provide systematic product-quality assurance. Includes: Test design, automation, risk-based coverage and quality architecture. Excludes: Data-production checking where the primary output is data.</t>
        </is>
      </c>
      <c r="AS33" s="132" t="inlineStr">
        <is>
          <t>QA02-2 · Test Automation Engineer / SDET</t>
        </is>
      </c>
      <c r="AT33" s="132" t="inlineStr">
        <is>
          <t>Build reliable automated tests with useful failure signals.</t>
        </is>
      </c>
      <c r="AU33" s="132" t="inlineStr">
        <is>
          <t>Demonstrate routine delivery plus judgement in bounded exceptions.</t>
        </is>
      </c>
      <c r="AV33" s="132" t="inlineStr">
        <is>
          <t>A maintained automation suite with reliable signals and reduced regression effort</t>
        </is>
      </c>
      <c r="AW33" s="132"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33" s="180" t="inlineStr">
        <is>
          <t>Framework + role-holders' themes · 3+ answered</t>
        </is>
      </c>
      <c r="AY33" s="134" t="inlineStr">
        <is>
          <t>6 holders, 6 answered the survey; sub-family 8 answered</t>
        </is>
      </c>
    </row>
    <row r="34">
      <c r="A34" s="160" t="inlineStr">
        <is>
          <t>Sales &amp; Business Development</t>
        </is>
      </c>
    </row>
    <row r="35" ht="132" customHeight="1">
      <c r="A35" s="175" t="inlineStr">
        <is>
          <t>RC-155</t>
        </is>
      </c>
      <c r="B35" s="111" t="inlineStr">
        <is>
          <t>Sales &amp; Business Development</t>
        </is>
      </c>
      <c r="C35" s="111" t="inlineStr">
        <is>
          <t>Field Outreach &amp; Programme Sales</t>
        </is>
      </c>
      <c r="D35" s="144" t="inlineStr">
        <is>
          <t>A2</t>
        </is>
      </c>
      <c r="E35" s="140" t="inlineStr">
        <is>
          <t>Associate</t>
        </is>
      </c>
      <c r="F35" s="111" t="inlineStr">
        <is>
          <t>IC</t>
        </is>
      </c>
      <c r="G35" s="111" t="inlineStr">
        <is>
          <t>Program Executive</t>
        </is>
      </c>
      <c r="H35" s="112" t="n">
        <v>2</v>
      </c>
      <c r="I35" s="111" t="inlineStr">
        <is>
          <t>Datatech 2</t>
        </is>
      </c>
      <c r="J35" s="162" t="n">
        <v>2</v>
      </c>
      <c r="K35" s="115" t="inlineStr">
        <is>
          <t>Jothi Pillai, Vaibhav Dukare</t>
        </is>
      </c>
      <c r="L35" s="115" t="inlineStr">
        <is>
          <t>Datatech - Outreach</t>
        </is>
      </c>
      <c r="M35" s="118" t="inlineStr">
        <is>
          <r>
            <rPr>
              <rFont val="Calibri"/>
              <sz val="10"/>
            </rPr>
            <t xml:space="preserve">Onboards MSMEs and partners in the field; generates programme leads and engagement. At A2: standard work delivered independently.
</t>
          </r>
          <r>
            <rPr>
              <rFont val="Calibri"/>
              <b val="1"/>
              <sz val="10"/>
            </rPr>
            <t>Common themes in sub-family holders, all levels' answers:</t>
          </r>
          <r>
            <rPr>
              <rFont val="Calibri"/>
              <sz val="10"/>
            </rPr>
            <t xml:space="preserve"> msme · business · relationships · building · partners · services</t>
          </r>
        </is>
      </c>
      <c r="N35" s="164" t="inlineStr">
        <is>
          <r>
            <rPr>
              <rFont val="Calibri"/>
              <sz val="10"/>
            </rPr>
            <t xml:space="preserve">Onboards MSMEs and partners in the field; generates programme leads and engagement; Standard work of the discipline; Own deliverables · accuracy, TAT
</t>
          </r>
          <r>
            <rPr>
              <rFont val="Calibri"/>
              <b val="1"/>
              <sz val="10"/>
            </rPr>
            <t>Common themes in sub-family holders, all levels' answers:</t>
          </r>
          <r>
            <rPr>
              <rFont val="Calibri"/>
              <sz val="10"/>
            </rPr>
            <t xml:space="preserve"> business · loan · management · development · relationship · lead</t>
          </r>
        </is>
      </c>
      <c r="O35" s="164" t="inlineStr">
        <is>
          <r>
            <rPr>
              <rFont val="Calibri"/>
              <sz val="10"/>
            </rPr>
            <t xml:space="preserve">Own deliverables · accuracy, TAT
</t>
          </r>
          <r>
            <rPr>
              <rFont val="Calibri"/>
              <b val="1"/>
              <sz val="10"/>
            </rPr>
            <t>Common themes in sub-family holders, all levels' answers:</t>
          </r>
          <r>
            <rPr>
              <rFont val="Calibri"/>
              <sz val="10"/>
            </rPr>
            <t xml:space="preserve"> sales · business</t>
          </r>
        </is>
      </c>
      <c r="P35" s="164" t="inlineStr">
        <is>
          <r>
            <rPr>
              <rFont val="Calibri"/>
              <sz val="10"/>
            </rPr>
            <t xml:space="preserve">Own deliverables · accuracy, TAT
</t>
          </r>
          <r>
            <rPr>
              <rFont val="Calibri"/>
              <b val="1"/>
              <sz val="10"/>
            </rPr>
            <t>Common themes in sub-family holders, all levels' answers:</t>
          </r>
          <r>
            <rPr>
              <rFont val="Calibri"/>
              <sz val="10"/>
            </rPr>
            <t xml:space="preserve"> business · am · opportunities · accountable · msme · loan</t>
          </r>
        </is>
      </c>
      <c r="Q35" s="164" t="inlineStr">
        <is>
          <r>
            <rPr>
              <rFont val="Calibri"/>
              <sz val="10"/>
            </rPr>
            <t xml:space="preserve">Chooses own approach within standards
</t>
          </r>
          <r>
            <rPr>
              <rFont val="Calibri"/>
              <b val="1"/>
              <sz val="10"/>
            </rPr>
            <t>Common themes in sub-family holders, all levels' answers:</t>
          </r>
          <r>
            <rPr>
              <rFont val="Calibri"/>
              <sz val="10"/>
            </rPr>
            <t xml:space="preserve"> leads · identify · business · potential · follow · sales</t>
          </r>
        </is>
      </c>
      <c r="R35" s="164" t="inlineStr">
        <is>
          <r>
            <rPr>
              <rFont val="Calibri"/>
              <b val="1"/>
              <sz val="10"/>
            </rPr>
            <t>Common themes in manager-set KRAs:</t>
          </r>
          <r>
            <rPr>
              <rFont val="Calibri"/>
              <sz val="10"/>
            </rPr>
            <t xml:space="preserve"> ramping quarter · weightage bhr · applications achieve · sales · sell · ratio ramping</t>
          </r>
        </is>
      </c>
      <c r="S35" s="164" t="inlineStr">
        <is>
          <t>Sales · Business development</t>
        </is>
      </c>
      <c r="T35" s="164" t="inlineStr">
        <is>
          <t>CRM · WhatsApp · email</t>
        </is>
      </c>
      <c r="U35" s="119" t="inlineStr">
        <is>
          <t>Standard work delivered independently</t>
        </is>
      </c>
      <c r="V35" s="165" t="inlineStr">
        <is>
          <t>Standard work of the discipline</t>
        </is>
      </c>
      <c r="W35" s="165" t="inlineStr">
        <is>
          <t>Chooses own approach within standards</t>
        </is>
      </c>
      <c r="X35" s="165" t="inlineStr">
        <is>
          <t>Own deliverables · accuracy, TAT</t>
        </is>
      </c>
      <c r="Y35" s="165" t="inlineStr">
        <is>
          <t>Not scored in Band A</t>
        </is>
      </c>
      <c r="Z35" s="165" t="inlineStr">
        <is>
          <t>0–2 yrs</t>
        </is>
      </c>
      <c r="AA35" s="165" t="inlineStr">
        <is>
          <t>Graduate · or diploma with experience</t>
        </is>
      </c>
      <c r="AB35" s="165" t="inlineStr">
        <is>
          <t>Google / HubSpot certifications</t>
        </is>
      </c>
      <c r="AC35" s="165" t="inlineStr">
        <is>
          <t>No direct reports</t>
        </is>
      </c>
      <c r="AD35" s="121" t="inlineStr">
        <is>
          <t>Core 2 · Future-ready 2 · Functional 2 · Leadership —</t>
        </is>
      </c>
      <c r="AE35" s="122" t="inlineStr">
        <is>
          <t>Sales, Negotiation &amp; Account Growth · Marketing Tech &amp; Digital Marketing</t>
        </is>
      </c>
      <c r="AF35" s="122" t="inlineStr">
        <is>
          <t>Stakeholder &amp; Client Management · Communication &amp; Presentation · Product, Platform &amp; Domain Knowledge · Strategic Thinking &amp; Business Acumen</t>
        </is>
      </c>
      <c r="AG35" s="176" t="inlineStr">
        <is>
          <t>P1–P2</t>
        </is>
      </c>
      <c r="AH35" s="128" t="inlineStr">
        <is>
          <t>2 Assist</t>
        </is>
      </c>
      <c r="AI35" s="177" t="inlineStr">
        <is>
          <t>IRIS Vs Competitor Benchmark — SaaS sales ladder — IC: SDR / BDR</t>
        </is>
      </c>
      <c r="AJ35" s="177" t="inlineStr">
        <is>
          <t>SaaS sales ladder · SDR → AE → Enterprise AE → VP / CRO; MEDDICC-style qualification</t>
        </is>
      </c>
      <c r="AK35" s="177" t="inlineStr">
        <is>
          <t>A3 · Senior Associate</t>
        </is>
      </c>
      <c r="AL35" s="129" t="inlineStr">
        <is>
          <t>Client, sales &amp; stakeholders</t>
        </is>
      </c>
      <c r="AM35" s="130" t="inlineStr">
        <is>
          <t>Prioritization/pipeline management - case prioritization, knowing when to move on vs. push further on a stuck file | Target role: Senior Telecaller / potential Team Lead - Mumbai calling team, contingent on closing prioritization/pipeline-management gap.</t>
        </is>
      </c>
      <c r="AN35" s="130" t="inlineStr">
        <is>
          <t>Formal / classroom training · Mentoring / guidance from seniors · On-the-job / hands-on</t>
        </is>
      </c>
      <c r="AO35" s="130" t="inlineStr">
        <is>
          <t>No common theme</t>
        </is>
      </c>
      <c r="AP35" s="130" t="inlineStr">
        <is>
          <t>outreach</t>
        </is>
      </c>
      <c r="AQ35" s="130" t="inlineStr">
        <is>
          <t>0 of 5 say the role is changing because of AI / automation</t>
        </is>
      </c>
      <c r="AR35" s="131" t="inlineStr">
        <is>
          <t>Create and convert commercial opportunities. Includes: Prospecting, account sales, alliances, presales and sales operations. Excludes: Customer adoption unless sales accountability is primary.</t>
        </is>
      </c>
      <c r="AS35" s="132" t="inlineStr">
        <is>
          <t>SAL03-1 · Sales Associate</t>
        </is>
      </c>
      <c r="AT35" s="132" t="inlineStr">
        <is>
          <r>
            <rPr>
              <rFont val="Calibri"/>
              <b val="1"/>
              <sz val="10"/>
            </rPr>
            <t>Complete defined parts under review:</t>
          </r>
          <r>
            <rPr>
              <rFont val="Calibri"/>
              <sz val="10"/>
            </rPr>
            <t xml:space="preserve"> own territory visits, needs analysis and contracted sales.</t>
          </r>
        </is>
      </c>
      <c r="AU35" s="132" t="inlineStr">
        <is>
          <t>Repeatable correct delivery, safe escalation and required entry eligibility.</t>
        </is>
      </c>
      <c r="AV35" s="132" t="inlineStr">
        <is>
          <t>A field programme with consent-aware leads, quality conversions and transparent reporting</t>
        </is>
      </c>
      <c r="AW35" s="132" t="inlineStr">
        <is>
          <r>
            <rPr>
              <rFont val="Calibri"/>
              <b val="1"/>
              <sz val="10"/>
            </rPr>
            <t>DataTracks:</t>
          </r>
          <r>
            <rPr>
              <rFont val="Calibri"/>
              <sz val="10"/>
            </rPr>
            <t xml:space="preserve"> Published career openings
</t>
          </r>
          <r>
            <rPr>
              <rFont val="Calibri"/>
              <b val="1"/>
              <sz val="10"/>
            </rPr>
            <t>Workiva:</t>
          </r>
          <r>
            <rPr>
              <rFont val="Calibri"/>
              <sz val="10"/>
            </rPr>
            <t xml:space="preserve"> Account Executive, SLED · Selected / adjacent roles. Gap: Field role depends on territory and product complexity, not travel alone</t>
          </r>
        </is>
      </c>
      <c r="AX35" s="178" t="inlineStr">
        <is>
          <t>Framework + sub-family themes · 3+ answered</t>
        </is>
      </c>
      <c r="AY35" s="134" t="inlineStr">
        <is>
          <t>2 holders, 1 answered the survey; sub-family 6 answered</t>
        </is>
      </c>
    </row>
    <row r="36" ht="93" customHeight="1">
      <c r="A36" s="175" t="inlineStr">
        <is>
          <t>RC-156</t>
        </is>
      </c>
      <c r="B36" s="111" t="inlineStr">
        <is>
          <t>Sales &amp; Business Development</t>
        </is>
      </c>
      <c r="C36" s="111" t="inlineStr">
        <is>
          <t>Field Outreach &amp; Programme Sales</t>
        </is>
      </c>
      <c r="D36" s="144" t="inlineStr">
        <is>
          <t>A3</t>
        </is>
      </c>
      <c r="E36" s="140" t="inlineStr">
        <is>
          <t>Senior Associate</t>
        </is>
      </c>
      <c r="F36" s="111" t="inlineStr">
        <is>
          <t>IC</t>
        </is>
      </c>
      <c r="G36" s="111" t="inlineStr">
        <is>
          <t>Senior Program Executive</t>
        </is>
      </c>
      <c r="H36" s="112" t="n">
        <v>3</v>
      </c>
      <c r="I36" s="111" t="inlineStr">
        <is>
          <t>Datatech 3</t>
        </is>
      </c>
      <c r="J36" s="162" t="n">
        <v>3</v>
      </c>
      <c r="K36" s="115" t="inlineStr">
        <is>
          <t>Bharati Durgaprasad Paranjape, Lakshmikantha RN, Nalini Niranjan Damisetti</t>
        </is>
      </c>
      <c r="L36" s="115" t="inlineStr">
        <is>
          <t>Datatech - Outreach</t>
        </is>
      </c>
      <c r="M36" s="118" t="inlineStr">
        <is>
          <r>
            <rPr>
              <rFont val="Calibri"/>
              <sz val="10"/>
            </rPr>
            <t xml:space="preserve">Onboards MSMEs and partners in the field; generates programme leads and engagement. At A3: varied work; reviews juniors; go-to for a process.
</t>
          </r>
          <r>
            <rPr>
              <rFont val="Calibri"/>
              <b val="1"/>
              <sz val="10"/>
            </rPr>
            <t>Common themes in role-holders' answers:</t>
          </r>
          <r>
            <rPr>
              <rFont val="Calibri"/>
              <sz val="10"/>
            </rPr>
            <t xml:space="preserve"> partners · business · services · msme</t>
          </r>
        </is>
      </c>
      <c r="N36" s="164" t="inlineStr">
        <is>
          <t>Onboards MSMEs and partners in the field; generates programme leads and engagement; Varied and non-standard work; handles exceptions; A module / process, or work with client or regulatory consequences</t>
        </is>
      </c>
      <c r="O36" s="164" t="inlineStr">
        <is>
          <t>A module / process, or work with client or regulatory consequences</t>
        </is>
      </c>
      <c r="P36" s="164" t="inlineStr">
        <is>
          <t>A module / process, or work with client or regulatory consequences</t>
        </is>
      </c>
      <c r="Q36" s="164" t="inlineStr">
        <is>
          <r>
            <rPr>
              <rFont val="Calibri"/>
              <sz val="10"/>
            </rPr>
            <t xml:space="preserve">Technical / QC / client calls on own work
</t>
          </r>
          <r>
            <rPr>
              <rFont val="Calibri"/>
              <b val="1"/>
              <sz val="10"/>
            </rPr>
            <t>Common themes in role-holders' answers:</t>
          </r>
          <r>
            <rPr>
              <rFont val="Calibri"/>
              <sz val="10"/>
            </rPr>
            <t xml:space="preserve"> leads</t>
          </r>
        </is>
      </c>
      <c r="R36" s="164" t="inlineStr">
        <is>
          <r>
            <rPr>
              <rFont val="Calibri"/>
              <b val="1"/>
              <sz val="10"/>
            </rPr>
            <t>Common themes in manager-set KRAs:</t>
          </r>
          <r>
            <rPr>
              <rFont val="Calibri"/>
              <sz val="10"/>
            </rPr>
            <t xml:space="preserve"> month quarter · minimum msmes · applications quarter · business · bhr units · onboard minimum</t>
          </r>
        </is>
      </c>
      <c r="S36" s="164" t="inlineStr">
        <is>
          <t>Sales</t>
        </is>
      </c>
      <c r="T36" s="164" t="inlineStr">
        <is>
          <t>—</t>
        </is>
      </c>
      <c r="U36" s="119" t="inlineStr">
        <is>
          <t>Varied work; reviews juniors; go-to for a process</t>
        </is>
      </c>
      <c r="V36" s="165" t="inlineStr">
        <is>
          <t>Varied and non-standard work; handles exceptions</t>
        </is>
      </c>
      <c r="W36" s="165" t="inlineStr">
        <is>
          <t>Technical / QC / client calls on own work</t>
        </is>
      </c>
      <c r="X36" s="165" t="inlineStr">
        <is>
          <t>A module / process, or work with client or regulatory consequences</t>
        </is>
      </c>
      <c r="Y36" s="165" t="inlineStr">
        <is>
          <t>Not scored in Band A</t>
        </is>
      </c>
      <c r="Z36" s="165" t="inlineStr">
        <is>
          <t>2–4 yrs</t>
        </is>
      </c>
      <c r="AA36" s="165" t="inlineStr">
        <is>
          <t>Graduate; relevant certification preferred</t>
        </is>
      </c>
      <c r="AB36" s="165" t="inlineStr">
        <is>
          <t>Google / HubSpot certifications</t>
        </is>
      </c>
      <c r="AC36" s="165" t="inlineStr">
        <is>
          <t>None · guides 1–3 juniors informally</t>
        </is>
      </c>
      <c r="AD36" s="121" t="inlineStr">
        <is>
          <t>Core 2 · Future-ready 2 · Functional 3 · Leadership —</t>
        </is>
      </c>
      <c r="AE36" s="122" t="inlineStr">
        <is>
          <t>Sales, Negotiation &amp; Account Growth · Marketing Tech &amp; Digital Marketing</t>
        </is>
      </c>
      <c r="AF36" s="122" t="inlineStr">
        <is>
          <t>Stakeholder &amp; Client Management · Communication &amp; Presentation · Product, Platform &amp; Domain Knowledge · Strategic Thinking &amp; Business Acumen</t>
        </is>
      </c>
      <c r="AG36" s="176" t="inlineStr">
        <is>
          <t>P2</t>
        </is>
      </c>
      <c r="AH36" s="128" t="inlineStr">
        <is>
          <t>3 Apply</t>
        </is>
      </c>
      <c r="AI36" s="177" t="inlineStr">
        <is>
          <t>IRIS Vs Competitor Benchmark — SaaS sales ladder — IC: Senior SDR</t>
        </is>
      </c>
      <c r="AJ36" s="177" t="inlineStr">
        <is>
          <t>SaaS sales ladder · SDR → AE → Enterprise AE → VP / CRO; MEDDICC-style qualification</t>
        </is>
      </c>
      <c r="AK36" s="177" t="inlineStr">
        <is>
          <t>B1 · Specialist</t>
        </is>
      </c>
      <c r="AL36" s="129" t="inlineStr">
        <is>
          <t>Client, sales &amp; stakeholders · Leadership &amp; people management</t>
        </is>
      </c>
      <c r="AM36" s="130" t="inlineStr">
        <is>
          <t>handling · objection · scope review · products · step</t>
        </is>
      </c>
      <c r="AN36" s="130" t="inlineStr">
        <is>
          <t>Formal / classroom training · Mentoring / guidance from seniors · On-the-job / hands-on</t>
        </is>
      </c>
      <c r="AO36" s="130" t="inlineStr">
        <is>
          <t>No common theme</t>
        </is>
      </c>
      <c r="AP36" s="130" t="inlineStr">
        <is>
          <t>outreach</t>
        </is>
      </c>
      <c r="AQ36" s="130" t="inlineStr">
        <is>
          <t>0 of 3 say the role is changing because of AI / automation</t>
        </is>
      </c>
      <c r="AR36" s="131" t="inlineStr">
        <is>
          <t>Create and convert commercial opportunities. Includes: Prospecting, account sales, alliances, presales and sales operations. Excludes: Customer adoption unless sales accountability is primary.</t>
        </is>
      </c>
      <c r="AS36" s="132" t="inlineStr">
        <is>
          <t>SAL03-2 · Field Sales Executive</t>
        </is>
      </c>
      <c r="AT36" s="132" t="inlineStr">
        <is>
          <t>Own territory visits, needs analysis and contracted sales.</t>
        </is>
      </c>
      <c r="AU36" s="132" t="inlineStr">
        <is>
          <t>Demonstrate routine delivery plus judgement in bounded exceptions.</t>
        </is>
      </c>
      <c r="AV36" s="132" t="inlineStr">
        <is>
          <t>A field programme with consent-aware leads, quality conversions and transparent reporting</t>
        </is>
      </c>
      <c r="AW36" s="132" t="inlineStr">
        <is>
          <r>
            <rPr>
              <rFont val="Calibri"/>
              <b val="1"/>
              <sz val="10"/>
            </rPr>
            <t>DataTracks:</t>
          </r>
          <r>
            <rPr>
              <rFont val="Calibri"/>
              <sz val="10"/>
            </rPr>
            <t xml:space="preserve"> Published career openings
</t>
          </r>
          <r>
            <rPr>
              <rFont val="Calibri"/>
              <b val="1"/>
              <sz val="10"/>
            </rPr>
            <t>Workiva:</t>
          </r>
          <r>
            <rPr>
              <rFont val="Calibri"/>
              <sz val="10"/>
            </rPr>
            <t xml:space="preserve"> Account Executive, SLED · Selected / adjacent roles. Gap: Field role depends on territory and product complexity, not travel alone</t>
          </r>
        </is>
      </c>
      <c r="AX36" s="180" t="inlineStr">
        <is>
          <t>Framework + role-holders' themes · 3+ answered</t>
        </is>
      </c>
      <c r="AY36" s="134" t="inlineStr">
        <is>
          <t>3 holders, 3 answered the survey; sub-family 6 answered</t>
        </is>
      </c>
    </row>
    <row r="37" ht="145" customHeight="1">
      <c r="A37" s="175" t="inlineStr">
        <is>
          <t>RC-157</t>
        </is>
      </c>
      <c r="B37" s="111" t="inlineStr">
        <is>
          <t>Sales &amp; Business Development</t>
        </is>
      </c>
      <c r="C37" s="111" t="inlineStr">
        <is>
          <t>Field Outreach &amp; Programme Sales</t>
        </is>
      </c>
      <c r="D37" s="116" t="inlineStr">
        <is>
          <t>B2</t>
        </is>
      </c>
      <c r="E37" s="18" t="inlineStr">
        <is>
          <t>Senior Specialist</t>
        </is>
      </c>
      <c r="F37" s="111" t="inlineStr">
        <is>
          <t>IC</t>
        </is>
      </c>
      <c r="G37" s="111" t="inlineStr">
        <is>
          <t>Senior Program Specialist – POD Lead</t>
        </is>
      </c>
      <c r="H37" s="112" t="n">
        <v>1</v>
      </c>
      <c r="I37" s="111" t="inlineStr">
        <is>
          <t>Datatech 1</t>
        </is>
      </c>
      <c r="J37" s="162" t="n">
        <v>1</v>
      </c>
      <c r="K37" s="115" t="inlineStr">
        <is>
          <t>Jeevan Khokale</t>
        </is>
      </c>
      <c r="L37" s="115" t="inlineStr">
        <is>
          <t>Datatech - Outreach</t>
        </is>
      </c>
      <c r="M37" s="118" t="inlineStr">
        <is>
          <r>
            <rPr>
              <rFont val="Calibri"/>
              <sz val="10"/>
            </rPr>
            <t xml:space="preserve">Onboards MSMEs and partners in the field; generates programme leads and engagement. At B2: deep domain expertise, or one team.
</t>
          </r>
          <r>
            <rPr>
              <rFont val="Calibri"/>
              <b val="1"/>
              <sz val="10"/>
            </rPr>
            <t>Common themes in sub-family holders, all levels' answers:</t>
          </r>
          <r>
            <rPr>
              <rFont val="Calibri"/>
              <sz val="10"/>
            </rPr>
            <t xml:space="preserve"> msme · business · relationships · building · partners · services</t>
          </r>
        </is>
      </c>
      <c r="N37" s="164" t="inlineStr">
        <is>
          <r>
            <rPr>
              <rFont val="Calibri"/>
              <sz val="10"/>
            </rPr>
            <t xml:space="preserve">Onboards MSMEs and partners in the field; generates programme leads and engagement; Hardest problems in the domain; One team or a client portfolio
</t>
          </r>
          <r>
            <rPr>
              <rFont val="Calibri"/>
              <b val="1"/>
              <sz val="10"/>
            </rPr>
            <t>Common themes in sub-family holders, all levels' answers:</t>
          </r>
          <r>
            <rPr>
              <rFont val="Calibri"/>
              <sz val="10"/>
            </rPr>
            <t xml:space="preserve"> business · loan · management · development · relationship · lead</t>
          </r>
        </is>
      </c>
      <c r="O37" s="164" t="inlineStr">
        <is>
          <r>
            <rPr>
              <rFont val="Calibri"/>
              <sz val="10"/>
            </rPr>
            <t xml:space="preserve">One team or a client portfolio
</t>
          </r>
          <r>
            <rPr>
              <rFont val="Calibri"/>
              <b val="1"/>
              <sz val="10"/>
            </rPr>
            <t>Common themes in sub-family holders, all levels' answers:</t>
          </r>
          <r>
            <rPr>
              <rFont val="Calibri"/>
              <sz val="10"/>
            </rPr>
            <t xml:space="preserve"> sales · business</t>
          </r>
        </is>
      </c>
      <c r="P37" s="164" t="inlineStr">
        <is>
          <r>
            <rPr>
              <rFont val="Calibri"/>
              <sz val="10"/>
            </rPr>
            <t xml:space="preserve">One team or a client portfolio
</t>
          </r>
          <r>
            <rPr>
              <rFont val="Calibri"/>
              <b val="1"/>
              <sz val="10"/>
            </rPr>
            <t>Common themes in sub-family holders, all levels' answers:</t>
          </r>
          <r>
            <rPr>
              <rFont val="Calibri"/>
              <sz val="10"/>
            </rPr>
            <t xml:space="preserve"> business · am · opportunities · accountable · msme · loan</t>
          </r>
        </is>
      </c>
      <c r="Q37" s="164" t="inlineStr">
        <is>
          <r>
            <rPr>
              <rFont val="Calibri"/>
              <sz val="10"/>
            </rPr>
            <t xml:space="preserve">Allocates people and sets team priorities
</t>
          </r>
          <r>
            <rPr>
              <rFont val="Calibri"/>
              <b val="1"/>
              <sz val="10"/>
            </rPr>
            <t>Common themes in sub-family holders, all levels' answers:</t>
          </r>
          <r>
            <rPr>
              <rFont val="Calibri"/>
              <sz val="10"/>
            </rPr>
            <t xml:space="preserve"> leads · identify · business · potential · follow · sales</t>
          </r>
        </is>
      </c>
      <c r="R37" s="164" t="inlineStr">
        <is>
          <t>—</t>
        </is>
      </c>
      <c r="S37" s="164" t="inlineStr">
        <is>
          <t>Sales · Business development</t>
        </is>
      </c>
      <c r="T37" s="164" t="inlineStr">
        <is>
          <t>CRM · WhatsApp · email</t>
        </is>
      </c>
      <c r="U37" s="119" t="inlineStr">
        <is>
          <t>Deep domain expertise, or one team</t>
        </is>
      </c>
      <c r="V37" s="165" t="inlineStr">
        <is>
          <t>Hardest problems in the domain</t>
        </is>
      </c>
      <c r="W37" s="165" t="inlineStr">
        <is>
          <t>Allocates people and sets team priorities</t>
        </is>
      </c>
      <c r="X37" s="165" t="inlineStr">
        <is>
          <t>One team or a client portfolio</t>
        </is>
      </c>
      <c r="Y37" s="165" t="inlineStr">
        <is>
          <r>
            <rPr>
              <rFont val="Calibri"/>
              <b val="1"/>
              <sz val="10"/>
            </rPr>
            <t>IC:</t>
          </r>
          <r>
            <rPr>
              <rFont val="Calibri"/>
              <sz val="10"/>
            </rPr>
            <t xml:space="preserve"> guides others in the domain · People: manages a team of 6+</t>
          </r>
        </is>
      </c>
      <c r="Z37" s="165" t="inlineStr">
        <is>
          <t>6–9 yrs</t>
        </is>
      </c>
      <c r="AA37" s="165" t="inlineStr">
        <is>
          <t>Graduate or postgraduate; professional qualification preferred</t>
        </is>
      </c>
      <c r="AB37" s="165" t="inlineStr">
        <is>
          <t>Google / HubSpot certifications</t>
        </is>
      </c>
      <c r="AC37" s="165" t="inlineStr">
        <is>
          <r>
            <rPr>
              <rFont val="Calibri"/>
              <b val="1"/>
              <sz val="10"/>
            </rPr>
            <t>IC:</t>
          </r>
          <r>
            <rPr>
              <rFont val="Calibri"/>
              <sz val="10"/>
            </rPr>
            <t xml:space="preserve"> none · People: 6–8 knowledge work, 8–12 standardised delivery</t>
          </r>
        </is>
      </c>
      <c r="AD37" s="121" t="inlineStr">
        <is>
          <t>Core 3 · Future-ready 3 · Functional 4 · Leadership 2</t>
        </is>
      </c>
      <c r="AE37" s="122" t="inlineStr">
        <is>
          <t>Sales, Negotiation &amp; Account Growth · Marketing Tech &amp; Digital Marketing</t>
        </is>
      </c>
      <c r="AF37" s="122" t="inlineStr">
        <is>
          <t>Stakeholder &amp; Client Management · Communication &amp; Presentation · Product, Platform &amp; Domain Knowledge · Strategic Thinking &amp; Business Acumen</t>
        </is>
      </c>
      <c r="AG37" s="176" t="inlineStr">
        <is>
          <t>P4 / M3</t>
        </is>
      </c>
      <c r="AH37" s="128" t="inlineStr">
        <is>
          <t>4–5</t>
        </is>
      </c>
      <c r="AI37" s="177" t="inlineStr">
        <is>
          <t>IRIS Vs Competitor Benchmark — SaaS sales ladder — IC: Mid-Market AE · IRIS Vs Competitor Benchmark — SaaS sales ladder — management: Sales Manager</t>
        </is>
      </c>
      <c r="AJ37" s="177" t="inlineStr">
        <is>
          <t>SaaS sales ladder · SDR → AE → Enterprise AE → VP / CRO; MEDDICC-style qualification</t>
        </is>
      </c>
      <c r="AK37" s="177" t="inlineStr">
        <is>
          <t>B3 · Lead Specialist</t>
        </is>
      </c>
      <c r="AL37" s="129" t="inlineStr">
        <is>
          <t>Leadership &amp; people management · Project / programme management · Strategy &amp; business acumen · Broader exposure &amp; ownership</t>
        </is>
      </c>
      <c r="AM37" s="130" t="inlineStr">
        <is>
          <t>Product knowledge · loan/BHR products; Objection handling; Sales approach/pitch technique | Target role: Onground Team Lead · formalizing existing informal management of Lakshmikanth. Development: team-lead training - performance management, coaching juniors, structured 1:1s. Review date: 31-08-2026</t>
        </is>
      </c>
      <c r="AN37" s="130" t="inlineStr">
        <is>
          <t>Formal / classroom training · Mentoring / guidance from seniors · On-the-job / hands-on</t>
        </is>
      </c>
      <c r="AO37" s="130" t="inlineStr">
        <is>
          <t>No common theme</t>
        </is>
      </c>
      <c r="AP37" s="130" t="inlineStr">
        <is>
          <t>outreach</t>
        </is>
      </c>
      <c r="AQ37" s="130" t="inlineStr">
        <is>
          <t>0 of 5 say the role is changing because of AI / automation</t>
        </is>
      </c>
      <c r="AR37" s="131" t="inlineStr">
        <is>
          <t>Create and convert commercial opportunities. Includes: Prospecting, account sales, alliances, presales and sales operations. Excludes: Customer adoption unless sales accountability is primary.</t>
        </is>
      </c>
      <c r="AS37" s="132" t="inlineStr">
        <is>
          <t>SAL03-3 · Senior Field Sales Executive</t>
        </is>
      </c>
      <c r="AT37" s="132" t="inlineStr">
        <is>
          <t>Develop major accounts and resolve channel or commercial conflicts.</t>
        </is>
      </c>
      <c r="AU37" s="132" t="inlineStr">
        <is>
          <t>Evidence of complex work, decisions and outcomes beyond routine delivery.</t>
        </is>
      </c>
      <c r="AV37" s="132" t="inlineStr">
        <is>
          <t>A field programme with consent-aware leads, quality conversions and transparent reporting</t>
        </is>
      </c>
      <c r="AW37" s="132" t="inlineStr">
        <is>
          <r>
            <rPr>
              <rFont val="Calibri"/>
              <b val="1"/>
              <sz val="10"/>
            </rPr>
            <t>DataTracks:</t>
          </r>
          <r>
            <rPr>
              <rFont val="Calibri"/>
              <sz val="10"/>
            </rPr>
            <t xml:space="preserve"> Published career openings
</t>
          </r>
          <r>
            <rPr>
              <rFont val="Calibri"/>
              <b val="1"/>
              <sz val="10"/>
            </rPr>
            <t>Workiva:</t>
          </r>
          <r>
            <rPr>
              <rFont val="Calibri"/>
              <sz val="10"/>
            </rPr>
            <t xml:space="preserve"> Account Executive, SLED · Selected / adjacent roles. Gap: Field role depends on territory and product complexity, not travel alone</t>
          </r>
        </is>
      </c>
      <c r="AX37" s="178" t="inlineStr">
        <is>
          <t>Framework + sub-family themes · 3+ answered</t>
        </is>
      </c>
      <c r="AY37" s="134" t="inlineStr">
        <is>
          <t>1 holder, 1 answered the survey; sub-family 6 answered</t>
        </is>
      </c>
    </row>
    <row r="38" ht="106" customHeight="1">
      <c r="A38" s="175" t="inlineStr">
        <is>
          <t>RC-158</t>
        </is>
      </c>
      <c r="B38" s="111" t="inlineStr">
        <is>
          <t>Sales &amp; Business Development</t>
        </is>
      </c>
      <c r="C38" s="111" t="inlineStr">
        <is>
          <t>Field Outreach &amp; Programme Sales</t>
        </is>
      </c>
      <c r="D38" s="116" t="inlineStr">
        <is>
          <t>B2</t>
        </is>
      </c>
      <c r="E38" s="18" t="inlineStr">
        <is>
          <t>Manager</t>
        </is>
      </c>
      <c r="F38" s="111" t="inlineStr">
        <is>
          <t>Manager</t>
        </is>
      </c>
      <c r="G38" s="111" t="inlineStr">
        <is>
          <t>Program Manager – Outreach</t>
        </is>
      </c>
      <c r="H38" s="112" t="n">
        <v>1</v>
      </c>
      <c r="I38" s="111" t="inlineStr">
        <is>
          <t>Datatech 1</t>
        </is>
      </c>
      <c r="J38" s="162" t="n">
        <v>1</v>
      </c>
      <c r="K38" s="115" t="inlineStr">
        <is>
          <t>Raghin Nair</t>
        </is>
      </c>
      <c r="L38" s="115" t="inlineStr">
        <is>
          <t>Datatech - Outreach</t>
        </is>
      </c>
      <c r="M38" s="118" t="inlineStr">
        <is>
          <r>
            <rPr>
              <rFont val="Calibri"/>
              <sz val="10"/>
            </rPr>
            <t xml:space="preserve">Onboards MSMEs and partners in the field; generates programme leads and engagement. At B2: deep domain expertise, or one team.
</t>
          </r>
          <r>
            <rPr>
              <rFont val="Calibri"/>
              <b val="1"/>
              <sz val="10"/>
            </rPr>
            <t>Common themes in sub-family holders, all levels' answers:</t>
          </r>
          <r>
            <rPr>
              <rFont val="Calibri"/>
              <sz val="10"/>
            </rPr>
            <t xml:space="preserve"> msme · business · relationships · building · partners · services</t>
          </r>
        </is>
      </c>
      <c r="N38" s="164" t="inlineStr">
        <is>
          <r>
            <rPr>
              <rFont val="Calibri"/>
              <sz val="10"/>
            </rPr>
            <t xml:space="preserve">Onboards MSMEs and partners in the field; generates programme leads and engagement; Hardest problems in the domain; One team or a client portfolio
</t>
          </r>
          <r>
            <rPr>
              <rFont val="Calibri"/>
              <b val="1"/>
              <sz val="10"/>
            </rPr>
            <t>Common themes in sub-family holders, all levels' answers:</t>
          </r>
          <r>
            <rPr>
              <rFont val="Calibri"/>
              <sz val="10"/>
            </rPr>
            <t xml:space="preserve"> business · loan · management · development · relationship · lead</t>
          </r>
        </is>
      </c>
      <c r="O38" s="164" t="inlineStr">
        <is>
          <r>
            <rPr>
              <rFont val="Calibri"/>
              <sz val="10"/>
            </rPr>
            <t xml:space="preserve">One team or a client portfolio
</t>
          </r>
          <r>
            <rPr>
              <rFont val="Calibri"/>
              <b val="1"/>
              <sz val="10"/>
            </rPr>
            <t>Common themes in sub-family holders, all levels' answers:</t>
          </r>
          <r>
            <rPr>
              <rFont val="Calibri"/>
              <sz val="10"/>
            </rPr>
            <t xml:space="preserve"> sales · business</t>
          </r>
        </is>
      </c>
      <c r="P38" s="164" t="inlineStr">
        <is>
          <r>
            <rPr>
              <rFont val="Calibri"/>
              <sz val="10"/>
            </rPr>
            <t xml:space="preserve">One team or a client portfolio
</t>
          </r>
          <r>
            <rPr>
              <rFont val="Calibri"/>
              <b val="1"/>
              <sz val="10"/>
            </rPr>
            <t>Common themes in sub-family holders, all levels' answers:</t>
          </r>
          <r>
            <rPr>
              <rFont val="Calibri"/>
              <sz val="10"/>
            </rPr>
            <t xml:space="preserve"> business · am · opportunities · accountable · msme · loan</t>
          </r>
        </is>
      </c>
      <c r="Q38" s="164" t="inlineStr">
        <is>
          <r>
            <rPr>
              <rFont val="Calibri"/>
              <sz val="10"/>
            </rPr>
            <t xml:space="preserve">Allocates people and sets team priorities
</t>
          </r>
          <r>
            <rPr>
              <rFont val="Calibri"/>
              <b val="1"/>
              <sz val="10"/>
            </rPr>
            <t>Common themes in sub-family holders, all levels' answers:</t>
          </r>
          <r>
            <rPr>
              <rFont val="Calibri"/>
              <sz val="10"/>
            </rPr>
            <t xml:space="preserve"> leads · identify · business · potential · follow · sales</t>
          </r>
        </is>
      </c>
      <c r="R38" s="164" t="inlineStr">
        <is>
          <t>—</t>
        </is>
      </c>
      <c r="S38" s="164" t="inlineStr">
        <is>
          <t>Sales · Business development</t>
        </is>
      </c>
      <c r="T38" s="164" t="inlineStr">
        <is>
          <t>CRM · WhatsApp · email</t>
        </is>
      </c>
      <c r="U38" s="119" t="inlineStr">
        <is>
          <t>Deep domain expertise, or one team</t>
        </is>
      </c>
      <c r="V38" s="165" t="inlineStr">
        <is>
          <t>Hardest problems in the domain</t>
        </is>
      </c>
      <c r="W38" s="165" t="inlineStr">
        <is>
          <t>Allocates people and sets team priorities</t>
        </is>
      </c>
      <c r="X38" s="165" t="inlineStr">
        <is>
          <t>One team or a client portfolio</t>
        </is>
      </c>
      <c r="Y38" s="165" t="inlineStr">
        <is>
          <r>
            <rPr>
              <rFont val="Calibri"/>
              <b val="1"/>
              <sz val="10"/>
            </rPr>
            <t>IC:</t>
          </r>
          <r>
            <rPr>
              <rFont val="Calibri"/>
              <sz val="10"/>
            </rPr>
            <t xml:space="preserve"> guides others in the domain · People: manages a team of 6+</t>
          </r>
        </is>
      </c>
      <c r="Z38" s="165" t="inlineStr">
        <is>
          <t>6–9 yrs</t>
        </is>
      </c>
      <c r="AA38" s="165" t="inlineStr">
        <is>
          <t>Graduate or postgraduate; professional qualification preferred</t>
        </is>
      </c>
      <c r="AB38" s="165" t="inlineStr">
        <is>
          <t>Google / HubSpot certifications</t>
        </is>
      </c>
      <c r="AC38" s="165" t="inlineStr">
        <is>
          <r>
            <rPr>
              <rFont val="Calibri"/>
              <b val="1"/>
              <sz val="10"/>
            </rPr>
            <t>IC:</t>
          </r>
          <r>
            <rPr>
              <rFont val="Calibri"/>
              <sz val="10"/>
            </rPr>
            <t xml:space="preserve"> none · People: 6–8 knowledge work, 8–12 standardised delivery</t>
          </r>
        </is>
      </c>
      <c r="AD38" s="121" t="inlineStr">
        <is>
          <t>Core 3 · Future-ready 3 · Functional 4 · Leadership 3</t>
        </is>
      </c>
      <c r="AE38" s="122" t="inlineStr">
        <is>
          <t>Sales, Negotiation &amp; Account Growth · Marketing Tech &amp; Digital Marketing</t>
        </is>
      </c>
      <c r="AF38" s="122" t="inlineStr">
        <is>
          <t>Stakeholder &amp; Client Management · Communication &amp; Presentation · Product, Platform &amp; Domain Knowledge · Strategic Thinking &amp; Business Acumen</t>
        </is>
      </c>
      <c r="AG38" s="176" t="inlineStr">
        <is>
          <t>P4 / M3</t>
        </is>
      </c>
      <c r="AH38" s="128" t="inlineStr">
        <is>
          <t>4–5</t>
        </is>
      </c>
      <c r="AI38" s="177" t="inlineStr">
        <is>
          <t>IRIS Vs Competitor Benchmark — SaaS sales ladder — IC: Mid-Market AE · IRIS Vs Competitor Benchmark — SaaS sales ladder — management: Sales Manager</t>
        </is>
      </c>
      <c r="AJ38" s="177" t="inlineStr">
        <is>
          <t>SaaS sales ladder · SDR → AE → Enterprise AE → VP / CRO; MEDDICC-style qualification</t>
        </is>
      </c>
      <c r="AK38" s="177" t="inlineStr">
        <is>
          <t>B3 · Lead Specialist</t>
        </is>
      </c>
      <c r="AL38" s="129" t="inlineStr">
        <is>
          <t>Data, SQL &amp; analytics · Client, sales &amp; stakeholders · Strategy &amp; business acumen</t>
        </is>
      </c>
      <c r="AM38" s="130" t="inlineStr">
        <is>
          <t>—</t>
        </is>
      </c>
      <c r="AN38" s="130" t="inlineStr">
        <is>
          <t>Formal / classroom training · Mentoring / guidance from seniors · On-the-job / hands-on</t>
        </is>
      </c>
      <c r="AO38" s="130" t="inlineStr">
        <is>
          <t>No common theme</t>
        </is>
      </c>
      <c r="AP38" s="130" t="inlineStr">
        <is>
          <t>outreach</t>
        </is>
      </c>
      <c r="AQ38" s="130" t="inlineStr">
        <is>
          <t>0 of 5 say the role is changing because of AI / automation</t>
        </is>
      </c>
      <c r="AR38" s="131" t="inlineStr">
        <is>
          <t>Create and convert commercial opportunities. Includes: Prospecting, account sales, alliances, presales and sales operations. Excludes: Customer adoption unless sales accountability is primary.</t>
        </is>
      </c>
      <c r="AS38" s="132" t="inlineStr">
        <is>
          <t>LD05-1 · Sales / Sales Development Manager</t>
        </is>
      </c>
      <c r="AT38" s="132" t="inlineStr">
        <is>
          <t>Own staffing decisions, performance support, service quality and delegated team resources</t>
        </is>
      </c>
      <c r="AU38" s="132" t="inlineStr">
        <is>
          <t>Do not manufacture three reporting layers. Choose roles the organisation needs. A specialist may remain on an equally valued expert path.</t>
        </is>
      </c>
      <c r="AV38" s="132" t="inlineStr">
        <is>
          <t>—</t>
        </is>
      </c>
      <c r="AW38" s="132" t="inlineStr">
        <is>
          <t>—</t>
        </is>
      </c>
      <c r="AX38" s="178" t="inlineStr">
        <is>
          <t>Framework + sub-family themes · 3+ answered</t>
        </is>
      </c>
      <c r="AY38" s="134" t="inlineStr">
        <is>
          <t>1 holder, 1 answered the survey; sub-family 6 answered</t>
        </is>
      </c>
    </row>
    <row r="39" ht="93" customHeight="1">
      <c r="A39" s="175" t="inlineStr">
        <is>
          <t>RC-170</t>
        </is>
      </c>
      <c r="B39" s="111" t="inlineStr">
        <is>
          <t>Sales &amp; Business Development</t>
        </is>
      </c>
      <c r="C39" s="111" t="inlineStr">
        <is>
          <t>Sales Leadership</t>
        </is>
      </c>
      <c r="D39" s="179" t="inlineStr">
        <is>
          <t>C1</t>
        </is>
      </c>
      <c r="E39" s="151" t="inlineStr">
        <is>
          <t>Principal</t>
        </is>
      </c>
      <c r="F39" s="111" t="inlineStr">
        <is>
          <t>IC</t>
        </is>
      </c>
      <c r="G39" s="111" t="inlineStr">
        <is>
          <t>Principal – Enterprise Sales · Principal – Sales</t>
        </is>
      </c>
      <c r="H39" s="112" t="n">
        <v>3</v>
      </c>
      <c r="I39" s="111" t="inlineStr">
        <is>
          <t>CARBON 1 · iFile 1 · Datatech 1</t>
        </is>
      </c>
      <c r="J39" s="162" t="n">
        <v>1</v>
      </c>
      <c r="K39" s="115" t="inlineStr">
        <is>
          <t>Abhishek Gite</t>
        </is>
      </c>
      <c r="L39" s="115" t="inlineStr">
        <is>
          <t>Sales</t>
        </is>
      </c>
      <c r="M39" s="118" t="inlineStr">
        <is>
          <r>
            <rPr>
              <rFont val="Calibri"/>
              <sz val="10"/>
            </rPr>
            <t xml:space="preserve">Leads the sales &amp; business development function. At C1: a sub-function, or principal authority across products.
</t>
          </r>
          <r>
            <rPr>
              <rFont val="Calibri"/>
              <b val="1"/>
              <sz val="10"/>
            </rPr>
            <t>Common themes in sub-family holders, all levels' answers:</t>
          </r>
          <r>
            <rPr>
              <rFont val="Calibri"/>
              <sz val="10"/>
            </rPr>
            <t xml:space="preserve"> client · follow till · negotiations · details sdr · understand · call</t>
          </r>
        </is>
      </c>
      <c r="N39" s="164" t="inlineStr">
        <is>
          <r>
            <rPr>
              <rFont val="Calibri"/>
              <sz val="10"/>
            </rPr>
            <t xml:space="preserve">Leads the sales &amp; business development function; Ambiguous, cross-product problems; Sub-function results or domain quality across products
</t>
          </r>
          <r>
            <rPr>
              <rFont val="Calibri"/>
              <b val="1"/>
              <sz val="10"/>
            </rPr>
            <t>Common themes in sub-family holders, all levels' answers:</t>
          </r>
          <r>
            <rPr>
              <rFont val="Calibri"/>
              <sz val="10"/>
            </rPr>
            <t xml:space="preserve"> building · partner</t>
          </r>
        </is>
      </c>
      <c r="O39" s="164"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sales</t>
          </r>
        </is>
      </c>
      <c r="P39" s="164"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revenue · generation · sales</t>
          </r>
        </is>
      </c>
      <c r="Q39" s="164" t="inlineStr">
        <is>
          <t>Sets direction for a sub-function or domain</t>
        </is>
      </c>
      <c r="R39" s="164" t="inlineStr">
        <is>
          <t>—</t>
        </is>
      </c>
      <c r="S39" s="164" t="inlineStr">
        <is>
          <t>Sales</t>
        </is>
      </c>
      <c r="T39" s="164" t="inlineStr">
        <is>
          <t>—</t>
        </is>
      </c>
      <c r="U39" s="119" t="inlineStr">
        <is>
          <t>A sub-function, or principal authority across products</t>
        </is>
      </c>
      <c r="V39" s="165" t="inlineStr">
        <is>
          <t>Ambiguous, cross-product problems</t>
        </is>
      </c>
      <c r="W39" s="165" t="inlineStr">
        <is>
          <t>Sets direction for a sub-function or domain</t>
        </is>
      </c>
      <c r="X39" s="165" t="inlineStr">
        <is>
          <t>Sub-function results or domain quality across products</t>
        </is>
      </c>
      <c r="Y39" s="165" t="inlineStr">
        <is>
          <t>Leads managers or a community of practice</t>
        </is>
      </c>
      <c r="Z39" s="165" t="inlineStr">
        <is>
          <t>10–14 yrs</t>
        </is>
      </c>
      <c r="AA39" s="165" t="inlineStr">
        <is>
          <t>Postgraduate / professional qualification preferred</t>
        </is>
      </c>
      <c r="AB39" s="165" t="inlineStr">
        <is>
          <t>Google / HubSpot certifications</t>
        </is>
      </c>
      <c r="AC39" s="165" t="inlineStr">
        <is>
          <t>5–8, mostly managers</t>
        </is>
      </c>
      <c r="AD39" s="121" t="inlineStr">
        <is>
          <t>Core 4 · Future-ready 4 · Functional 4 · Leadership 4</t>
        </is>
      </c>
      <c r="AE39" s="122" t="inlineStr">
        <is>
          <t>Sales, Negotiation &amp; Account Growth · Marketing Tech &amp; Digital Marketing</t>
        </is>
      </c>
      <c r="AF39" s="122" t="inlineStr">
        <is>
          <t>Stakeholder &amp; Client Management · Communication &amp; Presentation · Product, Platform &amp; Domain Knowledge · Strategic Thinking &amp; Business Acumen</t>
        </is>
      </c>
      <c r="AG39" s="176" t="inlineStr">
        <is>
          <t>P6 / M5</t>
        </is>
      </c>
      <c r="AH39" s="128" t="inlineStr">
        <is>
          <t>5–6</t>
        </is>
      </c>
      <c r="AI39" s="177" t="inlineStr">
        <is>
          <t>IRIS Vs Competitor Benchmark — SaaS sales ladder — IC: Strategic / Principal AE · IRIS Vs Competitor Benchmark — SaaS sales ladder — management: Regional Sales Head</t>
        </is>
      </c>
      <c r="AJ39" s="177" t="inlineStr">
        <is>
          <t>SaaS sales ladder · SDR → AE → Enterprise AE → VP / CRO; MEDDICC-style qualification</t>
        </is>
      </c>
      <c r="AK39" s="177" t="inlineStr">
        <is>
          <t>C2 · Senior Principal / Architect</t>
        </is>
      </c>
      <c r="AL39" s="129" t="inlineStr">
        <is>
          <t>—</t>
        </is>
      </c>
      <c r="AM39" s="130" t="inlineStr">
        <is>
          <t>SupTech Domain</t>
        </is>
      </c>
      <c r="AN39" s="130" t="inlineStr">
        <is>
          <t>On-the-job / hands-on · Mentoring / guidance from seniors · Formal / classroom training</t>
        </is>
      </c>
      <c r="AO39" s="130" t="inlineStr">
        <is>
          <t>No common theme</t>
        </is>
      </c>
      <c r="AP39" s="130" t="inlineStr">
        <is>
          <t>availability</t>
        </is>
      </c>
      <c r="AQ39" s="130" t="inlineStr">
        <is>
          <t>3 of 3 say the role is changing because of AI / automation</t>
        </is>
      </c>
      <c r="AR39" s="131" t="inlineStr">
        <is>
          <t>Create and convert commercial opportunities. Includes: Prospecting, account sales, alliances, presales and sales operations. Excludes: Customer adoption unless sales accountability is primary.</t>
        </is>
      </c>
      <c r="AS39" s="132" t="inlineStr">
        <is>
          <t>LD05-2 · Head / VP of Sales</t>
        </is>
      </c>
      <c r="AT39" s="132" t="inlineStr">
        <is>
          <t>Own integrated function strategy, capacity, controls and cross-team trade-offs</t>
        </is>
      </c>
      <c r="AU39" s="132" t="inlineStr">
        <is>
          <t>Do not manufacture three reporting layers. Choose roles the organisation needs. A specialist may remain on an equally valued expert path.</t>
        </is>
      </c>
      <c r="AV39" s="132" t="inlineStr">
        <is>
          <t>—</t>
        </is>
      </c>
      <c r="AW39" s="132" t="inlineStr">
        <is>
          <t>—</t>
        </is>
      </c>
      <c r="AX39" s="178" t="inlineStr">
        <is>
          <t>Framework + sub-family themes · 3+ answered</t>
        </is>
      </c>
      <c r="AY39" s="134" t="inlineStr">
        <is>
          <t>3 holders, 0 answered the survey; sub-family 3 answered</t>
        </is>
      </c>
    </row>
    <row r="40">
      <c r="A40" s="160" t="inlineStr">
        <is>
          <t>Unassigned</t>
        </is>
      </c>
    </row>
    <row r="41" ht="41" customHeight="1">
      <c r="A41" s="175" t="inlineStr">
        <is>
          <t>RC-175</t>
        </is>
      </c>
      <c r="B41" s="111" t="inlineStr">
        <is>
          <t>Unassigned</t>
        </is>
      </c>
      <c r="C41" s="111" t="inlineStr">
        <is>
          <t>Role not recorded · external consultant</t>
        </is>
      </c>
      <c r="D41" s="150" t="inlineStr">
        <is>
          <t>X1</t>
        </is>
      </c>
      <c r="E41" s="136" t="inlineStr">
        <is>
          <t>Associate Consultant</t>
        </is>
      </c>
      <c r="F41" s="111" t="inlineStr">
        <is>
          <t>IC</t>
        </is>
      </c>
      <c r="G41" s="111" t="inlineStr">
        <is>
          <t>Associate Consultant – Software Development</t>
        </is>
      </c>
      <c r="H41" s="112" t="n">
        <v>2</v>
      </c>
      <c r="I41" s="111" t="inlineStr">
        <is>
          <t>Datatech 2</t>
        </is>
      </c>
      <c r="J41" s="162" t="n">
        <v>2</v>
      </c>
      <c r="K41" s="115" t="inlineStr">
        <is>
          <t>Arindam Bose, Shweta Vijay</t>
        </is>
      </c>
      <c r="L41" s="115" t="inlineStr">
        <is>
          <t>Not provided · HRIS</t>
        </is>
      </c>
      <c r="M41" s="118" t="inlineStr">
        <is>
          <t>No department or role data. At X1: defined deliverables under a statement of work · ≈ A2–A3.</t>
        </is>
      </c>
      <c r="N41" s="164" t="inlineStr">
        <is>
          <t>No department or role data</t>
        </is>
      </c>
      <c r="O41" s="164" t="inlineStr">
        <is>
          <t>No department or role data.</t>
        </is>
      </c>
      <c r="P41" s="164" t="inlineStr">
        <is>
          <t>Deliverables under the statement of work</t>
        </is>
      </c>
      <c r="Q41" s="164" t="inlineStr">
        <is>
          <t>Within the statement of work</t>
        </is>
      </c>
      <c r="R41" s="164" t="inlineStr">
        <is>
          <t>—</t>
        </is>
      </c>
      <c r="S41" s="164" t="inlineStr">
        <is>
          <t>—</t>
        </is>
      </c>
      <c r="T41" s="164" t="inlineStr">
        <is>
          <t>—</t>
        </is>
      </c>
      <c r="U41" s="119" t="inlineStr">
        <is>
          <t>Defined deliverables under a statement of work · ≈ A2–A3</t>
        </is>
      </c>
      <c r="V41" s="165" t="inlineStr">
        <is>
          <t>—</t>
        </is>
      </c>
      <c r="W41" s="165" t="inlineStr">
        <is>
          <t>—</t>
        </is>
      </c>
      <c r="X41" s="165" t="inlineStr">
        <is>
          <t>—</t>
        </is>
      </c>
      <c r="Y41" s="165" t="inlineStr">
        <is>
          <t>—</t>
        </is>
      </c>
      <c r="Z41" s="165" t="inlineStr">
        <is>
          <t>0–5 yrs</t>
        </is>
      </c>
      <c r="AA41" s="165" t="inlineStr">
        <is>
          <t>As for equivalent role</t>
        </is>
      </c>
      <c r="AB41" s="165" t="inlineStr">
        <is>
          <t>—</t>
        </is>
      </c>
      <c r="AC41" s="165" t="inlineStr">
        <is>
          <t>Not counted in spans</t>
        </is>
      </c>
      <c r="AD41" s="121" t="inlineStr">
        <is>
          <t>Per statement of work</t>
        </is>
      </c>
      <c r="AE41" s="122" t="inlineStr">
        <is>
          <t>—</t>
        </is>
      </c>
      <c r="AF41" s="122" t="inlineStr">
        <is>
          <t>—</t>
        </is>
      </c>
      <c r="AG41" s="176" t="inlineStr">
        <is>
          <t>Contractor</t>
        </is>
      </c>
      <c r="AH41" s="128" t="inlineStr">
        <is>
          <t>—</t>
        </is>
      </c>
      <c r="AI41" s="177" t="inlineStr">
        <is>
          <t>—</t>
        </is>
      </c>
      <c r="AJ41" s="177" t="inlineStr">
        <is>
          <t>—</t>
        </is>
      </c>
      <c r="AK41" s="177" t="inlineStr">
        <is>
          <t>—</t>
        </is>
      </c>
      <c r="AL41" s="129" t="inlineStr">
        <is>
          <t>—</t>
        </is>
      </c>
      <c r="AM41" s="130" t="inlineStr">
        <is>
          <t>—</t>
        </is>
      </c>
      <c r="AN41" s="130" t="inlineStr">
        <is>
          <t>—</t>
        </is>
      </c>
      <c r="AO41" s="130" t="inlineStr">
        <is>
          <t>—</t>
        </is>
      </c>
      <c r="AP41" s="130" t="inlineStr">
        <is>
          <t>—</t>
        </is>
      </c>
      <c r="AQ41" s="130" t="inlineStr">
        <is>
          <t>—</t>
        </is>
      </c>
      <c r="AR41" s="131" t="inlineStr">
        <is>
          <t>—</t>
        </is>
      </c>
      <c r="AS41" s="132" t="inlineStr">
        <is>
          <t>—</t>
        </is>
      </c>
      <c r="AT41" s="132" t="inlineStr">
        <is>
          <t>—</t>
        </is>
      </c>
      <c r="AU41" s="132" t="inlineStr">
        <is>
          <t>—</t>
        </is>
      </c>
      <c r="AV41" s="132" t="inlineStr">
        <is>
          <t>—</t>
        </is>
      </c>
      <c r="AW41" s="132" t="inlineStr">
        <is>
          <t>—</t>
        </is>
      </c>
      <c r="AX41" s="133" t="inlineStr">
        <is>
          <t>Framework only · fewer than 3 answered</t>
        </is>
      </c>
      <c r="AY41" s="134" t="inlineStr">
        <is>
          <t>2 holders, 0 answered the survey; sub-family 0 answered</t>
        </is>
      </c>
    </row>
  </sheetData>
  <autoFilter ref="A6:AY41"/>
  <mergeCells count="23">
    <mergeCell ref="A4:D4"/>
    <mergeCell ref="A1:AY1"/>
    <mergeCell ref="M5:T5"/>
    <mergeCell ref="A7:AY7"/>
    <mergeCell ref="A5:I5"/>
    <mergeCell ref="AL5:AQ5"/>
    <mergeCell ref="AR5:AW5"/>
    <mergeCell ref="A12:AY12"/>
    <mergeCell ref="A26:AY26"/>
    <mergeCell ref="A21:AY21"/>
    <mergeCell ref="A3:AY3"/>
    <mergeCell ref="A2:AY2"/>
    <mergeCell ref="U5:AC5"/>
    <mergeCell ref="A14:AY14"/>
    <mergeCell ref="J5:L5"/>
    <mergeCell ref="AD5:AF5"/>
    <mergeCell ref="A19:AY19"/>
    <mergeCell ref="A9:AY9"/>
    <mergeCell ref="A31:AY31"/>
    <mergeCell ref="AG5:AK5"/>
    <mergeCell ref="A34:AY34"/>
    <mergeCell ref="A40:AY40"/>
    <mergeCell ref="AX5:AY5"/>
  </mergeCells>
  <hyperlinks>
    <hyperlink xmlns:r="http://schemas.openxmlformats.org/officeDocument/2006/relationships" ref="AZ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3.xml><?xml version="1.0" encoding="utf-8"?>
<worksheet xmlns="http://schemas.openxmlformats.org/spreadsheetml/2006/main">
  <sheetPr>
    <tabColor rgb="00548235"/>
    <outlinePr summaryBelow="1" summaryRight="1"/>
    <pageSetUpPr fitToPage="1"/>
  </sheetPr>
  <dimension ref="A1:AR46"/>
  <sheetViews>
    <sheetView showGridLines="0" zoomScale="90"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7" customWidth="1" min="2" max="2"/>
    <col width="22" customWidth="1" min="3" max="3"/>
    <col width="24" customWidth="1" min="4" max="4"/>
    <col width="6" customWidth="1" min="5" max="5"/>
    <col width="13" customWidth="1" min="6" max="6"/>
    <col width="10" customWidth="1" min="7" max="7"/>
    <col width="6" customWidth="1" min="8" max="8"/>
    <col width="24" customWidth="1" min="9" max="9"/>
    <col width="22" customWidth="1" min="10" max="10"/>
    <col width="20" customWidth="1" min="11" max="11"/>
    <col width="20" customWidth="1" min="12" max="12"/>
    <col width="20" customWidth="1" min="13" max="13"/>
    <col width="9" customWidth="1" min="14" max="14"/>
    <col width="24" customWidth="1" min="15" max="15"/>
    <col width="20" customWidth="1" min="16" max="16"/>
    <col width="20" customWidth="1" min="17" max="17"/>
    <col width="8" customWidth="1" min="18" max="18"/>
    <col width="7" customWidth="1" min="19" max="19"/>
    <col width="7" customWidth="1" min="20" max="20"/>
    <col width="8" customWidth="1" min="21" max="21"/>
    <col width="7" customWidth="1" min="22" max="22"/>
    <col width="7" customWidth="1" min="23" max="23"/>
    <col width="7" customWidth="1" min="24" max="24"/>
    <col width="30" customWidth="1" min="25" max="25"/>
    <col width="30" customWidth="1" min="26" max="26"/>
    <col width="26" customWidth="1" min="27" max="27"/>
    <col width="22" customWidth="1" min="28" max="28"/>
    <col width="16" customWidth="1" min="29" max="29"/>
    <col width="8" customWidth="1" min="30" max="30"/>
    <col width="11" customWidth="1" min="31" max="31"/>
    <col width="9" customWidth="1" min="32" max="32"/>
    <col width="22" customWidth="1" min="33" max="33"/>
    <col width="22" customWidth="1" min="34" max="34"/>
    <col width="26" customWidth="1" min="35" max="35"/>
    <col width="22" customWidth="1" min="36" max="36"/>
    <col width="14" customWidth="1" min="37" max="37"/>
    <col width="34" customWidth="1" min="38" max="38"/>
    <col width="26" customWidth="1" min="39" max="39"/>
    <col width="18" customWidth="1" min="40" max="40"/>
    <col width="16" customWidth="1" min="41" max="41"/>
    <col width="16" customWidth="1" min="42" max="42"/>
    <col width="24" customWidth="1" min="43" max="43"/>
    <col width="13" customWidth="1" min="44" max="44"/>
  </cols>
  <sheetData>
    <row r="1" ht="34" customHeight="1">
      <c r="A1" s="1" t="inlineStr">
        <is>
          <t>Role Requirements &amp; Market Benchmarks — department → band → role · bottom to top</t>
        </is>
      </c>
      <c r="AR1" s="241" t="inlineStr">
        <is>
          <t>◂ Contents</t>
        </is>
      </c>
    </row>
    <row r="2" ht="30" customHeight="1">
      <c r="A2" s="3" t="inlineStr">
        <is>
          <t>Sheet 7 · One row per role · designation × level × track inside each department, lowest level first. Columns follow the Master steps: what the level expects, entry requirements, the weight set used, required capability, structure, the market crosswalk and progression.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D4" s="68" t="inlineStr">
        <is>
          <t>Player-Coach · B+ · C+</t>
        </is>
      </c>
    </row>
    <row r="5" ht="30" customHeight="1">
      <c r="A5" s="73" t="inlineStr">
        <is>
          <t>ROLE</t>
        </is>
      </c>
      <c r="I5" s="74" t="inlineStr">
        <is>
          <t>STEP 4 · WHAT THE LEVEL EXPECTS</t>
        </is>
      </c>
      <c r="N5" s="76" t="inlineStr">
        <is>
          <t>ENTRY REQUIREMENTS</t>
        </is>
      </c>
      <c r="R5" s="77" t="inlineStr">
        <is>
          <t>STEP 5 · WEIGHTS</t>
        </is>
      </c>
      <c r="Y5" s="79" t="inlineStr">
        <is>
          <t>STEP 10 · CAPABILITY REQUIRED</t>
        </is>
      </c>
      <c r="AC5" s="81" t="inlineStr">
        <is>
          <t>STEP 3 · STRUCTURE</t>
        </is>
      </c>
      <c r="AD5" s="83" t="inlineStr">
        <is>
          <t>STEP 9 · MARKET BENCHMARK</t>
        </is>
      </c>
      <c r="AN5" s="85" t="inlineStr">
        <is>
          <t>STEP 11 · PROGRESSION</t>
        </is>
      </c>
    </row>
    <row r="6" ht="48" customHeight="1">
      <c r="A6" s="91" t="inlineStr">
        <is>
          <t>Department</t>
        </is>
      </c>
      <c r="B6" s="92" t="inlineStr">
        <is>
          <t>Job family</t>
        </is>
      </c>
      <c r="C6" s="92" t="inlineStr">
        <is>
          <t>Sub-family · ies</t>
        </is>
      </c>
      <c r="D6" s="92" t="inlineStr">
        <is>
          <t>Role · designation</t>
        </is>
      </c>
      <c r="E6" s="92" t="inlineStr">
        <is>
          <t>Level</t>
        </is>
      </c>
      <c r="F6" s="92" t="inlineStr">
        <is>
          <t>Level title</t>
        </is>
      </c>
      <c r="G6" s="92" t="inlineStr">
        <is>
          <t>Track</t>
        </is>
      </c>
      <c r="H6" s="92" t="inlineStr">
        <is>
          <t>People</t>
        </is>
      </c>
      <c r="I6" s="93" t="inlineStr">
        <is>
          <t>What the role owns</t>
        </is>
      </c>
      <c r="J6" s="12" t="inlineStr">
        <is>
          <t>Complexity &amp; expertise</t>
        </is>
      </c>
      <c r="K6" s="12" t="inlineStr">
        <is>
          <t>Autonomy &amp; decisions</t>
        </is>
      </c>
      <c r="L6" s="12" t="inlineStr">
        <is>
          <t>Accountability &amp; impact</t>
        </is>
      </c>
      <c r="M6" s="12" t="inlineStr">
        <is>
          <t>Leadership</t>
        </is>
      </c>
      <c r="N6" s="94" t="inlineStr">
        <is>
          <t>Experience · yrs, guide</t>
        </is>
      </c>
      <c r="O6" s="156" t="inlineStr">
        <is>
          <t>Education &amp; qualification</t>
        </is>
      </c>
      <c r="P6" s="156" t="inlineStr">
        <is>
          <t>Credentials</t>
        </is>
      </c>
      <c r="Q6" s="156" t="inlineStr">
        <is>
          <t>Gate requirements</t>
        </is>
      </c>
      <c r="R6" s="95" t="inlineStr">
        <is>
          <t>Set ID</t>
        </is>
      </c>
      <c r="S6" s="96" t="inlineStr">
        <is>
          <t>Complexity %</t>
        </is>
      </c>
      <c r="T6" s="96" t="inlineStr">
        <is>
          <t>Autonomy %</t>
        </is>
      </c>
      <c r="U6" s="96" t="inlineStr">
        <is>
          <t>Accountability %</t>
        </is>
      </c>
      <c r="V6" s="96" t="inlineStr">
        <is>
          <t>Leadership %</t>
        </is>
      </c>
      <c r="W6" s="96" t="inlineStr">
        <is>
          <t>Exp. &amp; Qual. %</t>
        </is>
      </c>
      <c r="X6" s="96" t="inlineStr">
        <is>
          <t>Bus. Impact %</t>
        </is>
      </c>
      <c r="Y6" s="97" t="inlineStr">
        <is>
          <t>Must-have competencies · proficiency 1–5</t>
        </is>
      </c>
      <c r="Z6" s="98" t="inlineStr">
        <is>
          <t>Other functional competencies</t>
        </is>
      </c>
      <c r="AA6" s="98" t="inlineStr">
        <is>
          <t>Department technical competencies</t>
        </is>
      </c>
      <c r="AB6" s="98" t="inlineStr">
        <is>
          <t>Proficiency by cluster</t>
        </is>
      </c>
      <c r="AC6" s="99" t="inlineStr">
        <is>
          <t>Span of control</t>
        </is>
      </c>
      <c r="AD6" s="101" t="inlineStr">
        <is>
          <t>Radford / Mercer</t>
        </is>
      </c>
      <c r="AE6" s="102" t="inlineStr">
        <is>
          <t>Pave level</t>
        </is>
      </c>
      <c r="AF6" s="102" t="inlineStr">
        <is>
          <t>SFIA 9</t>
        </is>
      </c>
      <c r="AG6" s="102" t="inlineStr">
        <is>
          <t>Typical market title based on competitor/market benchmark</t>
        </is>
      </c>
      <c r="AH6" s="102" t="inlineStr">
        <is>
          <t>Product companies · Google · MS · Workiva</t>
        </is>
      </c>
      <c r="AI6" s="102" t="inlineStr">
        <is>
          <t>Indian IT services · Infosys · TCS · Accenture</t>
        </is>
      </c>
      <c r="AJ6" s="102" t="inlineStr">
        <is>
          <t>Consulting &amp; XBRL services · Big Four · DataTracks</t>
        </is>
      </c>
      <c r="AK6" s="102" t="inlineStr">
        <is>
          <t>Reference</t>
        </is>
      </c>
      <c r="AL6" s="102" t="inlineStr">
        <is>
          <t>Competitors, regtech &amp; SaaS leaders — this family at this level</t>
        </is>
      </c>
      <c r="AM6" s="102" t="inlineStr">
        <is>
          <t>Professional standard · best standard</t>
        </is>
      </c>
      <c r="AN6" s="103" t="inlineStr">
        <is>
          <t>Hiring route</t>
        </is>
      </c>
      <c r="AO6" s="104" t="inlineStr">
        <is>
          <t>Next step — IC</t>
        </is>
      </c>
      <c r="AP6" s="104" t="inlineStr">
        <is>
          <t>Next step — Manager</t>
        </is>
      </c>
      <c r="AQ6" s="104" t="inlineStr">
        <is>
          <t>Future skills</t>
        </is>
      </c>
    </row>
    <row r="7" ht="20" customHeight="1">
      <c r="A7" s="160" t="inlineStr">
        <is>
          <t>Datatech - Outreach — 8 people · 5 roles · Sales &amp; marketing · levels A2–B2</t>
        </is>
      </c>
    </row>
    <row r="8" ht="80" customHeight="1">
      <c r="A8" s="109" t="inlineStr">
        <is>
          <t>Datatech - Outreach</t>
        </is>
      </c>
      <c r="B8" s="111" t="inlineStr">
        <is>
          <t>Data &amp; Analytics</t>
        </is>
      </c>
      <c r="C8" s="111" t="inlineStr">
        <is>
          <t>MIS &amp; Business Reporting</t>
        </is>
      </c>
      <c r="D8" s="111" t="inlineStr">
        <is>
          <t>MIS Associate</t>
        </is>
      </c>
      <c r="E8" s="26" t="inlineStr">
        <is>
          <t>A2</t>
        </is>
      </c>
      <c r="F8" s="140" t="inlineStr">
        <is>
          <t>Associate</t>
        </is>
      </c>
      <c r="G8" s="111" t="inlineStr">
        <is>
          <t>IC</t>
        </is>
      </c>
      <c r="H8" s="112" t="n">
        <v>1</v>
      </c>
      <c r="I8" s="142" t="inlineStr">
        <is>
          <t>Standard work delivered independently</t>
        </is>
      </c>
      <c r="J8" s="115" t="inlineStr">
        <is>
          <t>Standard work of the discipline</t>
        </is>
      </c>
      <c r="K8" s="115" t="inlineStr">
        <is>
          <t>Chooses own approach within standards</t>
        </is>
      </c>
      <c r="L8" s="115" t="inlineStr">
        <is>
          <t>Own deliverables · accuracy, TAT</t>
        </is>
      </c>
      <c r="M8" s="115" t="inlineStr">
        <is>
          <t>Not scored in Band A</t>
        </is>
      </c>
      <c r="N8" s="182" t="inlineStr">
        <is>
          <t>0–2 yrs</t>
        </is>
      </c>
      <c r="O8" s="164" t="inlineStr">
        <is>
          <r>
            <rPr>
              <rFont val="Calibri"/>
              <sz val="10"/>
            </rPr>
            <t xml:space="preserve">Graduate · or diploma with experience
</t>
          </r>
          <r>
            <rPr>
              <rFont val="Calibri"/>
              <b val="1"/>
              <sz val="10"/>
            </rPr>
            <t>Family:</t>
          </r>
          <r>
            <rPr>
              <rFont val="Calibri"/>
              <sz val="10"/>
            </rPr>
            <t xml:space="preserve"> Graduate in commerce / statistics / engineering</t>
          </r>
        </is>
      </c>
      <c r="P8" s="164" t="inlineStr">
        <is>
          <t>Power BI / Tableau · optional; Database certifications · optional</t>
        </is>
      </c>
      <c r="Q8" s="164" t="inlineStr">
        <is>
          <t>Data quality and confidentiality</t>
        </is>
      </c>
      <c r="R8" s="183" t="inlineStr">
        <is>
          <t>SM-A</t>
        </is>
      </c>
      <c r="S8" s="184" t="n">
        <v>0.54</v>
      </c>
      <c r="T8" s="184" t="n">
        <v>0.21</v>
      </c>
      <c r="U8" s="184" t="n">
        <v>0.04</v>
      </c>
      <c r="V8" s="184" t="n">
        <v>0</v>
      </c>
      <c r="W8" s="184" t="n">
        <v>0.1</v>
      </c>
      <c r="X8" s="184" t="n">
        <v>0.11</v>
      </c>
      <c r="Y8" s="121" t="inlineStr">
        <is>
          <t>★ Data Analytics, BI &amp; Visualisation · ★ Database, SQL &amp; Data Engineering</t>
        </is>
      </c>
      <c r="Z8" s="122" t="inlineStr">
        <is>
          <t>Advanced Excel &amp; Productivity Tools · Regulatory &amp; BFSI Domain · Process Improvement &amp; Quality Mindset · Accounting &amp; Reporting Standards · IFRS/US GAAP</t>
        </is>
      </c>
      <c r="AA8" s="122" t="inlineStr">
        <is>
          <t>—</t>
        </is>
      </c>
      <c r="AB8" s="122" t="inlineStr">
        <is>
          <t>Core 2 · Future-ready 2 · Functional 2 · Leadership —</t>
        </is>
      </c>
      <c r="AC8" s="123" t="inlineStr">
        <is>
          <t>No direct reports</t>
        </is>
      </c>
      <c r="AD8" s="185" t="inlineStr">
        <is>
          <t>P1–P2</t>
        </is>
      </c>
      <c r="AE8" s="130" t="inlineStr">
        <is>
          <t>Entry / Developing</t>
        </is>
      </c>
      <c r="AF8" s="186" t="inlineStr">
        <is>
          <t>2 Assist</t>
        </is>
      </c>
      <c r="AG8" s="130" t="inlineStr">
        <is>
          <t>Junior Data Analyst / Data Analyst</t>
        </is>
      </c>
      <c r="AH8" s="130" t="inlineStr">
        <is>
          <t>L3 · MS 59–60 · Associate SE</t>
        </is>
      </c>
      <c r="AI8" s="130" t="inlineStr">
        <is>
          <t>JL3B Systems Engineer · C1 Assistant System Engineer · L11 Analyst</t>
        </is>
      </c>
      <c r="AJ8" s="130" t="inlineStr">
        <is>
          <t>Analyst · DataTracks Associate</t>
        </is>
      </c>
      <c r="AK8" s="130" t="inlineStr">
        <is>
          <t>Radford / Pave</t>
        </is>
      </c>
      <c r="AL8" s="130" t="inlineStr">
        <is>
          <r>
            <rPr>
              <rFont val="Calibri"/>
              <b val="1"/>
              <sz val="10"/>
            </rPr>
            <t>Atlassian company-wide P-levels:</t>
          </r>
          <r>
            <rPr>
              <rFont val="Calibri"/>
              <sz val="10"/>
            </rPr>
            <t xml:space="preserve"> P30 Analyst · IRIS Vs Competitor Benchmark — data analyst ladder: Data Analyst I</t>
          </r>
        </is>
      </c>
      <c r="AM8" s="130" t="inlineStr">
        <is>
          <t>DAMA-DMBOK · 11 knowledge areas around data governance</t>
        </is>
      </c>
      <c r="AN8" s="131" t="inlineStr">
        <is>
          <t>Lateral or campus · CT1 on confirmation; CT2 on joining</t>
        </is>
      </c>
      <c r="AO8" s="132" t="inlineStr">
        <is>
          <t>A3 · Senior Associate</t>
        </is>
      </c>
      <c r="AP8" s="132" t="inlineStr">
        <is>
          <t>A3 · common path</t>
        </is>
      </c>
      <c r="AQ8" s="132" t="inlineStr">
        <is>
          <t>AI &amp; big data, Python / SQL analytics, self-service BI</t>
        </is>
      </c>
    </row>
    <row r="9" ht="67" customHeight="1">
      <c r="A9" s="109" t="inlineStr">
        <is>
          <t>Datatech - Outreach</t>
        </is>
      </c>
      <c r="B9" s="111" t="inlineStr">
        <is>
          <t>Sales &amp; Business Development</t>
        </is>
      </c>
      <c r="C9" s="111" t="inlineStr">
        <is>
          <t>Field Outreach &amp; Programme Sales</t>
        </is>
      </c>
      <c r="D9" s="111" t="inlineStr">
        <is>
          <t>Program Executive</t>
        </is>
      </c>
      <c r="E9" s="26" t="inlineStr">
        <is>
          <t>A2</t>
        </is>
      </c>
      <c r="F9" s="140" t="inlineStr">
        <is>
          <t>Associate</t>
        </is>
      </c>
      <c r="G9" s="111" t="inlineStr">
        <is>
          <t>IC</t>
        </is>
      </c>
      <c r="H9" s="112" t="n">
        <v>2</v>
      </c>
      <c r="I9" s="142" t="inlineStr">
        <is>
          <t>Standard work delivered independently</t>
        </is>
      </c>
      <c r="J9" s="115" t="inlineStr">
        <is>
          <t>Standard work of the discipline</t>
        </is>
      </c>
      <c r="K9" s="115" t="inlineStr">
        <is>
          <t>Chooses own approach within standards</t>
        </is>
      </c>
      <c r="L9" s="115" t="inlineStr">
        <is>
          <t>Own deliverables · accuracy, TAT</t>
        </is>
      </c>
      <c r="M9" s="115" t="inlineStr">
        <is>
          <t>Not scored in Band A</t>
        </is>
      </c>
      <c r="N9" s="182" t="inlineStr">
        <is>
          <t>0–2 yrs</t>
        </is>
      </c>
      <c r="O9" s="164" t="inlineStr">
        <is>
          <r>
            <rPr>
              <rFont val="Calibri"/>
              <sz val="10"/>
            </rPr>
            <t xml:space="preserve">Graduate · or diploma with experience
</t>
          </r>
          <r>
            <rPr>
              <rFont val="Calibri"/>
              <b val="1"/>
              <sz val="10"/>
            </rPr>
            <t>Family:</t>
          </r>
          <r>
            <rPr>
              <rFont val="Calibri"/>
              <sz val="10"/>
            </rPr>
            <t xml:space="preserve"> Graduate; MBA preferred from B2</t>
          </r>
        </is>
      </c>
      <c r="P9" s="164" t="inlineStr">
        <is>
          <t>Google / HubSpot certifications</t>
        </is>
      </c>
      <c r="Q9" s="164" t="inlineStr">
        <is>
          <t>CRM hygiene; contract basics</t>
        </is>
      </c>
      <c r="R9" s="183" t="inlineStr">
        <is>
          <t>SM-A</t>
        </is>
      </c>
      <c r="S9" s="184" t="n">
        <v>0.54</v>
      </c>
      <c r="T9" s="184" t="n">
        <v>0.21</v>
      </c>
      <c r="U9" s="184" t="n">
        <v>0.04</v>
      </c>
      <c r="V9" s="184" t="n">
        <v>0</v>
      </c>
      <c r="W9" s="184" t="n">
        <v>0.1</v>
      </c>
      <c r="X9" s="184" t="n">
        <v>0.11</v>
      </c>
      <c r="Y9" s="121" t="inlineStr">
        <is>
          <t>★ Sales, Negotiation &amp; Account Growth · ★ Marketing Tech &amp; Digital Marketing</t>
        </is>
      </c>
      <c r="Z9" s="122" t="inlineStr">
        <is>
          <t>Stakeholder &amp; Client Management · Communication &amp; Presentation · Product, Platform &amp; Domain Knowledge · Strategic Thinking &amp; Business Acumen</t>
        </is>
      </c>
      <c r="AA9" s="122" t="inlineStr">
        <is>
          <t>—</t>
        </is>
      </c>
      <c r="AB9" s="122" t="inlineStr">
        <is>
          <t>Core 2 · Future-ready 2 · Functional 2 · Leadership —</t>
        </is>
      </c>
      <c r="AC9" s="123" t="inlineStr">
        <is>
          <t>No direct reports</t>
        </is>
      </c>
      <c r="AD9" s="185" t="inlineStr">
        <is>
          <t>P1–P2</t>
        </is>
      </c>
      <c r="AE9" s="130" t="inlineStr">
        <is>
          <t>Entry / Developing</t>
        </is>
      </c>
      <c r="AF9" s="186" t="inlineStr">
        <is>
          <t>2 Assist</t>
        </is>
      </c>
      <c r="AG9" s="130" t="inlineStr">
        <is>
          <t>SDR · entry / SDR / Inside Sales</t>
        </is>
      </c>
      <c r="AH9" s="130" t="inlineStr">
        <is>
          <t>L3 · MS 59–60 · —</t>
        </is>
      </c>
      <c r="AI9" s="130" t="inlineStr">
        <is>
          <t>JL3B · C1 · L11 Analyst</t>
        </is>
      </c>
      <c r="AJ9" s="130" t="inlineStr">
        <is>
          <t>Analyst · DataTracks Associate</t>
        </is>
      </c>
      <c r="AK9" s="130" t="inlineStr">
        <is>
          <t>Radford / Pave, JobsPipe title hierarchy</t>
        </is>
      </c>
      <c r="AL9" s="130" t="inlineStr">
        <is>
          <t>IRIS Vs Competitor Benchmark — SaaS sales ladder — IC: SDR / BDR</t>
        </is>
      </c>
      <c r="AM9" s="130" t="inlineStr">
        <is>
          <t>SaaS sales ladder · SDR → AE → Enterprise AE → VP / CRO; MEDDICC-style qualification</t>
        </is>
      </c>
      <c r="AN9" s="131" t="inlineStr">
        <is>
          <t>Lateral or campus · CT1 on confirmation; CT2 on joining</t>
        </is>
      </c>
      <c r="AO9" s="132" t="inlineStr">
        <is>
          <t>A3 · Senior Associate</t>
        </is>
      </c>
      <c r="AP9" s="132" t="inlineStr">
        <is>
          <t>A3 · common path</t>
        </is>
      </c>
      <c r="AQ9" s="132" t="inlineStr">
        <is>
          <t>Data-driven selling, AI prospecting, ESG / regtech market knowledge</t>
        </is>
      </c>
    </row>
    <row r="10" ht="67" customHeight="1">
      <c r="A10" s="109" t="inlineStr">
        <is>
          <t>Datatech - Outreach</t>
        </is>
      </c>
      <c r="B10" s="111" t="inlineStr">
        <is>
          <t>Sales &amp; Business Development</t>
        </is>
      </c>
      <c r="C10" s="111" t="inlineStr">
        <is>
          <t>Field Outreach &amp; Programme Sales</t>
        </is>
      </c>
      <c r="D10" s="111" t="inlineStr">
        <is>
          <t>Senior Program Executive</t>
        </is>
      </c>
      <c r="E10" s="26" t="inlineStr">
        <is>
          <t>A3</t>
        </is>
      </c>
      <c r="F10" s="140" t="inlineStr">
        <is>
          <t>Senior Associate</t>
        </is>
      </c>
      <c r="G10" s="111" t="inlineStr">
        <is>
          <t>IC</t>
        </is>
      </c>
      <c r="H10" s="112" t="n">
        <v>3</v>
      </c>
      <c r="I10" s="142" t="inlineStr">
        <is>
          <t>Varied work; reviews juniors; go-to for a process</t>
        </is>
      </c>
      <c r="J10" s="115" t="inlineStr">
        <is>
          <t>Varied and non-standard work; handles exceptions</t>
        </is>
      </c>
      <c r="K10" s="115" t="inlineStr">
        <is>
          <t>Technical / QC / client calls on own work</t>
        </is>
      </c>
      <c r="L10" s="115" t="inlineStr">
        <is>
          <t>A module / process, or work with client or regulatory consequences</t>
        </is>
      </c>
      <c r="M10" s="115" t="inlineStr">
        <is>
          <t>Not scored in Band A</t>
        </is>
      </c>
      <c r="N10" s="182" t="inlineStr">
        <is>
          <t>2–4 yrs</t>
        </is>
      </c>
      <c r="O10" s="164" t="inlineStr">
        <is>
          <r>
            <rPr>
              <rFont val="Calibri"/>
              <sz val="10"/>
            </rPr>
            <t xml:space="preserve">Graduate; relevant certification preferred
</t>
          </r>
          <r>
            <rPr>
              <rFont val="Calibri"/>
              <b val="1"/>
              <sz val="10"/>
            </rPr>
            <t>Family:</t>
          </r>
          <r>
            <rPr>
              <rFont val="Calibri"/>
              <sz val="10"/>
            </rPr>
            <t xml:space="preserve"> Graduate; MBA preferred from B2</t>
          </r>
        </is>
      </c>
      <c r="P10" s="164" t="inlineStr">
        <is>
          <t>Google / HubSpot certifications</t>
        </is>
      </c>
      <c r="Q10" s="164" t="inlineStr">
        <is>
          <t>CRM hygiene; contract basics</t>
        </is>
      </c>
      <c r="R10" s="183" t="inlineStr">
        <is>
          <t>SM-A</t>
        </is>
      </c>
      <c r="S10" s="184" t="n">
        <v>0.54</v>
      </c>
      <c r="T10" s="184" t="n">
        <v>0.21</v>
      </c>
      <c r="U10" s="184" t="n">
        <v>0.04</v>
      </c>
      <c r="V10" s="184" t="n">
        <v>0</v>
      </c>
      <c r="W10" s="184" t="n">
        <v>0.1</v>
      </c>
      <c r="X10" s="184" t="n">
        <v>0.11</v>
      </c>
      <c r="Y10" s="121" t="inlineStr">
        <is>
          <t>★ Sales, Negotiation &amp; Account Growth · ★ Marketing Tech &amp; Digital Marketing</t>
        </is>
      </c>
      <c r="Z10" s="122" t="inlineStr">
        <is>
          <t>Stakeholder &amp; Client Management · Communication &amp; Presentation · Product, Platform &amp; Domain Knowledge · Strategic Thinking &amp; Business Acumen</t>
        </is>
      </c>
      <c r="AA10" s="122" t="inlineStr">
        <is>
          <t>—</t>
        </is>
      </c>
      <c r="AB10" s="122" t="inlineStr">
        <is>
          <t>Core 2 · Future-ready 2 · Functional 3 · Leadership —</t>
        </is>
      </c>
      <c r="AC10" s="123" t="inlineStr">
        <is>
          <t>None · guides 1–3 juniors informally</t>
        </is>
      </c>
      <c r="AD10" s="185" t="inlineStr">
        <is>
          <t>P2</t>
        </is>
      </c>
      <c r="AE10" s="130" t="inlineStr">
        <is>
          <t>Developing</t>
        </is>
      </c>
      <c r="AF10" s="186" t="inlineStr">
        <is>
          <t>3 Apply</t>
        </is>
      </c>
      <c r="AG10" s="130" t="inlineStr">
        <is>
          <t>SDR / Inside Sales</t>
        </is>
      </c>
      <c r="AH10" s="130" t="inlineStr">
        <is>
          <t>L3–L4 · MS 61–62 · —</t>
        </is>
      </c>
      <c r="AI10" s="130" t="inlineStr">
        <is>
          <t>JL3A · C1 · L11–L10 · Senior Analyst</t>
        </is>
      </c>
      <c r="AJ10" s="130" t="inlineStr">
        <is>
          <t>Consultant · DataTracks Senior Associate · 2–5 yrs</t>
        </is>
      </c>
      <c r="AK10" s="130" t="inlineStr">
        <is>
          <t>Radford / Pave, JobsPipe title hierarchy</t>
        </is>
      </c>
      <c r="AL10" s="130" t="inlineStr">
        <is>
          <t>IRIS Vs Competitor Benchmark — SaaS sales ladder — IC: Senior SDR</t>
        </is>
      </c>
      <c r="AM10" s="130" t="inlineStr">
        <is>
          <t>SaaS sales ladder · SDR → AE → Enterprise AE → VP / CRO; MEDDICC-style qualification</t>
        </is>
      </c>
      <c r="AN10" s="131" t="inlineStr">
        <is>
          <t>Lateral or campus · CT2 at 12 months; CT3 in programme</t>
        </is>
      </c>
      <c r="AO10" s="132" t="inlineStr">
        <is>
          <t>B1 · Specialist</t>
        </is>
      </c>
      <c r="AP10" s="132" t="inlineStr">
        <is>
          <t>B1 · Team Lead</t>
        </is>
      </c>
      <c r="AQ10" s="132" t="inlineStr">
        <is>
          <t>Data-driven selling, AI prospecting, ESG / regtech market knowledge</t>
        </is>
      </c>
    </row>
    <row r="11" ht="67" customHeight="1">
      <c r="A11" s="109" t="inlineStr">
        <is>
          <t>Datatech - Outreach</t>
        </is>
      </c>
      <c r="B11" s="111" t="inlineStr">
        <is>
          <t>Sales &amp; Business Development</t>
        </is>
      </c>
      <c r="C11" s="111" t="inlineStr">
        <is>
          <t>Field Outreach &amp; Programme Sales</t>
        </is>
      </c>
      <c r="D11" s="111" t="inlineStr">
        <is>
          <t>Senior Program Specialist – POD Lead</t>
        </is>
      </c>
      <c r="E11" s="20" t="inlineStr">
        <is>
          <t>B2</t>
        </is>
      </c>
      <c r="F11" s="18" t="inlineStr">
        <is>
          <t>Senior Specialist · POD Lead</t>
        </is>
      </c>
      <c r="G11" s="111" t="inlineStr">
        <is>
          <t>POD Lead</t>
        </is>
      </c>
      <c r="H11" s="112" t="n">
        <v>1</v>
      </c>
      <c r="I11" s="142" t="inlineStr">
        <is>
          <t>Deep domain expertise, or one team</t>
        </is>
      </c>
      <c r="J11" s="115" t="inlineStr">
        <is>
          <t>Hardest problems in the domain</t>
        </is>
      </c>
      <c r="K11" s="115" t="inlineStr">
        <is>
          <t>Allocates people and sets team priorities</t>
        </is>
      </c>
      <c r="L11" s="115" t="inlineStr">
        <is>
          <t>One team or a client portfolio</t>
        </is>
      </c>
      <c r="M11" s="115" t="inlineStr">
        <is>
          <r>
            <rPr>
              <rFont val="Calibri"/>
              <b val="1"/>
              <sz val="10"/>
            </rPr>
            <t>IC:</t>
          </r>
          <r>
            <rPr>
              <rFont val="Calibri"/>
              <sz val="10"/>
            </rPr>
            <t xml:space="preserve"> guides others in the domain · People: manages a team of 6+</t>
          </r>
        </is>
      </c>
      <c r="N11" s="182" t="inlineStr">
        <is>
          <t>6–9 yrs</t>
        </is>
      </c>
      <c r="O11" s="164" t="inlineStr">
        <is>
          <r>
            <rPr>
              <rFont val="Calibri"/>
              <sz val="10"/>
            </rPr>
            <t xml:space="preserve">Graduate or postgraduate; professional qualification preferred
</t>
          </r>
          <r>
            <rPr>
              <rFont val="Calibri"/>
              <b val="1"/>
              <sz val="10"/>
            </rPr>
            <t>Family:</t>
          </r>
          <r>
            <rPr>
              <rFont val="Calibri"/>
              <sz val="10"/>
            </rPr>
            <t xml:space="preserve"> Graduate; MBA preferred from B2</t>
          </r>
        </is>
      </c>
      <c r="P11" s="164" t="inlineStr">
        <is>
          <t>Google / HubSpot certifications</t>
        </is>
      </c>
      <c r="Q11" s="164" t="inlineStr">
        <is>
          <t>CRM hygiene; contract basics</t>
        </is>
      </c>
      <c r="R11" s="183" t="inlineStr">
        <is>
          <t>SM-B-IC</t>
        </is>
      </c>
      <c r="S11" s="184" t="n">
        <v>0.46</v>
      </c>
      <c r="T11" s="184" t="n">
        <v>0.22</v>
      </c>
      <c r="U11" s="184" t="n">
        <v>0.05</v>
      </c>
      <c r="V11" s="184" t="n">
        <v>0.05</v>
      </c>
      <c r="W11" s="184" t="n">
        <v>0.1</v>
      </c>
      <c r="X11" s="184" t="n">
        <v>0.12</v>
      </c>
      <c r="Y11" s="121" t="inlineStr">
        <is>
          <t>★ Sales, Negotiation &amp; Account Growth · ★ Marketing Tech &amp; Digital Marketing</t>
        </is>
      </c>
      <c r="Z11" s="122" t="inlineStr">
        <is>
          <t>Stakeholder &amp; Client Management · Communication &amp; Presentation · Product, Platform &amp; Domain Knowledge · Strategic Thinking &amp; Business Acumen</t>
        </is>
      </c>
      <c r="AA11" s="122" t="inlineStr">
        <is>
          <t>—</t>
        </is>
      </c>
      <c r="AB11" s="122" t="inlineStr">
        <is>
          <t>Core 3 · Future-ready 3 · Functional 4 · Leadership 3</t>
        </is>
      </c>
      <c r="AC11" s="123" t="inlineStr">
        <is>
          <r>
            <rPr>
              <rFont val="Calibri"/>
              <b val="1"/>
              <sz val="10"/>
            </rPr>
            <t>IC:</t>
          </r>
          <r>
            <rPr>
              <rFont val="Calibri"/>
              <sz val="10"/>
            </rPr>
            <t xml:space="preserve"> none · People: 6–8 knowledge work, 8–12 standardised delivery</t>
          </r>
        </is>
      </c>
      <c r="AD11" s="185" t="inlineStr">
        <is>
          <t>P4</t>
        </is>
      </c>
      <c r="AE11" s="130" t="inlineStr">
        <is>
          <t>Senior / Manager</t>
        </is>
      </c>
      <c r="AF11" s="186" t="inlineStr">
        <is>
          <t>4–5</t>
        </is>
      </c>
      <c r="AG11" s="130" t="inlineStr">
        <is>
          <t>Senior Account Executive</t>
        </is>
      </c>
      <c r="AH11" s="130" t="inlineStr">
        <is>
          <t>L5 · MS 63 · —</t>
        </is>
      </c>
      <c r="AI11" s="130" t="inlineStr">
        <is>
          <t>JL5 · C3A · L8 Associate Manager</t>
        </is>
      </c>
      <c r="AJ11" s="130" t="inlineStr">
        <is>
          <t>Manager</t>
        </is>
      </c>
      <c r="AK11" s="130" t="inlineStr">
        <is>
          <t>Radford / Pave, JobsPipe title hierarchy</t>
        </is>
      </c>
      <c r="AL11" s="130" t="inlineStr">
        <is>
          <t>IRIS Vs Competitor Benchmark — SaaS sales ladder — IC: Mid-Market AE · IRIS Vs Competitor Benchmark — SaaS sales ladder — management: Sales Manager</t>
        </is>
      </c>
      <c r="AM11" s="130" t="inlineStr">
        <is>
          <t>SaaS sales ladder · SDR → AE → Enterprise AE → VP / CRO; MEDDICC-style qualification</t>
        </is>
      </c>
      <c r="AN11" s="131" t="inlineStr">
        <is>
          <t>Lateral</t>
        </is>
      </c>
      <c r="AO11" s="132" t="inlineStr">
        <is>
          <t>B3 · Lead Specialist</t>
        </is>
      </c>
      <c r="AP11" s="132" t="inlineStr">
        <is>
          <t>B3 · Senior Manager</t>
        </is>
      </c>
      <c r="AQ11" s="132" t="inlineStr">
        <is>
          <t>Data-driven selling, AI prospecting, ESG / regtech market knowledge</t>
        </is>
      </c>
    </row>
    <row r="12" ht="67" customHeight="1">
      <c r="A12" s="109" t="inlineStr">
        <is>
          <t>Datatech - Outreach</t>
        </is>
      </c>
      <c r="B12" s="111" t="inlineStr">
        <is>
          <t>Sales &amp; Business Development</t>
        </is>
      </c>
      <c r="C12" s="111" t="inlineStr">
        <is>
          <t>Field Outreach &amp; Programme Sales</t>
        </is>
      </c>
      <c r="D12" s="111" t="inlineStr">
        <is>
          <t>Program Manager – Outreach</t>
        </is>
      </c>
      <c r="E12" s="20" t="inlineStr">
        <is>
          <t>B2</t>
        </is>
      </c>
      <c r="F12" s="18" t="inlineStr">
        <is>
          <t>Manager</t>
        </is>
      </c>
      <c r="G12" s="111" t="inlineStr">
        <is>
          <t>People Manager</t>
        </is>
      </c>
      <c r="H12" s="112" t="n">
        <v>1</v>
      </c>
      <c r="I12" s="142" t="inlineStr">
        <is>
          <t>Deep domain expertise, or one team</t>
        </is>
      </c>
      <c r="J12" s="115" t="inlineStr">
        <is>
          <t>Hardest problems in the domain</t>
        </is>
      </c>
      <c r="K12" s="115" t="inlineStr">
        <is>
          <t>Allocates people and sets team priorities</t>
        </is>
      </c>
      <c r="L12" s="115" t="inlineStr">
        <is>
          <t>One team or a client portfolio</t>
        </is>
      </c>
      <c r="M12" s="115" t="inlineStr">
        <is>
          <r>
            <rPr>
              <rFont val="Calibri"/>
              <b val="1"/>
              <sz val="10"/>
            </rPr>
            <t>IC:</t>
          </r>
          <r>
            <rPr>
              <rFont val="Calibri"/>
              <sz val="10"/>
            </rPr>
            <t xml:space="preserve"> guides others in the domain · People: manages a team of 6+</t>
          </r>
        </is>
      </c>
      <c r="N12" s="182" t="inlineStr">
        <is>
          <t>6–9 yrs</t>
        </is>
      </c>
      <c r="O12" s="164" t="inlineStr">
        <is>
          <r>
            <rPr>
              <rFont val="Calibri"/>
              <sz val="10"/>
            </rPr>
            <t xml:space="preserve">Graduate or postgraduate; professional qualification preferred
</t>
          </r>
          <r>
            <rPr>
              <rFont val="Calibri"/>
              <b val="1"/>
              <sz val="10"/>
            </rPr>
            <t>Family:</t>
          </r>
          <r>
            <rPr>
              <rFont val="Calibri"/>
              <sz val="10"/>
            </rPr>
            <t xml:space="preserve"> Graduate; MBA preferred from B2</t>
          </r>
        </is>
      </c>
      <c r="P12" s="164" t="inlineStr">
        <is>
          <t>Google / HubSpot certifications</t>
        </is>
      </c>
      <c r="Q12" s="164" t="inlineStr">
        <is>
          <t>CRM hygiene; contract basics</t>
        </is>
      </c>
      <c r="R12" s="183" t="inlineStr">
        <is>
          <t>SM-B-M</t>
        </is>
      </c>
      <c r="S12" s="184" t="n">
        <v>0.32</v>
      </c>
      <c r="T12" s="184" t="n">
        <v>0.23</v>
      </c>
      <c r="U12" s="184" t="n">
        <v>0.06</v>
      </c>
      <c r="V12" s="184" t="n">
        <v>0.15</v>
      </c>
      <c r="W12" s="184" t="n">
        <v>0.1</v>
      </c>
      <c r="X12" s="184" t="n">
        <v>0.14</v>
      </c>
      <c r="Y12" s="121" t="inlineStr">
        <is>
          <t>★ Sales, Negotiation &amp; Account Growth · ★ Marketing Tech &amp; Digital Marketing</t>
        </is>
      </c>
      <c r="Z12" s="122" t="inlineStr">
        <is>
          <t>Stakeholder &amp; Client Management · Communication &amp; Presentation · Product, Platform &amp; Domain Knowledge · Strategic Thinking &amp; Business Acumen</t>
        </is>
      </c>
      <c r="AA12" s="122" t="inlineStr">
        <is>
          <t>—</t>
        </is>
      </c>
      <c r="AB12" s="122" t="inlineStr">
        <is>
          <t>Core 3 · Future-ready 3 · Functional 4 · Leadership 3</t>
        </is>
      </c>
      <c r="AC12" s="123" t="inlineStr">
        <is>
          <r>
            <rPr>
              <rFont val="Calibri"/>
              <b val="1"/>
              <sz val="10"/>
            </rPr>
            <t>IC:</t>
          </r>
          <r>
            <rPr>
              <rFont val="Calibri"/>
              <sz val="10"/>
            </rPr>
            <t xml:space="preserve"> none · People: 6–8 knowledge work, 8–12 standardised delivery</t>
          </r>
        </is>
      </c>
      <c r="AD12" s="185" t="inlineStr">
        <is>
          <t>M3</t>
        </is>
      </c>
      <c r="AE12" s="130" t="inlineStr">
        <is>
          <t>Senior / Manager</t>
        </is>
      </c>
      <c r="AF12" s="186" t="inlineStr">
        <is>
          <t>4–5</t>
        </is>
      </c>
      <c r="AG12" s="130" t="inlineStr">
        <is>
          <t>Manager</t>
        </is>
      </c>
      <c r="AH12" s="130" t="inlineStr">
        <is>
          <t>L5 · MS 63 · —</t>
        </is>
      </c>
      <c r="AI12" s="130" t="inlineStr">
        <is>
          <t>JL5 · C3A · L8 Associate Manager</t>
        </is>
      </c>
      <c r="AJ12" s="130" t="inlineStr">
        <is>
          <t>Manager</t>
        </is>
      </c>
      <c r="AK12" s="130" t="inlineStr">
        <is>
          <t>Radford / Pave, JobsPipe title hierarchy</t>
        </is>
      </c>
      <c r="AL12" s="130" t="inlineStr">
        <is>
          <t>IRIS Vs Competitor Benchmark — SaaS sales ladder — IC: Mid-Market AE · IRIS Vs Competitor Benchmark — SaaS sales ladder — management: Sales Manager</t>
        </is>
      </c>
      <c r="AM12" s="130" t="inlineStr">
        <is>
          <t>SaaS sales ladder · SDR → AE → Enterprise AE → VP / CRO; MEDDICC-style qualification</t>
        </is>
      </c>
      <c r="AN12" s="131" t="inlineStr">
        <is>
          <t>Lateral</t>
        </is>
      </c>
      <c r="AO12" s="132" t="inlineStr">
        <is>
          <t>B3 · Lead Specialist</t>
        </is>
      </c>
      <c r="AP12" s="132" t="inlineStr">
        <is>
          <t>B3 · Senior Manager</t>
        </is>
      </c>
      <c r="AQ12" s="132" t="inlineStr">
        <is>
          <t>Data-driven selling, AI prospecting, ESG / regtech market knowledge</t>
        </is>
      </c>
    </row>
    <row r="13">
      <c r="A13" s="187" t="n"/>
      <c r="B13" s="188" t="n"/>
      <c r="C13" s="188" t="n"/>
      <c r="D13" s="188" t="n"/>
      <c r="E13" s="188" t="n"/>
      <c r="F13" s="188" t="n"/>
      <c r="G13" s="188" t="n"/>
      <c r="H13" s="188" t="n"/>
      <c r="I13" s="189" t="n"/>
      <c r="J13" s="190" t="n"/>
      <c r="K13" s="190" t="n"/>
      <c r="L13" s="190" t="n"/>
      <c r="M13" s="190" t="n"/>
      <c r="N13" s="191" t="n"/>
      <c r="O13" s="192" t="n"/>
      <c r="P13" s="192" t="n"/>
      <c r="Q13" s="192" t="n"/>
      <c r="R13" s="193" t="n"/>
      <c r="S13" s="194" t="n"/>
      <c r="T13" s="194" t="n"/>
      <c r="U13" s="194" t="n"/>
      <c r="V13" s="194" t="n"/>
      <c r="W13" s="194" t="n"/>
      <c r="X13" s="194" t="n"/>
      <c r="Y13" s="195" t="n"/>
      <c r="Z13" s="196" t="n"/>
      <c r="AA13" s="196" t="n"/>
      <c r="AB13" s="196" t="n"/>
      <c r="AC13" s="197" t="n"/>
      <c r="AD13" s="198" t="n"/>
      <c r="AE13" s="199" t="n"/>
      <c r="AF13" s="199" t="n"/>
      <c r="AG13" s="199" t="n"/>
      <c r="AH13" s="199" t="n"/>
      <c r="AI13" s="199" t="n"/>
      <c r="AJ13" s="199" t="n"/>
      <c r="AK13" s="199" t="n"/>
      <c r="AL13" s="199" t="n"/>
      <c r="AM13" s="199" t="n"/>
      <c r="AN13" s="200" t="n"/>
      <c r="AO13" s="201" t="n"/>
      <c r="AP13" s="201" t="n"/>
      <c r="AQ13" s="201" t="n"/>
    </row>
    <row r="14" ht="20" customHeight="1">
      <c r="A14" s="160" t="inlineStr">
        <is>
          <t>Datatech Business Head — 1 person · 1 role · General management · levels D2</t>
        </is>
      </c>
    </row>
    <row r="15" ht="67" customHeight="1">
      <c r="A15" s="109" t="inlineStr">
        <is>
          <t>Datatech Business Head</t>
        </is>
      </c>
      <c r="B15" s="111" t="inlineStr">
        <is>
          <t>Executive Leadership</t>
        </is>
      </c>
      <c r="C15" s="111" t="inlineStr">
        <is>
          <t>Business &amp; Functional Leadership</t>
        </is>
      </c>
      <c r="D15" s="111" t="inlineStr">
        <is>
          <t>Business Head – DataTech</t>
        </is>
      </c>
      <c r="E15" s="39" t="inlineStr">
        <is>
          <t>D2</t>
        </is>
      </c>
      <c r="F15" s="146" t="inlineStr">
        <is>
          <t>Vice President</t>
        </is>
      </c>
      <c r="G15" s="111" t="inlineStr">
        <is>
          <t>People Manager</t>
        </is>
      </c>
      <c r="H15" s="112" t="n">
        <v>1</v>
      </c>
      <c r="I15" s="142" t="inlineStr">
        <is>
          <t>Several business lines or an executive-scope enterprise function</t>
        </is>
      </c>
      <c r="J15" s="115" t="inlineStr">
        <is>
          <t>Portfolio-level strategic, financial and regulatory trade-offs</t>
        </is>
      </c>
      <c r="K15" s="115" t="inlineStr">
        <is>
          <t>Sets direction across business lines</t>
        </is>
      </c>
      <c r="L15" s="115" t="inlineStr">
        <is>
          <t>Multi-business results</t>
        </is>
      </c>
      <c r="M15" s="115" t="inlineStr">
        <is>
          <t>Builds the leadership team across businesses</t>
        </is>
      </c>
      <c r="N15" s="182" t="inlineStr">
        <is>
          <t>18–24 yrs</t>
        </is>
      </c>
      <c r="O15" s="164" t="inlineStr">
        <is>
          <r>
            <rPr>
              <rFont val="Calibri"/>
              <sz val="10"/>
            </rPr>
            <t xml:space="preserve">Postgraduate / professional qualification preferred
</t>
          </r>
          <r>
            <rPr>
              <rFont val="Calibri"/>
              <b val="1"/>
              <sz val="10"/>
            </rPr>
            <t>Family:</t>
          </r>
          <r>
            <rPr>
              <rFont val="Calibri"/>
              <sz val="10"/>
            </rPr>
            <t xml:space="preserve"> Postgraduate / professional qualification</t>
          </r>
        </is>
      </c>
      <c r="P15" s="164" t="inlineStr">
        <is>
          <t>MBA / PGDM · preferred at C+</t>
        </is>
      </c>
      <c r="Q15" s="164" t="inlineStr">
        <is>
          <t>Governance, risk and regulatory accountability</t>
        </is>
      </c>
      <c r="R15" s="183" t="inlineStr">
        <is>
          <t>GM-DE</t>
        </is>
      </c>
      <c r="S15" s="184" t="n">
        <v>0.37</v>
      </c>
      <c r="T15" s="184" t="n">
        <v>0.19</v>
      </c>
      <c r="U15" s="184" t="n">
        <v>0.11</v>
      </c>
      <c r="V15" s="184" t="n">
        <v>0.2</v>
      </c>
      <c r="W15" s="184" t="n">
        <v>0.05</v>
      </c>
      <c r="X15" s="184" t="n">
        <v>0.08</v>
      </c>
      <c r="Y15" s="121" t="inlineStr">
        <is>
          <t>★ Strategic Thinking &amp; Business Acumen · ★ People Leadership &amp; Mentoring</t>
        </is>
      </c>
      <c r="Z15" s="122" t="inlineStr">
        <is>
          <t>Stakeholder &amp; Client Management · Product, Platform &amp; Domain Knowledge · Regulatory &amp; BFSI Domain · Communication &amp; Presentation</t>
        </is>
      </c>
      <c r="AA15" s="122" t="inlineStr">
        <is>
          <t>—</t>
        </is>
      </c>
      <c r="AB15" s="122" t="inlineStr">
        <is>
          <t>Core 5 · Future-ready 4 · Functional 4 · Leadership 5</t>
        </is>
      </c>
      <c r="AC15" s="123" t="inlineStr">
        <is>
          <t>5–8 AVPs / heads</t>
        </is>
      </c>
      <c r="AD15" s="185" t="inlineStr">
        <is>
          <t>E1–E2</t>
        </is>
      </c>
      <c r="AE15" s="130" t="inlineStr">
        <is>
          <t>SVP</t>
        </is>
      </c>
      <c r="AF15" s="186" t="inlineStr">
        <is>
          <t>7 Set strategy</t>
        </is>
      </c>
      <c r="AG15" s="130" t="inlineStr">
        <is>
          <t>Associate Vice President / Business Head</t>
        </is>
      </c>
      <c r="AH15" s="130" t="inlineStr">
        <is>
          <t>L8 · MS 68 · —</t>
        </is>
      </c>
      <c r="AI15" s="130" t="inlineStr">
        <is>
          <t>— · SP1 · —</t>
        </is>
      </c>
      <c r="AJ15" s="130" t="inlineStr">
        <is>
          <t>Partner</t>
        </is>
      </c>
      <c r="AK15" s="130" t="inlineStr">
        <is>
          <t>Radford / Pave</t>
        </is>
      </c>
      <c r="AL15" s="130" t="inlineStr">
        <is>
          <t>IRIS Vs Market Benchmark — Aon Radford / Mercer executive codes: E3–E4 SVP · IRIS Vs Competitor Benchmark — regtech / SaaS executive titles: SVP</t>
        </is>
      </c>
      <c r="AM15" s="130" t="inlineStr">
        <is>
          <t>Aon Radford executive levels E1–E6; Mercer ET1–ET3; Korn Ferry Leadership Architect</t>
        </is>
      </c>
      <c r="AN15" s="131" t="inlineStr">
        <is>
          <t>Internal first; lateral by exception</t>
        </is>
      </c>
      <c r="AO15" s="132" t="inlineStr">
        <is>
          <t>—</t>
        </is>
      </c>
      <c r="AP15" s="132" t="inlineStr">
        <is>
          <t>E1 · CXO / President</t>
        </is>
      </c>
      <c r="AQ15" s="132" t="inlineStr">
        <is>
          <t>AI strategy &amp; governance, sustainability, digital business models</t>
        </is>
      </c>
    </row>
    <row r="16">
      <c r="A16" s="187" t="n"/>
      <c r="B16" s="188" t="n"/>
      <c r="C16" s="188" t="n"/>
      <c r="D16" s="188" t="n"/>
      <c r="E16" s="188" t="n"/>
      <c r="F16" s="188" t="n"/>
      <c r="G16" s="188" t="n"/>
      <c r="H16" s="188" t="n"/>
      <c r="I16" s="189" t="n"/>
      <c r="J16" s="190" t="n"/>
      <c r="K16" s="190" t="n"/>
      <c r="L16" s="190" t="n"/>
      <c r="M16" s="190" t="n"/>
      <c r="N16" s="191" t="n"/>
      <c r="O16" s="192" t="n"/>
      <c r="P16" s="192" t="n"/>
      <c r="Q16" s="192" t="n"/>
      <c r="R16" s="193" t="n"/>
      <c r="S16" s="194" t="n"/>
      <c r="T16" s="194" t="n"/>
      <c r="U16" s="194" t="n"/>
      <c r="V16" s="194" t="n"/>
      <c r="W16" s="194" t="n"/>
      <c r="X16" s="194" t="n"/>
      <c r="Y16" s="195" t="n"/>
      <c r="Z16" s="196" t="n"/>
      <c r="AA16" s="196" t="n"/>
      <c r="AB16" s="196" t="n"/>
      <c r="AC16" s="197" t="n"/>
      <c r="AD16" s="198" t="n"/>
      <c r="AE16" s="199" t="n"/>
      <c r="AF16" s="199" t="n"/>
      <c r="AG16" s="199" t="n"/>
      <c r="AH16" s="199" t="n"/>
      <c r="AI16" s="199" t="n"/>
      <c r="AJ16" s="199" t="n"/>
      <c r="AK16" s="199" t="n"/>
      <c r="AL16" s="199" t="n"/>
      <c r="AM16" s="199" t="n"/>
      <c r="AN16" s="200" t="n"/>
      <c r="AO16" s="201" t="n"/>
      <c r="AP16" s="201" t="n"/>
      <c r="AQ16" s="201" t="n"/>
    </row>
    <row r="17" ht="20" customHeight="1">
      <c r="A17" s="160" t="inlineStr">
        <is>
          <t>Marketing — 5 people · 5 roles · Sales &amp; marketing · levels A2–B2 + X1</t>
        </is>
      </c>
    </row>
    <row r="18" ht="67" customHeight="1">
      <c r="A18" s="109" t="inlineStr">
        <is>
          <t>Marketing</t>
        </is>
      </c>
      <c r="B18" s="111" t="inlineStr">
        <is>
          <t>Design &amp; Creative</t>
        </is>
      </c>
      <c r="C18" s="111" t="inlineStr">
        <is>
          <t>Brand, Graphic &amp; Video Design</t>
        </is>
      </c>
      <c r="D18" s="111" t="inlineStr">
        <is>
          <t>Designer</t>
        </is>
      </c>
      <c r="E18" s="26" t="inlineStr">
        <is>
          <t>A2</t>
        </is>
      </c>
      <c r="F18" s="140" t="inlineStr">
        <is>
          <t>Associate</t>
        </is>
      </c>
      <c r="G18" s="111" t="inlineStr">
        <is>
          <t>IC</t>
        </is>
      </c>
      <c r="H18" s="112" t="n">
        <v>1</v>
      </c>
      <c r="I18" s="142" t="inlineStr">
        <is>
          <t>Standard work delivered independently</t>
        </is>
      </c>
      <c r="J18" s="115" t="inlineStr">
        <is>
          <t>Standard work of the discipline</t>
        </is>
      </c>
      <c r="K18" s="115" t="inlineStr">
        <is>
          <t>Chooses own approach within standards</t>
        </is>
      </c>
      <c r="L18" s="115" t="inlineStr">
        <is>
          <t>Own deliverables · accuracy, TAT</t>
        </is>
      </c>
      <c r="M18" s="115" t="inlineStr">
        <is>
          <t>Not scored in Band A</t>
        </is>
      </c>
      <c r="N18" s="182" t="inlineStr">
        <is>
          <t>0–2 yrs</t>
        </is>
      </c>
      <c r="O18" s="164" t="inlineStr">
        <is>
          <r>
            <rPr>
              <rFont val="Calibri"/>
              <sz val="10"/>
            </rPr>
            <t xml:space="preserve">Graduate · or diploma with experience
</t>
          </r>
          <r>
            <rPr>
              <rFont val="Calibri"/>
              <b val="1"/>
              <sz val="10"/>
            </rPr>
            <t>Family:</t>
          </r>
          <r>
            <rPr>
              <rFont val="Calibri"/>
              <sz val="10"/>
            </rPr>
            <t xml:space="preserve"> Graduate in design / communication</t>
          </r>
        </is>
      </c>
      <c r="P18" s="164" t="inlineStr">
        <is>
          <t>Internal product certification</t>
        </is>
      </c>
      <c r="Q18" s="164" t="inlineStr">
        <is>
          <t>Brand and accessibility standards · WCAG</t>
        </is>
      </c>
      <c r="R18" s="183" t="inlineStr">
        <is>
          <t>SM-A</t>
        </is>
      </c>
      <c r="S18" s="184" t="n">
        <v>0.54</v>
      </c>
      <c r="T18" s="184" t="n">
        <v>0.21</v>
      </c>
      <c r="U18" s="184" t="n">
        <v>0.04</v>
      </c>
      <c r="V18" s="184" t="n">
        <v>0</v>
      </c>
      <c r="W18" s="184" t="n">
        <v>0.1</v>
      </c>
      <c r="X18" s="184" t="n">
        <v>0.11</v>
      </c>
      <c r="Y18" s="121" t="inlineStr">
        <is>
          <t>★ Product, Platform &amp; Domain Knowledge · ★ Communication &amp; Presentation</t>
        </is>
      </c>
      <c r="Z18" s="122" t="inlineStr">
        <is>
          <t>Marketing Tech &amp; Digital Marketing · Process Improvement &amp; Quality Mindset · AI, GenAI &amp; Prompt Engineering · Stakeholder &amp; Client Management</t>
        </is>
      </c>
      <c r="AA18" s="122" t="inlineStr">
        <is>
          <t>—</t>
        </is>
      </c>
      <c r="AB18" s="122" t="inlineStr">
        <is>
          <t>Core 2 · Future-ready 2 · Functional 2 · Leadership —</t>
        </is>
      </c>
      <c r="AC18" s="123" t="inlineStr">
        <is>
          <t>No direct reports</t>
        </is>
      </c>
      <c r="AD18" s="185" t="inlineStr">
        <is>
          <t>P1–P2</t>
        </is>
      </c>
      <c r="AE18" s="130" t="inlineStr">
        <is>
          <t>Entry / Developing</t>
        </is>
      </c>
      <c r="AF18" s="186" t="inlineStr">
        <is>
          <t>2 Assist</t>
        </is>
      </c>
      <c r="AG18" s="130" t="inlineStr">
        <is>
          <t>Junior Designer / Designer</t>
        </is>
      </c>
      <c r="AH18" s="130" t="inlineStr">
        <is>
          <t>L3 · MS 59–60 · —</t>
        </is>
      </c>
      <c r="AI18" s="130" t="inlineStr">
        <is>
          <t>JL3B · C1 · L11 Analyst</t>
        </is>
      </c>
      <c r="AJ18" s="130" t="inlineStr">
        <is>
          <t>Analyst · DataTracks Associate</t>
        </is>
      </c>
      <c r="AK18" s="130" t="inlineStr">
        <is>
          <t>Radford / Pave</t>
        </is>
      </c>
      <c r="AL18" s="130" t="inlineStr">
        <is>
          <t>IRIS Vs Competitor Benchmark — UX / design ladder: Junior Designer</t>
        </is>
      </c>
      <c r="AM18" s="130" t="inlineStr">
        <is>
          <t>UX career ladder Junior → Designer → Senior → Lead → Principal; WCAG accessibility</t>
        </is>
      </c>
      <c r="AN18" s="131" t="inlineStr">
        <is>
          <t>Lateral or campus · CT1 on confirmation; CT2 on joining</t>
        </is>
      </c>
      <c r="AO18" s="132" t="inlineStr">
        <is>
          <t>A3 · Senior Associate</t>
        </is>
      </c>
      <c r="AP18" s="132" t="inlineStr">
        <is>
          <t>A3 · common path</t>
        </is>
      </c>
      <c r="AQ18" s="132" t="inlineStr">
        <is>
          <t>AI-assisted design, design systems</t>
        </is>
      </c>
    </row>
    <row r="19" ht="80" customHeight="1">
      <c r="A19" s="109" t="inlineStr">
        <is>
          <t>Marketing</t>
        </is>
      </c>
      <c r="B19" s="111" t="inlineStr">
        <is>
          <t>Marketing &amp; Communications</t>
        </is>
      </c>
      <c r="C19" s="111" t="inlineStr">
        <is>
          <t>Content Marketing</t>
        </is>
      </c>
      <c r="D19" s="111" t="inlineStr">
        <is>
          <t>Senior Content Marketing Associate</t>
        </is>
      </c>
      <c r="E19" s="26" t="inlineStr">
        <is>
          <t>A3</t>
        </is>
      </c>
      <c r="F19" s="140" t="inlineStr">
        <is>
          <t>Senior Associate</t>
        </is>
      </c>
      <c r="G19" s="111" t="inlineStr">
        <is>
          <t>IC</t>
        </is>
      </c>
      <c r="H19" s="112" t="n">
        <v>1</v>
      </c>
      <c r="I19" s="142" t="inlineStr">
        <is>
          <t>Varied work; reviews juniors; go-to for a process</t>
        </is>
      </c>
      <c r="J19" s="115" t="inlineStr">
        <is>
          <t>Varied and non-standard work; handles exceptions</t>
        </is>
      </c>
      <c r="K19" s="115" t="inlineStr">
        <is>
          <t>Technical / QC / client calls on own work</t>
        </is>
      </c>
      <c r="L19" s="115" t="inlineStr">
        <is>
          <t>A module / process, or work with client or regulatory consequences</t>
        </is>
      </c>
      <c r="M19" s="115" t="inlineStr">
        <is>
          <t>Not scored in Band A</t>
        </is>
      </c>
      <c r="N19" s="182" t="inlineStr">
        <is>
          <t>2–4 yrs</t>
        </is>
      </c>
      <c r="O19" s="164" t="inlineStr">
        <is>
          <r>
            <rPr>
              <rFont val="Calibri"/>
              <sz val="10"/>
            </rPr>
            <t xml:space="preserve">Graduate; relevant certification preferred
</t>
          </r>
          <r>
            <rPr>
              <rFont val="Calibri"/>
              <b val="1"/>
              <sz val="10"/>
            </rPr>
            <t>Family:</t>
          </r>
          <r>
            <rPr>
              <rFont val="Calibri"/>
              <sz val="10"/>
            </rPr>
            <t xml:space="preserve"> Graduate / MBA · marketing</t>
          </r>
        </is>
      </c>
      <c r="P19" s="164" t="inlineStr">
        <is>
          <t>Google / HubSpot certifications</t>
        </is>
      </c>
      <c r="Q19" s="164" t="inlineStr">
        <is>
          <t>Brand and data-privacy rules for campaigns</t>
        </is>
      </c>
      <c r="R19" s="183" t="inlineStr">
        <is>
          <t>SM-A</t>
        </is>
      </c>
      <c r="S19" s="184" t="n">
        <v>0.54</v>
      </c>
      <c r="T19" s="184" t="n">
        <v>0.21</v>
      </c>
      <c r="U19" s="184" t="n">
        <v>0.04</v>
      </c>
      <c r="V19" s="184" t="n">
        <v>0</v>
      </c>
      <c r="W19" s="184" t="n">
        <v>0.1</v>
      </c>
      <c r="X19" s="184" t="n">
        <v>0.11</v>
      </c>
      <c r="Y19" s="121" t="inlineStr">
        <is>
          <t>★ Marketing Tech &amp; Digital Marketing · ★ Communication &amp; Presentation</t>
        </is>
      </c>
      <c r="Z19" s="122" t="inlineStr">
        <is>
          <t>Data Analytics, BI &amp; Visualisation · AI, GenAI &amp; Prompt Engineering · Product, Platform &amp; Domain Knowledge · Strategic Thinking &amp; Business Acumen</t>
        </is>
      </c>
      <c r="AA19" s="122" t="inlineStr">
        <is>
          <t>—</t>
        </is>
      </c>
      <c r="AB19" s="122" t="inlineStr">
        <is>
          <t>Core 2 · Future-ready 2 · Functional 3 · Leadership —</t>
        </is>
      </c>
      <c r="AC19" s="123" t="inlineStr">
        <is>
          <t>None · guides 1–3 juniors informally</t>
        </is>
      </c>
      <c r="AD19" s="185" t="inlineStr">
        <is>
          <t>P2</t>
        </is>
      </c>
      <c r="AE19" s="130" t="inlineStr">
        <is>
          <t>Developing</t>
        </is>
      </c>
      <c r="AF19" s="186" t="inlineStr">
        <is>
          <t>3 Apply</t>
        </is>
      </c>
      <c r="AG19" s="130" t="inlineStr">
        <is>
          <t>Marketing Executive</t>
        </is>
      </c>
      <c r="AH19" s="130" t="inlineStr">
        <is>
          <t>L3–L4 · MS 61–62 · —</t>
        </is>
      </c>
      <c r="AI19" s="130" t="inlineStr">
        <is>
          <t>JL3A · C1 · L11–L10 · Senior Analyst</t>
        </is>
      </c>
      <c r="AJ19" s="130" t="inlineStr">
        <is>
          <t>Consultant · DataTracks Senior Associate · 2–5 yrs</t>
        </is>
      </c>
      <c r="AK19" s="130" t="inlineStr">
        <is>
          <t>Radford / Pave</t>
        </is>
      </c>
      <c r="AL19" s="130" t="inlineStr">
        <is>
          <t>IRIS Vs Market Benchmark — CIM proficiency scale: 2–3 · IRIS Vs Competitor Benchmark — SaaS marketing ladder: Marketing Specialist</t>
        </is>
      </c>
      <c r="AM19" s="130" t="inlineStr">
        <is>
          <t>CIM Global Professional Marketing Framework — proficiency Aware → Active learner → Able → Accomplished → Authoritative</t>
        </is>
      </c>
      <c r="AN19" s="131" t="inlineStr">
        <is>
          <t>Lateral or campus · CT2 at 12 months; CT3 in programme</t>
        </is>
      </c>
      <c r="AO19" s="132" t="inlineStr">
        <is>
          <t>B1 · Specialist</t>
        </is>
      </c>
      <c r="AP19" s="132" t="inlineStr">
        <is>
          <t>B1 · Team Lead</t>
        </is>
      </c>
      <c r="AQ19" s="132" t="inlineStr">
        <is>
          <t>AI content &amp; marketing automation, marketing analytics</t>
        </is>
      </c>
    </row>
    <row r="20" ht="80" customHeight="1">
      <c r="A20" s="109" t="inlineStr">
        <is>
          <t>Marketing</t>
        </is>
      </c>
      <c r="B20" s="111" t="inlineStr">
        <is>
          <t>Marketing &amp; Communications</t>
        </is>
      </c>
      <c r="C20" s="111" t="inlineStr">
        <is>
          <t>Digital Marketing, Web &amp; Social</t>
        </is>
      </c>
      <c r="D20" s="111" t="inlineStr">
        <is>
          <t>Senior Digital Marketing Associate</t>
        </is>
      </c>
      <c r="E20" s="26" t="inlineStr">
        <is>
          <t>A3</t>
        </is>
      </c>
      <c r="F20" s="140" t="inlineStr">
        <is>
          <t>Senior Associate</t>
        </is>
      </c>
      <c r="G20" s="111" t="inlineStr">
        <is>
          <t>IC</t>
        </is>
      </c>
      <c r="H20" s="112" t="n">
        <v>1</v>
      </c>
      <c r="I20" s="142" t="inlineStr">
        <is>
          <t>Varied work; reviews juniors; go-to for a process</t>
        </is>
      </c>
      <c r="J20" s="115" t="inlineStr">
        <is>
          <t>Varied and non-standard work; handles exceptions</t>
        </is>
      </c>
      <c r="K20" s="115" t="inlineStr">
        <is>
          <t>Technical / QC / client calls on own work</t>
        </is>
      </c>
      <c r="L20" s="115" t="inlineStr">
        <is>
          <t>A module / process, or work with client or regulatory consequences</t>
        </is>
      </c>
      <c r="M20" s="115" t="inlineStr">
        <is>
          <t>Not scored in Band A</t>
        </is>
      </c>
      <c r="N20" s="182" t="inlineStr">
        <is>
          <t>2–4 yrs</t>
        </is>
      </c>
      <c r="O20" s="164" t="inlineStr">
        <is>
          <r>
            <rPr>
              <rFont val="Calibri"/>
              <sz val="10"/>
            </rPr>
            <t xml:space="preserve">Graduate; relevant certification preferred
</t>
          </r>
          <r>
            <rPr>
              <rFont val="Calibri"/>
              <b val="1"/>
              <sz val="10"/>
            </rPr>
            <t>Family:</t>
          </r>
          <r>
            <rPr>
              <rFont val="Calibri"/>
              <sz val="10"/>
            </rPr>
            <t xml:space="preserve"> Graduate / MBA · marketing</t>
          </r>
        </is>
      </c>
      <c r="P20" s="164" t="inlineStr">
        <is>
          <t>Google / HubSpot certifications</t>
        </is>
      </c>
      <c r="Q20" s="164" t="inlineStr">
        <is>
          <t>Brand and data-privacy rules for campaigns</t>
        </is>
      </c>
      <c r="R20" s="183" t="inlineStr">
        <is>
          <t>SM-A</t>
        </is>
      </c>
      <c r="S20" s="184" t="n">
        <v>0.54</v>
      </c>
      <c r="T20" s="184" t="n">
        <v>0.21</v>
      </c>
      <c r="U20" s="184" t="n">
        <v>0.04</v>
      </c>
      <c r="V20" s="184" t="n">
        <v>0</v>
      </c>
      <c r="W20" s="184" t="n">
        <v>0.1</v>
      </c>
      <c r="X20" s="184" t="n">
        <v>0.11</v>
      </c>
      <c r="Y20" s="121" t="inlineStr">
        <is>
          <t>★ Marketing Tech &amp; Digital Marketing · ★ Communication &amp; Presentation</t>
        </is>
      </c>
      <c r="Z20" s="122" t="inlineStr">
        <is>
          <t>Data Analytics, BI &amp; Visualisation · AI, GenAI &amp; Prompt Engineering · Product, Platform &amp; Domain Knowledge · Strategic Thinking &amp; Business Acumen</t>
        </is>
      </c>
      <c r="AA20" s="122" t="inlineStr">
        <is>
          <t>—</t>
        </is>
      </c>
      <c r="AB20" s="122" t="inlineStr">
        <is>
          <t>Core 2 · Future-ready 2 · Functional 3 · Leadership —</t>
        </is>
      </c>
      <c r="AC20" s="123" t="inlineStr">
        <is>
          <t>None · guides 1–3 juniors informally</t>
        </is>
      </c>
      <c r="AD20" s="185" t="inlineStr">
        <is>
          <t>P2</t>
        </is>
      </c>
      <c r="AE20" s="130" t="inlineStr">
        <is>
          <t>Developing</t>
        </is>
      </c>
      <c r="AF20" s="186" t="inlineStr">
        <is>
          <t>3 Apply</t>
        </is>
      </c>
      <c r="AG20" s="130" t="inlineStr">
        <is>
          <t>Marketing Executive</t>
        </is>
      </c>
      <c r="AH20" s="130" t="inlineStr">
        <is>
          <t>L3–L4 · MS 61–62 · —</t>
        </is>
      </c>
      <c r="AI20" s="130" t="inlineStr">
        <is>
          <t>JL3A · C1 · L11–L10 · Senior Analyst</t>
        </is>
      </c>
      <c r="AJ20" s="130" t="inlineStr">
        <is>
          <t>Consultant · DataTracks Senior Associate · 2–5 yrs</t>
        </is>
      </c>
      <c r="AK20" s="130" t="inlineStr">
        <is>
          <t>Radford / Pave</t>
        </is>
      </c>
      <c r="AL20" s="130" t="inlineStr">
        <is>
          <t>IRIS Vs Market Benchmark — CIM proficiency scale: 2–3 · IRIS Vs Competitor Benchmark — SaaS marketing ladder: Marketing Specialist</t>
        </is>
      </c>
      <c r="AM20" s="130" t="inlineStr">
        <is>
          <t>CIM Global Professional Marketing Framework — proficiency Aware → Active learner → Able → Accomplished → Authoritative</t>
        </is>
      </c>
      <c r="AN20" s="131" t="inlineStr">
        <is>
          <t>Lateral or campus · CT2 at 12 months; CT3 in programme</t>
        </is>
      </c>
      <c r="AO20" s="132" t="inlineStr">
        <is>
          <t>B1 · Specialist</t>
        </is>
      </c>
      <c r="AP20" s="132" t="inlineStr">
        <is>
          <t>B1 · Team Lead</t>
        </is>
      </c>
      <c r="AQ20" s="132" t="inlineStr">
        <is>
          <t>AI content &amp; marketing automation, marketing analytics</t>
        </is>
      </c>
    </row>
    <row r="21" ht="80" customHeight="1">
      <c r="A21" s="109" t="inlineStr">
        <is>
          <t>Marketing</t>
        </is>
      </c>
      <c r="B21" s="111" t="inlineStr">
        <is>
          <t>Marketing &amp; Communications</t>
        </is>
      </c>
      <c r="C21" s="111" t="inlineStr">
        <is>
          <t>Marketing Leadership</t>
        </is>
      </c>
      <c r="D21" s="111" t="inlineStr">
        <is>
          <t>Marketing Specialist – POD Lead</t>
        </is>
      </c>
      <c r="E21" s="20" t="inlineStr">
        <is>
          <t>B2</t>
        </is>
      </c>
      <c r="F21" s="18" t="inlineStr">
        <is>
          <t>Senior Specialist · POD Lead</t>
        </is>
      </c>
      <c r="G21" s="111" t="inlineStr">
        <is>
          <t>POD Lead</t>
        </is>
      </c>
      <c r="H21" s="112" t="n">
        <v>1</v>
      </c>
      <c r="I21" s="142" t="inlineStr">
        <is>
          <t>Deep domain expertise, or one team</t>
        </is>
      </c>
      <c r="J21" s="115" t="inlineStr">
        <is>
          <t>Hardest problems in the domain</t>
        </is>
      </c>
      <c r="K21" s="115" t="inlineStr">
        <is>
          <t>Allocates people and sets team priorities</t>
        </is>
      </c>
      <c r="L21" s="115" t="inlineStr">
        <is>
          <t>One team or a client portfolio</t>
        </is>
      </c>
      <c r="M21" s="115" t="inlineStr">
        <is>
          <r>
            <rPr>
              <rFont val="Calibri"/>
              <b val="1"/>
              <sz val="10"/>
            </rPr>
            <t>IC:</t>
          </r>
          <r>
            <rPr>
              <rFont val="Calibri"/>
              <sz val="10"/>
            </rPr>
            <t xml:space="preserve"> guides others in the domain · People: manages a team of 6+</t>
          </r>
        </is>
      </c>
      <c r="N21" s="182" t="inlineStr">
        <is>
          <t>6–9 yrs</t>
        </is>
      </c>
      <c r="O21" s="164" t="inlineStr">
        <is>
          <r>
            <rPr>
              <rFont val="Calibri"/>
              <sz val="10"/>
            </rPr>
            <t xml:space="preserve">Graduate or postgraduate; professional qualification preferred
</t>
          </r>
          <r>
            <rPr>
              <rFont val="Calibri"/>
              <b val="1"/>
              <sz val="10"/>
            </rPr>
            <t>Family:</t>
          </r>
          <r>
            <rPr>
              <rFont val="Calibri"/>
              <sz val="10"/>
            </rPr>
            <t xml:space="preserve"> Graduate / MBA · marketing</t>
          </r>
        </is>
      </c>
      <c r="P21" s="164" t="inlineStr">
        <is>
          <t>Google / HubSpot certifications</t>
        </is>
      </c>
      <c r="Q21" s="164" t="inlineStr">
        <is>
          <t>Brand and data-privacy rules for campaigns</t>
        </is>
      </c>
      <c r="R21" s="183" t="inlineStr">
        <is>
          <t>SM-B-IC</t>
        </is>
      </c>
      <c r="S21" s="184" t="n">
        <v>0.46</v>
      </c>
      <c r="T21" s="184" t="n">
        <v>0.22</v>
      </c>
      <c r="U21" s="184" t="n">
        <v>0.05</v>
      </c>
      <c r="V21" s="184" t="n">
        <v>0.05</v>
      </c>
      <c r="W21" s="184" t="n">
        <v>0.1</v>
      </c>
      <c r="X21" s="184" t="n">
        <v>0.12</v>
      </c>
      <c r="Y21" s="121" t="inlineStr">
        <is>
          <t>★ Marketing Tech &amp; Digital Marketing · ★ Communication &amp; Presentation</t>
        </is>
      </c>
      <c r="Z21" s="122" t="inlineStr">
        <is>
          <t>Data Analytics, BI &amp; Visualisation · AI, GenAI &amp; Prompt Engineering · Product, Platform &amp; Domain Knowledge · Strategic Thinking &amp; Business Acumen</t>
        </is>
      </c>
      <c r="AA21" s="122" t="inlineStr">
        <is>
          <t>—</t>
        </is>
      </c>
      <c r="AB21" s="122" t="inlineStr">
        <is>
          <t>Core 3 · Future-ready 3 · Functional 4 · Leadership 3</t>
        </is>
      </c>
      <c r="AC21" s="123" t="inlineStr">
        <is>
          <r>
            <rPr>
              <rFont val="Calibri"/>
              <b val="1"/>
              <sz val="10"/>
            </rPr>
            <t>IC:</t>
          </r>
          <r>
            <rPr>
              <rFont val="Calibri"/>
              <sz val="10"/>
            </rPr>
            <t xml:space="preserve"> none · People: 6–8 knowledge work, 8–12 standardised delivery</t>
          </r>
        </is>
      </c>
      <c r="AD21" s="185" t="inlineStr">
        <is>
          <t>P3</t>
        </is>
      </c>
      <c r="AE21" s="130" t="inlineStr">
        <is>
          <t>Senior / Manager</t>
        </is>
      </c>
      <c r="AF21" s="186" t="inlineStr">
        <is>
          <t>4–5</t>
        </is>
      </c>
      <c r="AG21" s="130" t="inlineStr">
        <is>
          <t>Senior Executive / Specialist</t>
        </is>
      </c>
      <c r="AH21" s="130" t="inlineStr">
        <is>
          <t>L5 · MS 63 · —</t>
        </is>
      </c>
      <c r="AI21" s="130" t="inlineStr">
        <is>
          <t>JL5 · C3A · L8 Associate Manager</t>
        </is>
      </c>
      <c r="AJ21" s="130" t="inlineStr">
        <is>
          <t>Manager</t>
        </is>
      </c>
      <c r="AK21" s="130" t="inlineStr">
        <is>
          <t>Radford / Pave</t>
        </is>
      </c>
      <c r="AL21" s="130" t="inlineStr">
        <is>
          <t>IRIS Vs Market Benchmark — CIM proficiency scale: 3–4 · IRIS Vs Competitor Benchmark — SaaS marketing ladder: Marketing Manager</t>
        </is>
      </c>
      <c r="AM21" s="130" t="inlineStr">
        <is>
          <t>CIM Global Professional Marketing Framework — proficiency Aware → Active learner → Able → Accomplished → Authoritative</t>
        </is>
      </c>
      <c r="AN21" s="131" t="inlineStr">
        <is>
          <t>Lateral</t>
        </is>
      </c>
      <c r="AO21" s="132" t="inlineStr">
        <is>
          <t>B3 · Lead Specialist</t>
        </is>
      </c>
      <c r="AP21" s="132" t="inlineStr">
        <is>
          <t>B3 · Senior Manager</t>
        </is>
      </c>
      <c r="AQ21" s="132" t="inlineStr">
        <is>
          <t>AI content &amp; marketing automation, marketing analytics</t>
        </is>
      </c>
    </row>
    <row r="22" ht="67" customHeight="1">
      <c r="A22" s="109" t="inlineStr">
        <is>
          <t>Marketing</t>
        </is>
      </c>
      <c r="B22" s="111" t="inlineStr">
        <is>
          <t>Marketing &amp; Communications</t>
        </is>
      </c>
      <c r="C22" s="111" t="inlineStr">
        <is>
          <t>Marketing · role not recorded</t>
        </is>
      </c>
      <c r="D22" s="111" t="inlineStr">
        <is>
          <t>Associate Consultant – Demand Generation, Brand &amp; Events</t>
        </is>
      </c>
      <c r="E22" s="45" t="inlineStr">
        <is>
          <t>X1</t>
        </is>
      </c>
      <c r="F22" s="136" t="inlineStr">
        <is>
          <t>Associate Consultant</t>
        </is>
      </c>
      <c r="G22" s="111" t="inlineStr">
        <is>
          <t>Consultant</t>
        </is>
      </c>
      <c r="H22" s="112" t="n">
        <v>1</v>
      </c>
      <c r="I22" s="142" t="inlineStr">
        <is>
          <t>Defined deliverables under a statement of work · ≈ A2–A3</t>
        </is>
      </c>
      <c r="J22" s="115" t="inlineStr">
        <is>
          <t>—</t>
        </is>
      </c>
      <c r="K22" s="115" t="inlineStr">
        <is>
          <t>—</t>
        </is>
      </c>
      <c r="L22" s="115" t="inlineStr">
        <is>
          <t>—</t>
        </is>
      </c>
      <c r="M22" s="115" t="inlineStr">
        <is>
          <t>—</t>
        </is>
      </c>
      <c r="N22" s="182" t="inlineStr">
        <is>
          <t>0–5 yrs</t>
        </is>
      </c>
      <c r="O22" s="164" t="inlineStr">
        <is>
          <r>
            <rPr>
              <rFont val="Calibri"/>
              <sz val="10"/>
            </rPr>
            <t xml:space="preserve">As for equivalent role
</t>
          </r>
          <r>
            <rPr>
              <rFont val="Calibri"/>
              <b val="1"/>
              <sz val="10"/>
            </rPr>
            <t>Family:</t>
          </r>
          <r>
            <rPr>
              <rFont val="Calibri"/>
              <sz val="10"/>
            </rPr>
            <t xml:space="preserve"> Graduate / MBA · marketing</t>
          </r>
        </is>
      </c>
      <c r="P22" s="164" t="inlineStr">
        <is>
          <t>Google / HubSpot certifications</t>
        </is>
      </c>
      <c r="Q22" s="164" t="inlineStr">
        <is>
          <t>Brand and data-privacy rules for campaigns</t>
        </is>
      </c>
      <c r="R22" s="183" t="inlineStr">
        <is>
          <t>—</t>
        </is>
      </c>
      <c r="S22" s="165" t="n"/>
      <c r="T22" s="165" t="n"/>
      <c r="U22" s="165" t="n"/>
      <c r="V22" s="165" t="n"/>
      <c r="W22" s="165" t="n"/>
      <c r="X22" s="165" t="n"/>
      <c r="Y22" s="121" t="inlineStr">
        <is>
          <t>Per statement of work</t>
        </is>
      </c>
      <c r="Z22" s="122" t="inlineStr">
        <is>
          <t>—</t>
        </is>
      </c>
      <c r="AA22" s="122" t="inlineStr">
        <is>
          <t>—</t>
        </is>
      </c>
      <c r="AB22" s="122" t="inlineStr">
        <is>
          <t>Per statement of work</t>
        </is>
      </c>
      <c r="AC22" s="123" t="inlineStr">
        <is>
          <t>Not counted in spans</t>
        </is>
      </c>
      <c r="AD22" s="185" t="inlineStr">
        <is>
          <t>Contractor</t>
        </is>
      </c>
      <c r="AE22" s="130" t="inlineStr">
        <is>
          <t>Contractor</t>
        </is>
      </c>
      <c r="AF22" s="186" t="inlineStr">
        <is>
          <t>—</t>
        </is>
      </c>
      <c r="AG22" s="130" t="inlineStr">
        <is>
          <t>Contractor · rate card</t>
        </is>
      </c>
      <c r="AH22" s="130" t="inlineStr">
        <is>
          <t>—</t>
        </is>
      </c>
      <c r="AI22" s="130" t="inlineStr">
        <is>
          <t>—</t>
        </is>
      </c>
      <c r="AJ22" s="130" t="inlineStr">
        <is>
          <t>—</t>
        </is>
      </c>
      <c r="AK22" s="130" t="inlineStr">
        <is>
          <t>Radford / Pave</t>
        </is>
      </c>
      <c r="AL22" s="130" t="inlineStr">
        <is>
          <t>—</t>
        </is>
      </c>
      <c r="AM22" s="130" t="inlineStr">
        <is>
          <t>CIM Global Professional Marketing Framework — proficiency Aware → Active learner → Able → Accomplished → Authoritative</t>
        </is>
      </c>
      <c r="AN22" s="131" t="inlineStr">
        <is>
          <t>Statement of work</t>
        </is>
      </c>
      <c r="AO22" s="132" t="inlineStr">
        <is>
          <t>—</t>
        </is>
      </c>
      <c r="AP22" s="132" t="inlineStr">
        <is>
          <t>—</t>
        </is>
      </c>
      <c r="AQ22" s="132" t="inlineStr">
        <is>
          <t>AI content &amp; marketing automation, marketing analytics</t>
        </is>
      </c>
    </row>
    <row r="23">
      <c r="A23" s="187" t="n"/>
      <c r="B23" s="188" t="n"/>
      <c r="C23" s="188" t="n"/>
      <c r="D23" s="188" t="n"/>
      <c r="E23" s="188" t="n"/>
      <c r="F23" s="188" t="n"/>
      <c r="G23" s="188" t="n"/>
      <c r="H23" s="188" t="n"/>
      <c r="I23" s="189" t="n"/>
      <c r="J23" s="190" t="n"/>
      <c r="K23" s="190" t="n"/>
      <c r="L23" s="190" t="n"/>
      <c r="M23" s="190" t="n"/>
      <c r="N23" s="191" t="n"/>
      <c r="O23" s="192" t="n"/>
      <c r="P23" s="192" t="n"/>
      <c r="Q23" s="192" t="n"/>
      <c r="R23" s="193" t="n"/>
      <c r="S23" s="194" t="n"/>
      <c r="T23" s="194" t="n"/>
      <c r="U23" s="194" t="n"/>
      <c r="V23" s="194" t="n"/>
      <c r="W23" s="194" t="n"/>
      <c r="X23" s="194" t="n"/>
      <c r="Y23" s="195" t="n"/>
      <c r="Z23" s="196" t="n"/>
      <c r="AA23" s="196" t="n"/>
      <c r="AB23" s="196" t="n"/>
      <c r="AC23" s="197" t="n"/>
      <c r="AD23" s="198" t="n"/>
      <c r="AE23" s="199" t="n"/>
      <c r="AF23" s="199" t="n"/>
      <c r="AG23" s="199" t="n"/>
      <c r="AH23" s="199" t="n"/>
      <c r="AI23" s="199" t="n"/>
      <c r="AJ23" s="199" t="n"/>
      <c r="AK23" s="199" t="n"/>
      <c r="AL23" s="199" t="n"/>
      <c r="AM23" s="199" t="n"/>
      <c r="AN23" s="200" t="n"/>
      <c r="AO23" s="201" t="n"/>
      <c r="AP23" s="201" t="n"/>
      <c r="AQ23" s="201" t="n"/>
    </row>
    <row r="24" ht="20" customHeight="1">
      <c r="A24" s="160" t="inlineStr">
        <is>
          <t>Not provided · HRIS — 2 people · 1 role · consultants · levels X1</t>
        </is>
      </c>
    </row>
    <row r="25" ht="41" customHeight="1">
      <c r="A25" s="109" t="inlineStr">
        <is>
          <t>Not provided · HRIS</t>
        </is>
      </c>
      <c r="B25" s="111" t="inlineStr">
        <is>
          <t>Unassigned</t>
        </is>
      </c>
      <c r="C25" s="111" t="inlineStr">
        <is>
          <t>Role not recorded · external consultant</t>
        </is>
      </c>
      <c r="D25" s="111" t="inlineStr">
        <is>
          <t>Associate Consultant – Software Development</t>
        </is>
      </c>
      <c r="E25" s="45" t="inlineStr">
        <is>
          <t>X1</t>
        </is>
      </c>
      <c r="F25" s="136" t="inlineStr">
        <is>
          <t>Associate Consultant</t>
        </is>
      </c>
      <c r="G25" s="111" t="inlineStr">
        <is>
          <t>Consultant</t>
        </is>
      </c>
      <c r="H25" s="112" t="n">
        <v>2</v>
      </c>
      <c r="I25" s="142" t="inlineStr">
        <is>
          <t>Defined deliverables under a statement of work · ≈ A2–A3</t>
        </is>
      </c>
      <c r="J25" s="115" t="inlineStr">
        <is>
          <t>—</t>
        </is>
      </c>
      <c r="K25" s="115" t="inlineStr">
        <is>
          <t>—</t>
        </is>
      </c>
      <c r="L25" s="115" t="inlineStr">
        <is>
          <t>—</t>
        </is>
      </c>
      <c r="M25" s="115" t="inlineStr">
        <is>
          <t>—</t>
        </is>
      </c>
      <c r="N25" s="182" t="inlineStr">
        <is>
          <t>0–5 yrs</t>
        </is>
      </c>
      <c r="O25" s="164" t="inlineStr">
        <is>
          <t>As for equivalent role</t>
        </is>
      </c>
      <c r="P25" s="164" t="inlineStr">
        <is>
          <t>—</t>
        </is>
      </c>
      <c r="Q25" s="164" t="inlineStr">
        <is>
          <t>—</t>
        </is>
      </c>
      <c r="R25" s="183" t="inlineStr">
        <is>
          <t>—</t>
        </is>
      </c>
      <c r="S25" s="165" t="n"/>
      <c r="T25" s="165" t="n"/>
      <c r="U25" s="165" t="n"/>
      <c r="V25" s="165" t="n"/>
      <c r="W25" s="165" t="n"/>
      <c r="X25" s="165" t="n"/>
      <c r="Y25" s="121" t="inlineStr">
        <is>
          <t>Per statement of work</t>
        </is>
      </c>
      <c r="Z25" s="122" t="inlineStr">
        <is>
          <t>—</t>
        </is>
      </c>
      <c r="AA25" s="122" t="inlineStr">
        <is>
          <t>—</t>
        </is>
      </c>
      <c r="AB25" s="122" t="inlineStr">
        <is>
          <t>Per statement of work</t>
        </is>
      </c>
      <c r="AC25" s="123" t="inlineStr">
        <is>
          <t>Not counted in spans</t>
        </is>
      </c>
      <c r="AD25" s="185" t="inlineStr">
        <is>
          <t>Contractor</t>
        </is>
      </c>
      <c r="AE25" s="130" t="inlineStr">
        <is>
          <t>Contractor</t>
        </is>
      </c>
      <c r="AF25" s="186" t="inlineStr">
        <is>
          <t>—</t>
        </is>
      </c>
      <c r="AG25" s="130" t="inlineStr">
        <is>
          <t>Contractor · rate card</t>
        </is>
      </c>
      <c r="AH25" s="130" t="inlineStr">
        <is>
          <t>—</t>
        </is>
      </c>
      <c r="AI25" s="130" t="inlineStr">
        <is>
          <t>—</t>
        </is>
      </c>
      <c r="AJ25" s="130" t="inlineStr">
        <is>
          <t>—</t>
        </is>
      </c>
      <c r="AK25" s="130" t="inlineStr">
        <is>
          <t>Radford / Pave</t>
        </is>
      </c>
      <c r="AL25" s="130" t="inlineStr">
        <is>
          <t>—</t>
        </is>
      </c>
      <c r="AM25" s="130" t="inlineStr">
        <is>
          <t>—</t>
        </is>
      </c>
      <c r="AN25" s="131" t="inlineStr">
        <is>
          <t>Statement of work</t>
        </is>
      </c>
      <c r="AO25" s="132" t="inlineStr">
        <is>
          <t>—</t>
        </is>
      </c>
      <c r="AP25" s="132" t="inlineStr">
        <is>
          <t>—</t>
        </is>
      </c>
      <c r="AQ25" s="132" t="inlineStr">
        <is>
          <t>—</t>
        </is>
      </c>
    </row>
    <row r="26">
      <c r="A26" s="187" t="n"/>
      <c r="B26" s="188" t="n"/>
      <c r="C26" s="188" t="n"/>
      <c r="D26" s="188" t="n"/>
      <c r="E26" s="188" t="n"/>
      <c r="F26" s="188" t="n"/>
      <c r="G26" s="188" t="n"/>
      <c r="H26" s="188" t="n"/>
      <c r="I26" s="189" t="n"/>
      <c r="J26" s="190" t="n"/>
      <c r="K26" s="190" t="n"/>
      <c r="L26" s="190" t="n"/>
      <c r="M26" s="190" t="n"/>
      <c r="N26" s="191" t="n"/>
      <c r="O26" s="192" t="n"/>
      <c r="P26" s="192" t="n"/>
      <c r="Q26" s="192" t="n"/>
      <c r="R26" s="193" t="n"/>
      <c r="S26" s="194" t="n"/>
      <c r="T26" s="194" t="n"/>
      <c r="U26" s="194" t="n"/>
      <c r="V26" s="194" t="n"/>
      <c r="W26" s="194" t="n"/>
      <c r="X26" s="194" t="n"/>
      <c r="Y26" s="195" t="n"/>
      <c r="Z26" s="196" t="n"/>
      <c r="AA26" s="196" t="n"/>
      <c r="AB26" s="196" t="n"/>
      <c r="AC26" s="197" t="n"/>
      <c r="AD26" s="198" t="n"/>
      <c r="AE26" s="199" t="n"/>
      <c r="AF26" s="199" t="n"/>
      <c r="AG26" s="199" t="n"/>
      <c r="AH26" s="199" t="n"/>
      <c r="AI26" s="199" t="n"/>
      <c r="AJ26" s="199" t="n"/>
      <c r="AK26" s="199" t="n"/>
      <c r="AL26" s="199" t="n"/>
      <c r="AM26" s="199" t="n"/>
      <c r="AN26" s="200" t="n"/>
      <c r="AO26" s="201" t="n"/>
      <c r="AP26" s="201" t="n"/>
      <c r="AQ26" s="201" t="n"/>
    </row>
    <row r="27" ht="20" customHeight="1">
      <c r="A27" s="160" t="inlineStr">
        <is>
          <t>Product Management — 5 people · 3 roles · Product &amp; programme · levels B1–B2</t>
        </is>
      </c>
    </row>
    <row r="28" ht="67" customHeight="1">
      <c r="A28" s="109" t="inlineStr">
        <is>
          <t>Product Management</t>
        </is>
      </c>
      <c r="B28" s="111" t="inlineStr">
        <is>
          <t>Product Management</t>
        </is>
      </c>
      <c r="C28" s="111" t="inlineStr">
        <is>
          <t>Product Management</t>
        </is>
      </c>
      <c r="D28" s="111" t="inlineStr">
        <is>
          <t>Associate Product Manager</t>
        </is>
      </c>
      <c r="E28" s="20" t="inlineStr">
        <is>
          <t>B1</t>
        </is>
      </c>
      <c r="F28" s="18" t="inlineStr">
        <is>
          <t>Specialist</t>
        </is>
      </c>
      <c r="G28" s="111" t="inlineStr">
        <is>
          <t>IC</t>
        </is>
      </c>
      <c r="H28" s="112" t="n">
        <v>2</v>
      </c>
      <c r="I28" s="142" t="inlineStr">
        <is>
          <t>A domain / module, or a small team</t>
        </is>
      </c>
      <c r="J28" s="115" t="inlineStr">
        <is>
          <t>Domain specialist work</t>
        </is>
      </c>
      <c r="K28" s="115" t="inlineStr">
        <is>
          <t>Technical / QC / client calls for the domain</t>
        </is>
      </c>
      <c r="L28" s="115" t="inlineStr">
        <is>
          <t>A domain or a small team</t>
        </is>
      </c>
      <c r="M28" s="115" t="inlineStr">
        <is>
          <r>
            <rPr>
              <rFont val="Calibri"/>
              <b val="1"/>
              <sz val="10"/>
            </rPr>
            <t>IC:</t>
          </r>
          <r>
            <rPr>
              <rFont val="Calibri"/>
              <sz val="10"/>
            </rPr>
            <t xml:space="preserve"> mentors and reviews · People: hands-on team lead of 3–5</t>
          </r>
        </is>
      </c>
      <c r="N28" s="182" t="inlineStr">
        <is>
          <t>4–7 yrs</t>
        </is>
      </c>
      <c r="O28" s="164" t="inlineStr">
        <is>
          <r>
            <rPr>
              <rFont val="Calibri"/>
              <sz val="10"/>
            </rPr>
            <t xml:space="preserve">Graduate + relevant qualification or certification preferred
</t>
          </r>
          <r>
            <rPr>
              <rFont val="Calibri"/>
              <b val="1"/>
              <sz val="10"/>
            </rPr>
            <t>Family:</t>
          </r>
          <r>
            <rPr>
              <rFont val="Calibri"/>
              <sz val="10"/>
            </rPr>
            <t xml:space="preserve"> Graduate; MBA / PGDM preferred</t>
          </r>
        </is>
      </c>
      <c r="P28" s="164" t="inlineStr">
        <is>
          <t>Internal product certification; CBAP / CCBA · optional</t>
        </is>
      </c>
      <c r="Q28" s="164" t="inlineStr">
        <is>
          <t>Product discovery, roadmap and P&amp;L basics</t>
        </is>
      </c>
      <c r="R28" s="183" t="inlineStr">
        <is>
          <t>PP-B-IC</t>
        </is>
      </c>
      <c r="S28" s="184" t="n">
        <v>0.46</v>
      </c>
      <c r="T28" s="184" t="n">
        <v>0.22</v>
      </c>
      <c r="U28" s="184" t="n">
        <v>0.1</v>
      </c>
      <c r="V28" s="184" t="n">
        <v>0.05</v>
      </c>
      <c r="W28" s="184" t="n">
        <v>0.1</v>
      </c>
      <c r="X28" s="184" t="n">
        <v>0.07000000000000001</v>
      </c>
      <c r="Y28" s="121" t="inlineStr">
        <is>
          <t>★ Product, Platform &amp; Domain Knowledge · ★ Business Analysis &amp; Requirements Engineering</t>
        </is>
      </c>
      <c r="Z28" s="122" t="inlineStr">
        <is>
          <t>Data Analytics, BI &amp; Visualisation · Strategic Thinking &amp; Business Acumen · Stakeholder &amp; Client Management · AI, GenAI &amp; Prompt Engineering</t>
        </is>
      </c>
      <c r="AA28" s="122" t="inlineStr">
        <is>
          <t>—</t>
        </is>
      </c>
      <c r="AB28" s="122" t="inlineStr">
        <is>
          <t>Core 3 · Future-ready 3 · Functional 3 · Leadership 1</t>
        </is>
      </c>
      <c r="AC28" s="123" t="inlineStr">
        <is>
          <r>
            <rPr>
              <rFont val="Calibri"/>
              <b val="1"/>
              <sz val="10"/>
            </rPr>
            <t>IC:</t>
          </r>
          <r>
            <rPr>
              <rFont val="Calibri"/>
              <sz val="10"/>
            </rPr>
            <t xml:space="preserve"> none · Team Lead: 3–5</t>
          </r>
        </is>
      </c>
      <c r="AD28" s="185" t="inlineStr">
        <is>
          <t>P3</t>
        </is>
      </c>
      <c r="AE28" s="130" t="inlineStr">
        <is>
          <t>Career / · Team Lead</t>
        </is>
      </c>
      <c r="AF28" s="186" t="inlineStr">
        <is>
          <t>4 Enable</t>
        </is>
      </c>
      <c r="AG28" s="130" t="inlineStr">
        <is>
          <t>Product Manager</t>
        </is>
      </c>
      <c r="AH28" s="130" t="inlineStr">
        <is>
          <t>L4 · MS 62 · —</t>
        </is>
      </c>
      <c r="AI28" s="130" t="inlineStr">
        <is>
          <t>JL4 · C2 · L9 Team Lead / Consultant</t>
        </is>
      </c>
      <c r="AJ28" s="130" t="inlineStr">
        <is>
          <t>Senior Consultant / Assistant Manager</t>
        </is>
      </c>
      <c r="AK28" s="130" t="inlineStr">
        <is>
          <t>Radford / Pave</t>
        </is>
      </c>
      <c r="AL28" s="130" t="inlineStr">
        <is>
          <t>IRIS Vs Competitor Benchmark — SaaS product ladder: Product Manager</t>
        </is>
      </c>
      <c r="AM28" s="130" t="inlineStr">
        <is>
          <t>Pragmatic Institute Framework · 37 activities, 7 categories; AIPMM</t>
        </is>
      </c>
      <c r="AN28" s="131" t="inlineStr">
        <is>
          <t>Lateral; Management Trainees graduate here</t>
        </is>
      </c>
      <c r="AO28" s="132" t="inlineStr">
        <is>
          <t>B2 · Senior Specialist</t>
        </is>
      </c>
      <c r="AP28" s="132" t="inlineStr">
        <is>
          <t>B2 · Manager</t>
        </is>
      </c>
      <c r="AQ28" s="132" t="inlineStr">
        <is>
          <t>AI product strategy, platform &amp; API products, ESG / digital-reporting markets</t>
        </is>
      </c>
    </row>
    <row r="29" ht="67" customHeight="1">
      <c r="A29" s="109" t="inlineStr">
        <is>
          <t>Product Management</t>
        </is>
      </c>
      <c r="B29" s="111" t="inlineStr">
        <is>
          <t>Product Management</t>
        </is>
      </c>
      <c r="C29" s="111" t="inlineStr">
        <is>
          <t>Product Management</t>
        </is>
      </c>
      <c r="D29" s="111" t="inlineStr">
        <is>
          <t>Product Manager</t>
        </is>
      </c>
      <c r="E29" s="20" t="inlineStr">
        <is>
          <t>B2</t>
        </is>
      </c>
      <c r="F29" s="18" t="inlineStr">
        <is>
          <t>Senior Specialist</t>
        </is>
      </c>
      <c r="G29" s="111" t="inlineStr">
        <is>
          <t>IC</t>
        </is>
      </c>
      <c r="H29" s="112" t="n">
        <v>2</v>
      </c>
      <c r="I29" s="142" t="inlineStr">
        <is>
          <t>Deep domain expertise, or one team</t>
        </is>
      </c>
      <c r="J29" s="115" t="inlineStr">
        <is>
          <t>Hardest problems in the domain</t>
        </is>
      </c>
      <c r="K29" s="115" t="inlineStr">
        <is>
          <t>Allocates people and sets team priorities</t>
        </is>
      </c>
      <c r="L29" s="115" t="inlineStr">
        <is>
          <t>One team or a client portfolio</t>
        </is>
      </c>
      <c r="M29" s="115" t="inlineStr">
        <is>
          <r>
            <rPr>
              <rFont val="Calibri"/>
              <b val="1"/>
              <sz val="10"/>
            </rPr>
            <t>IC:</t>
          </r>
          <r>
            <rPr>
              <rFont val="Calibri"/>
              <sz val="10"/>
            </rPr>
            <t xml:space="preserve"> guides others in the domain · People: manages a team of 6+</t>
          </r>
        </is>
      </c>
      <c r="N29" s="182" t="inlineStr">
        <is>
          <t>6–9 yrs</t>
        </is>
      </c>
      <c r="O29" s="164" t="inlineStr">
        <is>
          <r>
            <rPr>
              <rFont val="Calibri"/>
              <sz val="10"/>
            </rPr>
            <t xml:space="preserve">Graduate or postgraduate; professional qualification preferred
</t>
          </r>
          <r>
            <rPr>
              <rFont val="Calibri"/>
              <b val="1"/>
              <sz val="10"/>
            </rPr>
            <t>Family:</t>
          </r>
          <r>
            <rPr>
              <rFont val="Calibri"/>
              <sz val="10"/>
            </rPr>
            <t xml:space="preserve"> Graduate; MBA / PGDM preferred</t>
          </r>
        </is>
      </c>
      <c r="P29" s="164" t="inlineStr">
        <is>
          <t>Internal product certification; CBAP / CCBA · optional</t>
        </is>
      </c>
      <c r="Q29" s="164" t="inlineStr">
        <is>
          <t>Product discovery, roadmap and P&amp;L basics</t>
        </is>
      </c>
      <c r="R29" s="183" t="inlineStr">
        <is>
          <t>PP-B-IC</t>
        </is>
      </c>
      <c r="S29" s="184" t="n">
        <v>0.46</v>
      </c>
      <c r="T29" s="184" t="n">
        <v>0.22</v>
      </c>
      <c r="U29" s="184" t="n">
        <v>0.1</v>
      </c>
      <c r="V29" s="184" t="n">
        <v>0.05</v>
      </c>
      <c r="W29" s="184" t="n">
        <v>0.1</v>
      </c>
      <c r="X29" s="184" t="n">
        <v>0.07000000000000001</v>
      </c>
      <c r="Y29" s="121" t="inlineStr">
        <is>
          <t>★ Product, Platform &amp; Domain Knowledge · ★ Business Analysis &amp; Requirements Engineering</t>
        </is>
      </c>
      <c r="Z29" s="122" t="inlineStr">
        <is>
          <t>Data Analytics, BI &amp; Visualisation · Strategic Thinking &amp; Business Acumen · Stakeholder &amp; Client Management · AI, GenAI &amp; Prompt Engineering</t>
        </is>
      </c>
      <c r="AA29" s="122" t="inlineStr">
        <is>
          <t>—</t>
        </is>
      </c>
      <c r="AB29" s="122" t="inlineStr">
        <is>
          <t>Core 3 · Future-ready 3 · Functional 4 · Leadership 2</t>
        </is>
      </c>
      <c r="AC29" s="123" t="inlineStr">
        <is>
          <r>
            <rPr>
              <rFont val="Calibri"/>
              <b val="1"/>
              <sz val="10"/>
            </rPr>
            <t>IC:</t>
          </r>
          <r>
            <rPr>
              <rFont val="Calibri"/>
              <sz val="10"/>
            </rPr>
            <t xml:space="preserve"> none · People: 6–8 knowledge work, 8–12 standardised delivery</t>
          </r>
        </is>
      </c>
      <c r="AD29" s="185" t="inlineStr">
        <is>
          <t>P4</t>
        </is>
      </c>
      <c r="AE29" s="130" t="inlineStr">
        <is>
          <t>Senior / Manager</t>
        </is>
      </c>
      <c r="AF29" s="186" t="inlineStr">
        <is>
          <t>4–5</t>
        </is>
      </c>
      <c r="AG29" s="130" t="inlineStr">
        <is>
          <t>Senior Product Manager</t>
        </is>
      </c>
      <c r="AH29" s="130" t="inlineStr">
        <is>
          <t>L5 · MS 63 · —</t>
        </is>
      </c>
      <c r="AI29" s="130" t="inlineStr">
        <is>
          <t>JL5 · C3A · L8 Associate Manager</t>
        </is>
      </c>
      <c r="AJ29" s="130" t="inlineStr">
        <is>
          <t>Manager</t>
        </is>
      </c>
      <c r="AK29" s="130" t="inlineStr">
        <is>
          <t>Radford / Pave</t>
        </is>
      </c>
      <c r="AL29" s="130" t="inlineStr">
        <is>
          <t>IRIS Vs Competitor Benchmark — SaaS product ladder: Senior PM</t>
        </is>
      </c>
      <c r="AM29" s="130" t="inlineStr">
        <is>
          <t>Pragmatic Institute Framework · 37 activities, 7 categories; AIPMM</t>
        </is>
      </c>
      <c r="AN29" s="131" t="inlineStr">
        <is>
          <t>Lateral</t>
        </is>
      </c>
      <c r="AO29" s="132" t="inlineStr">
        <is>
          <t>B3 · Lead Specialist</t>
        </is>
      </c>
      <c r="AP29" s="132" t="inlineStr">
        <is>
          <t>B3 · Senior Manager</t>
        </is>
      </c>
      <c r="AQ29" s="132" t="inlineStr">
        <is>
          <t>AI product strategy, platform &amp; API products, ESG / digital-reporting markets</t>
        </is>
      </c>
    </row>
    <row r="30" ht="67" customHeight="1">
      <c r="A30" s="109" t="inlineStr">
        <is>
          <t>Product Management</t>
        </is>
      </c>
      <c r="B30" s="111" t="inlineStr">
        <is>
          <t>Product Management</t>
        </is>
      </c>
      <c r="C30" s="111" t="inlineStr">
        <is>
          <t>Product Management</t>
        </is>
      </c>
      <c r="D30" s="111" t="inlineStr">
        <is>
          <t>Product Manager</t>
        </is>
      </c>
      <c r="E30" s="20" t="inlineStr">
        <is>
          <t>B2</t>
        </is>
      </c>
      <c r="F30" s="18" t="inlineStr">
        <is>
          <t>Manager</t>
        </is>
      </c>
      <c r="G30" s="111" t="inlineStr">
        <is>
          <t>People Manager</t>
        </is>
      </c>
      <c r="H30" s="112" t="n">
        <v>1</v>
      </c>
      <c r="I30" s="142" t="inlineStr">
        <is>
          <t>Deep domain expertise, or one team</t>
        </is>
      </c>
      <c r="J30" s="115" t="inlineStr">
        <is>
          <t>Hardest problems in the domain</t>
        </is>
      </c>
      <c r="K30" s="115" t="inlineStr">
        <is>
          <t>Allocates people and sets team priorities</t>
        </is>
      </c>
      <c r="L30" s="115" t="inlineStr">
        <is>
          <t>One team or a client portfolio</t>
        </is>
      </c>
      <c r="M30" s="115" t="inlineStr">
        <is>
          <r>
            <rPr>
              <rFont val="Calibri"/>
              <b val="1"/>
              <sz val="10"/>
            </rPr>
            <t>IC:</t>
          </r>
          <r>
            <rPr>
              <rFont val="Calibri"/>
              <sz val="10"/>
            </rPr>
            <t xml:space="preserve"> guides others in the domain · People: manages a team of 6+</t>
          </r>
        </is>
      </c>
      <c r="N30" s="182" t="inlineStr">
        <is>
          <t>6–9 yrs</t>
        </is>
      </c>
      <c r="O30" s="164" t="inlineStr">
        <is>
          <r>
            <rPr>
              <rFont val="Calibri"/>
              <sz val="10"/>
            </rPr>
            <t xml:space="preserve">Graduate or postgraduate; professional qualification preferred
</t>
          </r>
          <r>
            <rPr>
              <rFont val="Calibri"/>
              <b val="1"/>
              <sz val="10"/>
            </rPr>
            <t>Family:</t>
          </r>
          <r>
            <rPr>
              <rFont val="Calibri"/>
              <sz val="10"/>
            </rPr>
            <t xml:space="preserve"> Graduate; MBA / PGDM preferred</t>
          </r>
        </is>
      </c>
      <c r="P30" s="164" t="inlineStr">
        <is>
          <t>Internal product certification; CBAP / CCBA · optional</t>
        </is>
      </c>
      <c r="Q30" s="164" t="inlineStr">
        <is>
          <t>Product discovery, roadmap and P&amp;L basics</t>
        </is>
      </c>
      <c r="R30" s="183" t="inlineStr">
        <is>
          <t>PP-B-M</t>
        </is>
      </c>
      <c r="S30" s="184" t="n">
        <v>0.32</v>
      </c>
      <c r="T30" s="184" t="n">
        <v>0.23</v>
      </c>
      <c r="U30" s="184" t="n">
        <v>0.11</v>
      </c>
      <c r="V30" s="184" t="n">
        <v>0.15</v>
      </c>
      <c r="W30" s="184" t="n">
        <v>0.1</v>
      </c>
      <c r="X30" s="184" t="n">
        <v>0.09</v>
      </c>
      <c r="Y30" s="121" t="inlineStr">
        <is>
          <t>★ Product, Platform &amp; Domain Knowledge · ★ Business Analysis &amp; Requirements Engineering</t>
        </is>
      </c>
      <c r="Z30" s="122" t="inlineStr">
        <is>
          <t>Data Analytics, BI &amp; Visualisation · Strategic Thinking &amp; Business Acumen · Stakeholder &amp; Client Management · AI, GenAI &amp; Prompt Engineering</t>
        </is>
      </c>
      <c r="AA30" s="122" t="inlineStr">
        <is>
          <t>—</t>
        </is>
      </c>
      <c r="AB30" s="122" t="inlineStr">
        <is>
          <t>Core 3 · Future-ready 3 · Functional 4 · Leadership 3</t>
        </is>
      </c>
      <c r="AC30" s="123" t="inlineStr">
        <is>
          <r>
            <rPr>
              <rFont val="Calibri"/>
              <b val="1"/>
              <sz val="10"/>
            </rPr>
            <t>IC:</t>
          </r>
          <r>
            <rPr>
              <rFont val="Calibri"/>
              <sz val="10"/>
            </rPr>
            <t xml:space="preserve"> none · People: 6–8 knowledge work, 8–12 standardised delivery</t>
          </r>
        </is>
      </c>
      <c r="AD30" s="185" t="inlineStr">
        <is>
          <t>M3</t>
        </is>
      </c>
      <c r="AE30" s="130" t="inlineStr">
        <is>
          <t>Senior / Manager</t>
        </is>
      </c>
      <c r="AF30" s="186" t="inlineStr">
        <is>
          <t>4–5</t>
        </is>
      </c>
      <c r="AG30" s="130" t="inlineStr">
        <is>
          <t>Manager</t>
        </is>
      </c>
      <c r="AH30" s="130" t="inlineStr">
        <is>
          <t>L5 · MS 63 · —</t>
        </is>
      </c>
      <c r="AI30" s="130" t="inlineStr">
        <is>
          <t>JL5 · C3A · L8 Associate Manager</t>
        </is>
      </c>
      <c r="AJ30" s="130" t="inlineStr">
        <is>
          <t>Manager</t>
        </is>
      </c>
      <c r="AK30" s="130" t="inlineStr">
        <is>
          <t>Radford / Pave</t>
        </is>
      </c>
      <c r="AL30" s="130" t="inlineStr">
        <is>
          <t>IRIS Vs Competitor Benchmark — SaaS product ladder: Senior PM</t>
        </is>
      </c>
      <c r="AM30" s="130" t="inlineStr">
        <is>
          <t>Pragmatic Institute Framework · 37 activities, 7 categories; AIPMM</t>
        </is>
      </c>
      <c r="AN30" s="131" t="inlineStr">
        <is>
          <t>Lateral</t>
        </is>
      </c>
      <c r="AO30" s="132" t="inlineStr">
        <is>
          <t>B3 · Lead Specialist</t>
        </is>
      </c>
      <c r="AP30" s="132" t="inlineStr">
        <is>
          <t>B3 · Senior Manager</t>
        </is>
      </c>
      <c r="AQ30" s="132" t="inlineStr">
        <is>
          <t>AI product strategy, platform &amp; API products, ESG / digital-reporting markets</t>
        </is>
      </c>
    </row>
    <row r="31">
      <c r="A31" s="187" t="n"/>
      <c r="B31" s="188" t="n"/>
      <c r="C31" s="188" t="n"/>
      <c r="D31" s="188" t="n"/>
      <c r="E31" s="188" t="n"/>
      <c r="F31" s="188" t="n"/>
      <c r="G31" s="188" t="n"/>
      <c r="H31" s="188" t="n"/>
      <c r="I31" s="189" t="n"/>
      <c r="J31" s="190" t="n"/>
      <c r="K31" s="190" t="n"/>
      <c r="L31" s="190" t="n"/>
      <c r="M31" s="190" t="n"/>
      <c r="N31" s="191" t="n"/>
      <c r="O31" s="192" t="n"/>
      <c r="P31" s="192" t="n"/>
      <c r="Q31" s="192" t="n"/>
      <c r="R31" s="193" t="n"/>
      <c r="S31" s="194" t="n"/>
      <c r="T31" s="194" t="n"/>
      <c r="U31" s="194" t="n"/>
      <c r="V31" s="194" t="n"/>
      <c r="W31" s="194" t="n"/>
      <c r="X31" s="194" t="n"/>
      <c r="Y31" s="195" t="n"/>
      <c r="Z31" s="196" t="n"/>
      <c r="AA31" s="196" t="n"/>
      <c r="AB31" s="196" t="n"/>
      <c r="AC31" s="197" t="n"/>
      <c r="AD31" s="198" t="n"/>
      <c r="AE31" s="199" t="n"/>
      <c r="AF31" s="199" t="n"/>
      <c r="AG31" s="199" t="n"/>
      <c r="AH31" s="199" t="n"/>
      <c r="AI31" s="199" t="n"/>
      <c r="AJ31" s="199" t="n"/>
      <c r="AK31" s="199" t="n"/>
      <c r="AL31" s="199" t="n"/>
      <c r="AM31" s="199" t="n"/>
      <c r="AN31" s="200" t="n"/>
      <c r="AO31" s="201" t="n"/>
      <c r="AP31" s="201" t="n"/>
      <c r="AQ31" s="201" t="n"/>
    </row>
    <row r="32" ht="20" customHeight="1">
      <c r="A32" s="160" t="inlineStr">
        <is>
          <t>Quality Assurance — 2 people · 2 roles · Technology &amp; engineering · levels A3</t>
        </is>
      </c>
    </row>
    <row r="33" ht="67" customHeight="1">
      <c r="A33" s="109" t="inlineStr">
        <is>
          <t>Quality Assurance</t>
        </is>
      </c>
      <c r="B33" s="111" t="inlineStr">
        <is>
          <t>Quality Assurance</t>
        </is>
      </c>
      <c r="C33" s="111" t="inlineStr">
        <is>
          <t>Test Automation</t>
        </is>
      </c>
      <c r="D33" s="111" t="inlineStr">
        <is>
          <t>Senior QA Automation Engineer</t>
        </is>
      </c>
      <c r="E33" s="26" t="inlineStr">
        <is>
          <t>A3</t>
        </is>
      </c>
      <c r="F33" s="140" t="inlineStr">
        <is>
          <t>Senior Associate</t>
        </is>
      </c>
      <c r="G33" s="111" t="inlineStr">
        <is>
          <t>IC</t>
        </is>
      </c>
      <c r="H33" s="112" t="n">
        <v>1</v>
      </c>
      <c r="I33" s="142" t="inlineStr">
        <is>
          <t>Varied work; reviews juniors; go-to for a process</t>
        </is>
      </c>
      <c r="J33" s="115" t="inlineStr">
        <is>
          <t>Varied and non-standard work; handles exceptions</t>
        </is>
      </c>
      <c r="K33" s="115" t="inlineStr">
        <is>
          <t>Technical / QC / client calls on own work</t>
        </is>
      </c>
      <c r="L33" s="115" t="inlineStr">
        <is>
          <t>A module / process, or work with client or regulatory consequences</t>
        </is>
      </c>
      <c r="M33" s="115" t="inlineStr">
        <is>
          <t>Not scored in Band A</t>
        </is>
      </c>
      <c r="N33" s="182" t="inlineStr">
        <is>
          <t>2–4 yrs</t>
        </is>
      </c>
      <c r="O33" s="164" t="inlineStr">
        <is>
          <r>
            <rPr>
              <rFont val="Calibri"/>
              <sz val="10"/>
            </rPr>
            <t xml:space="preserve">Graduate; relevant certification preferred
</t>
          </r>
          <r>
            <rPr>
              <rFont val="Calibri"/>
              <b val="1"/>
              <sz val="10"/>
            </rPr>
            <t>Family:</t>
          </r>
          <r>
            <rPr>
              <rFont val="Calibri"/>
              <sz val="10"/>
            </rPr>
            <t xml:space="preserve"> BE / B.Tech / MCA / B.Sc</t>
          </r>
        </is>
      </c>
      <c r="P33" s="164" t="inlineStr">
        <is>
          <t>ISTQB Foundation / Advanced; Internal product certification</t>
        </is>
      </c>
      <c r="Q33" s="164" t="inlineStr">
        <is>
          <t>ISTQB or equivalent preferred from B1</t>
        </is>
      </c>
      <c r="R33" s="183" t="inlineStr">
        <is>
          <t>TE-A</t>
        </is>
      </c>
      <c r="S33" s="184" t="n">
        <v>0.64</v>
      </c>
      <c r="T33" s="184" t="n">
        <v>0.16</v>
      </c>
      <c r="U33" s="184" t="n">
        <v>0.04</v>
      </c>
      <c r="V33" s="184" t="n">
        <v>0</v>
      </c>
      <c r="W33" s="184" t="n">
        <v>0.1</v>
      </c>
      <c r="X33" s="184" t="n">
        <v>0.06</v>
      </c>
      <c r="Y33" s="121" t="inlineStr">
        <is>
          <t>★ Test Automation &amp; QA Engineering · ★ Product, Platform &amp; Domain Knowledge</t>
        </is>
      </c>
      <c r="Z33" s="122" t="inlineStr">
        <is>
          <t>Database, SQL &amp; Data Engineering · AI, GenAI &amp; Prompt Engineering · Process Improvement &amp; Quality Mindset · Communication &amp; Presentation</t>
        </is>
      </c>
      <c r="AA33" s="122" t="inlineStr">
        <is>
          <t>—</t>
        </is>
      </c>
      <c r="AB33" s="122" t="inlineStr">
        <is>
          <t>Core 2 · Future-ready 2 · Functional 3 · Leadership —</t>
        </is>
      </c>
      <c r="AC33" s="123" t="inlineStr">
        <is>
          <t>None · guides 1–3 juniors informally</t>
        </is>
      </c>
      <c r="AD33" s="185" t="inlineStr">
        <is>
          <t>P2</t>
        </is>
      </c>
      <c r="AE33" s="130" t="inlineStr">
        <is>
          <t>Developing</t>
        </is>
      </c>
      <c r="AF33" s="186" t="inlineStr">
        <is>
          <t>3 Apply</t>
        </is>
      </c>
      <c r="AG33" s="130" t="inlineStr">
        <is>
          <t>QA Engineer</t>
        </is>
      </c>
      <c r="AH33" s="130" t="inlineStr">
        <is>
          <t>L3–L4 · MS 61–62 · Software Engineer</t>
        </is>
      </c>
      <c r="AI33" s="130" t="inlineStr">
        <is>
          <t>JL3A Senior Systems Engineer · C1 System Engineer · L11–L10 · Senior Analyst</t>
        </is>
      </c>
      <c r="AJ33" s="130" t="inlineStr">
        <is>
          <t>Consultant · DataTracks Senior Associate · 2–5 yrs</t>
        </is>
      </c>
      <c r="AK33" s="130" t="inlineStr">
        <is>
          <t>Radford / Pave</t>
        </is>
      </c>
      <c r="AL33" s="130" t="inlineStr">
        <is>
          <r>
            <rPr>
              <rFont val="Calibri"/>
              <b val="1"/>
              <sz val="10"/>
            </rPr>
            <t>Workiva:</t>
          </r>
          <r>
            <rPr>
              <rFont val="Calibri"/>
              <sz val="10"/>
            </rPr>
            <t xml:space="preserve"> SE · Broadridge India: SE · Nasdaq / AxiomSL: SE · IRIS Vs Market Benchmark — ISTQB certification pathway: Foundation</t>
          </r>
        </is>
      </c>
      <c r="AM33" s="130" t="inlineStr">
        <is>
          <t>ISTQB Foundation → Advanced → Expert; SFIA testing</t>
        </is>
      </c>
      <c r="AN33" s="131" t="inlineStr">
        <is>
          <t>Lateral or campus · CT2 at 12 months; CT3 in programme</t>
        </is>
      </c>
      <c r="AO33" s="132" t="inlineStr">
        <is>
          <t>B1 · Specialist</t>
        </is>
      </c>
      <c r="AP33" s="132" t="inlineStr">
        <is>
          <t>B1 · Team Lead</t>
        </is>
      </c>
      <c r="AQ33" s="132" t="inlineStr">
        <is>
          <t>AI-assisted test generation, API &amp; performance testing, test-data privacy</t>
        </is>
      </c>
    </row>
    <row r="34" ht="67" customHeight="1">
      <c r="A34" s="109" t="inlineStr">
        <is>
          <t>Quality Assurance</t>
        </is>
      </c>
      <c r="B34" s="111" t="inlineStr">
        <is>
          <t>Quality Assurance</t>
        </is>
      </c>
      <c r="C34" s="111" t="inlineStr">
        <is>
          <t>Functional &amp; Domain Testing</t>
        </is>
      </c>
      <c r="D34" s="111" t="inlineStr">
        <is>
          <t>Senior QA Engineer</t>
        </is>
      </c>
      <c r="E34" s="26" t="inlineStr">
        <is>
          <t>A3</t>
        </is>
      </c>
      <c r="F34" s="140" t="inlineStr">
        <is>
          <t>Senior Associate</t>
        </is>
      </c>
      <c r="G34" s="111" t="inlineStr">
        <is>
          <t>IC</t>
        </is>
      </c>
      <c r="H34" s="112" t="n">
        <v>1</v>
      </c>
      <c r="I34" s="142" t="inlineStr">
        <is>
          <t>Varied work; reviews juniors; go-to for a process</t>
        </is>
      </c>
      <c r="J34" s="115" t="inlineStr">
        <is>
          <t>Varied and non-standard work; handles exceptions</t>
        </is>
      </c>
      <c r="K34" s="115" t="inlineStr">
        <is>
          <t>Technical / QC / client calls on own work</t>
        </is>
      </c>
      <c r="L34" s="115" t="inlineStr">
        <is>
          <t>A module / process, or work with client or regulatory consequences</t>
        </is>
      </c>
      <c r="M34" s="115" t="inlineStr">
        <is>
          <t>Not scored in Band A</t>
        </is>
      </c>
      <c r="N34" s="182" t="inlineStr">
        <is>
          <t>2–4 yrs</t>
        </is>
      </c>
      <c r="O34" s="164" t="inlineStr">
        <is>
          <r>
            <rPr>
              <rFont val="Calibri"/>
              <sz val="10"/>
            </rPr>
            <t xml:space="preserve">Graduate; relevant certification preferred
</t>
          </r>
          <r>
            <rPr>
              <rFont val="Calibri"/>
              <b val="1"/>
              <sz val="10"/>
            </rPr>
            <t>Family:</t>
          </r>
          <r>
            <rPr>
              <rFont val="Calibri"/>
              <sz val="10"/>
            </rPr>
            <t xml:space="preserve"> BE / B.Tech / MCA / B.Sc</t>
          </r>
        </is>
      </c>
      <c r="P34" s="164" t="inlineStr">
        <is>
          <t>ISTQB Foundation / Advanced; Internal product certification</t>
        </is>
      </c>
      <c r="Q34" s="164" t="inlineStr">
        <is>
          <t>ISTQB or equivalent preferred from B1</t>
        </is>
      </c>
      <c r="R34" s="183" t="inlineStr">
        <is>
          <t>TE-A</t>
        </is>
      </c>
      <c r="S34" s="184" t="n">
        <v>0.64</v>
      </c>
      <c r="T34" s="184" t="n">
        <v>0.16</v>
      </c>
      <c r="U34" s="184" t="n">
        <v>0.04</v>
      </c>
      <c r="V34" s="184" t="n">
        <v>0</v>
      </c>
      <c r="W34" s="184" t="n">
        <v>0.1</v>
      </c>
      <c r="X34" s="184" t="n">
        <v>0.06</v>
      </c>
      <c r="Y34" s="121" t="inlineStr">
        <is>
          <t>★ Test Automation &amp; QA Engineering · ★ Product, Platform &amp; Domain Knowledge</t>
        </is>
      </c>
      <c r="Z34" s="122" t="inlineStr">
        <is>
          <t>Database, SQL &amp; Data Engineering · AI, GenAI &amp; Prompt Engineering · Process Improvement &amp; Quality Mindset · Communication &amp; Presentation</t>
        </is>
      </c>
      <c r="AA34" s="122" t="inlineStr">
        <is>
          <t>—</t>
        </is>
      </c>
      <c r="AB34" s="122" t="inlineStr">
        <is>
          <t>Core 2 · Future-ready 2 · Functional 3 · Leadership —</t>
        </is>
      </c>
      <c r="AC34" s="123" t="inlineStr">
        <is>
          <t>None · guides 1–3 juniors informally</t>
        </is>
      </c>
      <c r="AD34" s="185" t="inlineStr">
        <is>
          <t>P2</t>
        </is>
      </c>
      <c r="AE34" s="130" t="inlineStr">
        <is>
          <t>Developing</t>
        </is>
      </c>
      <c r="AF34" s="186" t="inlineStr">
        <is>
          <t>3 Apply</t>
        </is>
      </c>
      <c r="AG34" s="130" t="inlineStr">
        <is>
          <t>QA Engineer</t>
        </is>
      </c>
      <c r="AH34" s="130" t="inlineStr">
        <is>
          <t>L3–L4 · MS 61–62 · Software Engineer</t>
        </is>
      </c>
      <c r="AI34" s="130" t="inlineStr">
        <is>
          <t>JL3A Senior Systems Engineer · C1 System Engineer · L11–L10 · Senior Analyst</t>
        </is>
      </c>
      <c r="AJ34" s="130" t="inlineStr">
        <is>
          <t>Consultant · DataTracks Senior Associate · 2–5 yrs</t>
        </is>
      </c>
      <c r="AK34" s="130" t="inlineStr">
        <is>
          <t>Radford / Pave</t>
        </is>
      </c>
      <c r="AL34" s="130" t="inlineStr">
        <is>
          <r>
            <rPr>
              <rFont val="Calibri"/>
              <b val="1"/>
              <sz val="10"/>
            </rPr>
            <t>Workiva:</t>
          </r>
          <r>
            <rPr>
              <rFont val="Calibri"/>
              <sz val="10"/>
            </rPr>
            <t xml:space="preserve"> SE · Broadridge India: SE · Nasdaq / AxiomSL: SE · IRIS Vs Market Benchmark — ISTQB certification pathway: Foundation</t>
          </r>
        </is>
      </c>
      <c r="AM34" s="130" t="inlineStr">
        <is>
          <t>ISTQB Foundation → Advanced → Expert; SFIA testing</t>
        </is>
      </c>
      <c r="AN34" s="131" t="inlineStr">
        <is>
          <t>Lateral or campus · CT2 at 12 months; CT3 in programme</t>
        </is>
      </c>
      <c r="AO34" s="132" t="inlineStr">
        <is>
          <t>B1 · Specialist</t>
        </is>
      </c>
      <c r="AP34" s="132" t="inlineStr">
        <is>
          <t>B1 · Team Lead</t>
        </is>
      </c>
      <c r="AQ34" s="132" t="inlineStr">
        <is>
          <t>AI-assisted test generation, API &amp; performance testing, test-data privacy</t>
        </is>
      </c>
    </row>
    <row r="35">
      <c r="A35" s="187" t="n"/>
      <c r="B35" s="188" t="n"/>
      <c r="C35" s="188" t="n"/>
      <c r="D35" s="188" t="n"/>
      <c r="E35" s="188" t="n"/>
      <c r="F35" s="188" t="n"/>
      <c r="G35" s="188" t="n"/>
      <c r="H35" s="188" t="n"/>
      <c r="I35" s="189" t="n"/>
      <c r="J35" s="190" t="n"/>
      <c r="K35" s="190" t="n"/>
      <c r="L35" s="190" t="n"/>
      <c r="M35" s="190" t="n"/>
      <c r="N35" s="191" t="n"/>
      <c r="O35" s="192" t="n"/>
      <c r="P35" s="192" t="n"/>
      <c r="Q35" s="192" t="n"/>
      <c r="R35" s="193" t="n"/>
      <c r="S35" s="194" t="n"/>
      <c r="T35" s="194" t="n"/>
      <c r="U35" s="194" t="n"/>
      <c r="V35" s="194" t="n"/>
      <c r="W35" s="194" t="n"/>
      <c r="X35" s="194" t="n"/>
      <c r="Y35" s="195" t="n"/>
      <c r="Z35" s="196" t="n"/>
      <c r="AA35" s="196" t="n"/>
      <c r="AB35" s="196" t="n"/>
      <c r="AC35" s="197" t="n"/>
      <c r="AD35" s="198" t="n"/>
      <c r="AE35" s="199" t="n"/>
      <c r="AF35" s="199" t="n"/>
      <c r="AG35" s="199" t="n"/>
      <c r="AH35" s="199" t="n"/>
      <c r="AI35" s="199" t="n"/>
      <c r="AJ35" s="199" t="n"/>
      <c r="AK35" s="199" t="n"/>
      <c r="AL35" s="199" t="n"/>
      <c r="AM35" s="199" t="n"/>
      <c r="AN35" s="200" t="n"/>
      <c r="AO35" s="201" t="n"/>
      <c r="AP35" s="201" t="n"/>
      <c r="AQ35" s="201" t="n"/>
    </row>
    <row r="36" ht="20" customHeight="1">
      <c r="A36" s="160" t="inlineStr">
        <is>
          <t>Sales — 1 person · 1 role · Sales &amp; marketing · levels C1</t>
        </is>
      </c>
    </row>
    <row r="37" ht="67" customHeight="1">
      <c r="A37" s="109" t="inlineStr">
        <is>
          <t>Sales</t>
        </is>
      </c>
      <c r="B37" s="111" t="inlineStr">
        <is>
          <t>Sales &amp; Business Development</t>
        </is>
      </c>
      <c r="C37" s="111" t="inlineStr">
        <is>
          <t>Sales Leadership</t>
        </is>
      </c>
      <c r="D37" s="111" t="inlineStr">
        <is>
          <t>Principal – Sales</t>
        </is>
      </c>
      <c r="E37" s="33" t="inlineStr">
        <is>
          <t>C1</t>
        </is>
      </c>
      <c r="F37" s="151" t="inlineStr">
        <is>
          <t>Principal</t>
        </is>
      </c>
      <c r="G37" s="111" t="inlineStr">
        <is>
          <t>IC</t>
        </is>
      </c>
      <c r="H37" s="112" t="n">
        <v>1</v>
      </c>
      <c r="I37" s="142" t="inlineStr">
        <is>
          <t>A sub-function, or principal authority across products</t>
        </is>
      </c>
      <c r="J37" s="115" t="inlineStr">
        <is>
          <t>Ambiguous, cross-product problems</t>
        </is>
      </c>
      <c r="K37" s="115" t="inlineStr">
        <is>
          <t>Sets direction for a sub-function or domain</t>
        </is>
      </c>
      <c r="L37" s="115" t="inlineStr">
        <is>
          <t>Sub-function results or domain quality across products</t>
        </is>
      </c>
      <c r="M37" s="115" t="inlineStr">
        <is>
          <t>Leads managers or a community of practice</t>
        </is>
      </c>
      <c r="N37" s="182" t="inlineStr">
        <is>
          <t>10–14 yrs</t>
        </is>
      </c>
      <c r="O37" s="164" t="inlineStr">
        <is>
          <r>
            <rPr>
              <rFont val="Calibri"/>
              <sz val="10"/>
            </rPr>
            <t xml:space="preserve">Postgraduate / professional qualification preferred
</t>
          </r>
          <r>
            <rPr>
              <rFont val="Calibri"/>
              <b val="1"/>
              <sz val="10"/>
            </rPr>
            <t>Family:</t>
          </r>
          <r>
            <rPr>
              <rFont val="Calibri"/>
              <sz val="10"/>
            </rPr>
            <t xml:space="preserve"> Graduate; MBA preferred from B2</t>
          </r>
        </is>
      </c>
      <c r="P37" s="164" t="inlineStr">
        <is>
          <t>Google / HubSpot certifications</t>
        </is>
      </c>
      <c r="Q37" s="164" t="inlineStr">
        <is>
          <t>CRM hygiene; contract basics</t>
        </is>
      </c>
      <c r="R37" s="183" t="inlineStr">
        <is>
          <t>SM-C-IC</t>
        </is>
      </c>
      <c r="S37" s="184" t="n">
        <v>0.49</v>
      </c>
      <c r="T37" s="184" t="n">
        <v>0.23</v>
      </c>
      <c r="U37" s="184" t="n">
        <v>0.05</v>
      </c>
      <c r="V37" s="184" t="n">
        <v>0.05</v>
      </c>
      <c r="W37" s="184" t="n">
        <v>0.05</v>
      </c>
      <c r="X37" s="184" t="n">
        <v>0.13</v>
      </c>
      <c r="Y37" s="121" t="inlineStr">
        <is>
          <t>★ Sales, Negotiation &amp; Account Growth · ★ Marketing Tech &amp; Digital Marketing</t>
        </is>
      </c>
      <c r="Z37" s="122" t="inlineStr">
        <is>
          <t>Stakeholder &amp; Client Management · Communication &amp; Presentation · Product, Platform &amp; Domain Knowledge · Strategic Thinking &amp; Business Acumen</t>
        </is>
      </c>
      <c r="AA37" s="122" t="inlineStr">
        <is>
          <t>—</t>
        </is>
      </c>
      <c r="AB37" s="122" t="inlineStr">
        <is>
          <t>Core 4 · Future-ready 4 · Functional 4 · Leadership 4</t>
        </is>
      </c>
      <c r="AC37" s="123" t="inlineStr">
        <is>
          <t>5–8, mostly managers</t>
        </is>
      </c>
      <c r="AD37" s="185" t="inlineStr">
        <is>
          <t>P6</t>
        </is>
      </c>
      <c r="AE37" s="130" t="inlineStr">
        <is>
          <t>Principal / Director</t>
        </is>
      </c>
      <c r="AF37" s="186" t="inlineStr">
        <is>
          <t>5–6</t>
        </is>
      </c>
      <c r="AG37" s="130" t="inlineStr">
        <is>
          <t>—</t>
        </is>
      </c>
      <c r="AH37" s="130" t="inlineStr">
        <is>
          <t>L6 · MS 64–65 · —</t>
        </is>
      </c>
      <c r="AI37" s="130" t="inlineStr">
        <is>
          <t>JL6B · C4 · L7 Manager</t>
        </is>
      </c>
      <c r="AJ37" s="130" t="inlineStr">
        <is>
          <t>Associate Director</t>
        </is>
      </c>
      <c r="AK37" s="130" t="inlineStr">
        <is>
          <t>Radford / Pave, JobsPipe title hierarchy</t>
        </is>
      </c>
      <c r="AL37" s="130" t="inlineStr">
        <is>
          <t>IRIS Vs Competitor Benchmark — SaaS sales ladder — IC: Strategic / Principal AE · IRIS Vs Competitor Benchmark — SaaS sales ladder — management: Regional Sales Head</t>
        </is>
      </c>
      <c r="AM37" s="130" t="inlineStr">
        <is>
          <t>SaaS sales ladder · SDR → AE → Enterprise AE → VP / CRO; MEDDICC-style qualification</t>
        </is>
      </c>
      <c r="AN37" s="131" t="inlineStr">
        <is>
          <t>Internal posting first; lateral</t>
        </is>
      </c>
      <c r="AO37" s="132" t="inlineStr">
        <is>
          <t>C2 · Senior Principal / Architect</t>
        </is>
      </c>
      <c r="AP37" s="132" t="inlineStr">
        <is>
          <t>C2 · Head of Function</t>
        </is>
      </c>
      <c r="AQ37" s="132" t="inlineStr">
        <is>
          <t>Data-driven selling, AI prospecting, ESG / regtech market knowledge</t>
        </is>
      </c>
    </row>
    <row r="38">
      <c r="A38" s="187" t="n"/>
      <c r="B38" s="188" t="n"/>
      <c r="C38" s="188" t="n"/>
      <c r="D38" s="188" t="n"/>
      <c r="E38" s="188" t="n"/>
      <c r="F38" s="188" t="n"/>
      <c r="G38" s="188" t="n"/>
      <c r="H38" s="188" t="n"/>
      <c r="I38" s="189" t="n"/>
      <c r="J38" s="190" t="n"/>
      <c r="K38" s="190" t="n"/>
      <c r="L38" s="190" t="n"/>
      <c r="M38" s="190" t="n"/>
      <c r="N38" s="191" t="n"/>
      <c r="O38" s="192" t="n"/>
      <c r="P38" s="192" t="n"/>
      <c r="Q38" s="192" t="n"/>
      <c r="R38" s="193" t="n"/>
      <c r="S38" s="194" t="n"/>
      <c r="T38" s="194" t="n"/>
      <c r="U38" s="194" t="n"/>
      <c r="V38" s="194" t="n"/>
      <c r="W38" s="194" t="n"/>
      <c r="X38" s="194" t="n"/>
      <c r="Y38" s="195" t="n"/>
      <c r="Z38" s="196" t="n"/>
      <c r="AA38" s="196" t="n"/>
      <c r="AB38" s="196" t="n"/>
      <c r="AC38" s="197" t="n"/>
      <c r="AD38" s="198" t="n"/>
      <c r="AE38" s="199" t="n"/>
      <c r="AF38" s="199" t="n"/>
      <c r="AG38" s="199" t="n"/>
      <c r="AH38" s="199" t="n"/>
      <c r="AI38" s="199" t="n"/>
      <c r="AJ38" s="199" t="n"/>
      <c r="AK38" s="199" t="n"/>
      <c r="AL38" s="199" t="n"/>
      <c r="AM38" s="199" t="n"/>
      <c r="AN38" s="200" t="n"/>
      <c r="AO38" s="201" t="n"/>
      <c r="AP38" s="201" t="n"/>
      <c r="AQ38" s="201" t="n"/>
    </row>
    <row r="39" ht="20" customHeight="1">
      <c r="A39" s="160" t="inlineStr">
        <is>
          <t>Technology — 10 people · 7 roles · Technology &amp; engineering · levels A1–C1 + X1</t>
        </is>
      </c>
    </row>
    <row r="40" ht="67" customHeight="1">
      <c r="A40" s="109" t="inlineStr">
        <is>
          <t>Technology</t>
        </is>
      </c>
      <c r="B40" s="111" t="inlineStr">
        <is>
          <t>Product Management</t>
        </is>
      </c>
      <c r="C40" s="111" t="inlineStr">
        <is>
          <t>Product Operations &amp; Research</t>
        </is>
      </c>
      <c r="D40" s="111" t="inlineStr">
        <is>
          <t>Intern – Product Operations &amp; Research</t>
        </is>
      </c>
      <c r="E40" s="26" t="inlineStr">
        <is>
          <t>A1</t>
        </is>
      </c>
      <c r="F40" s="140" t="inlineStr">
        <is>
          <t>Intern / Trainee</t>
        </is>
      </c>
      <c r="G40" s="111" t="inlineStr">
        <is>
          <t>IC</t>
        </is>
      </c>
      <c r="H40" s="112" t="n">
        <v>1</v>
      </c>
      <c r="I40" s="142" t="inlineStr">
        <is>
          <t>Learning the role; all work reviewed</t>
        </is>
      </c>
      <c r="J40" s="115" t="inlineStr">
        <is>
          <t>Learning; follows worked examples</t>
        </is>
      </c>
      <c r="K40" s="115" t="inlineStr">
        <is>
          <t>Needs approval / close guidance</t>
        </is>
      </c>
      <c r="L40" s="115" t="inlineStr">
        <is>
          <t>Learning tasks</t>
        </is>
      </c>
      <c r="M40" s="115" t="inlineStr">
        <is>
          <t>Not scored in Band A</t>
        </is>
      </c>
      <c r="N40" s="182" t="inlineStr">
        <is>
          <t>0 yrs · fresher / intern</t>
        </is>
      </c>
      <c r="O40" s="164" t="inlineStr">
        <is>
          <r>
            <rPr>
              <rFont val="Calibri"/>
              <sz val="10"/>
            </rPr>
            <t xml:space="preserve">Pursuing or completed graduation / diploma
</t>
          </r>
          <r>
            <rPr>
              <rFont val="Calibri"/>
              <b val="1"/>
              <sz val="10"/>
            </rPr>
            <t>Family:</t>
          </r>
          <r>
            <rPr>
              <rFont val="Calibri"/>
              <sz val="10"/>
            </rPr>
            <t xml:space="preserve"> Graduate; MBA / PGDM preferred</t>
          </r>
        </is>
      </c>
      <c r="P40" s="164" t="inlineStr">
        <is>
          <t>Internal product certification; CBAP / CCBA · optional</t>
        </is>
      </c>
      <c r="Q40" s="164" t="inlineStr">
        <is>
          <t>Product discovery, roadmap and P&amp;L basics</t>
        </is>
      </c>
      <c r="R40" s="183" t="inlineStr">
        <is>
          <t>—</t>
        </is>
      </c>
      <c r="S40" s="165" t="n"/>
      <c r="T40" s="165" t="n"/>
      <c r="U40" s="165" t="n"/>
      <c r="V40" s="165" t="n"/>
      <c r="W40" s="165" t="n"/>
      <c r="X40" s="165" t="n"/>
      <c r="Y40" s="121" t="inlineStr">
        <is>
          <t>★ Product, Platform &amp; Domain Knowledge · ★ Business Analysis &amp; Requirements Engineering</t>
        </is>
      </c>
      <c r="Z40" s="122" t="inlineStr">
        <is>
          <t>Data Analytics, BI &amp; Visualisation · Strategic Thinking &amp; Business Acumen · Stakeholder &amp; Client Management · AI, GenAI &amp; Prompt Engineering</t>
        </is>
      </c>
      <c r="AA40" s="122" t="inlineStr">
        <is>
          <t>—</t>
        </is>
      </c>
      <c r="AB40" s="122" t="inlineStr">
        <is>
          <t>Core 1 · Future-ready 1 · Functional 1 · Leadership —</t>
        </is>
      </c>
      <c r="AC40" s="123" t="inlineStr">
        <is>
          <t>No direct reports</t>
        </is>
      </c>
      <c r="AD40" s="185" t="inlineStr">
        <is>
          <t>Entry / P1</t>
        </is>
      </c>
      <c r="AE40" s="130" t="inlineStr">
        <is>
          <t>Entry</t>
        </is>
      </c>
      <c r="AF40" s="186" t="inlineStr">
        <is>
          <t>1 Follow</t>
        </is>
      </c>
      <c r="AG40" s="130" t="inlineStr">
        <is>
          <t>Product Analyst</t>
        </is>
      </c>
      <c r="AH40" s="130" t="inlineStr">
        <is>
          <t>Intern · MS Intern · —</t>
        </is>
      </c>
      <c r="AI40" s="130" t="inlineStr">
        <is>
          <t>Trainee · C1Y · L12 Associate</t>
        </is>
      </c>
      <c r="AJ40" s="130" t="inlineStr">
        <is>
          <t>Intern / Trainee</t>
        </is>
      </c>
      <c r="AK40" s="130" t="inlineStr">
        <is>
          <t>Radford / Pave</t>
        </is>
      </c>
      <c r="AL40" s="130" t="inlineStr">
        <is>
          <t>—</t>
        </is>
      </c>
      <c r="AM40" s="130" t="inlineStr">
        <is>
          <t>Pragmatic Institute Framework · 37 activities, 7 categories; AIPMM</t>
        </is>
      </c>
      <c r="AN40" s="131" t="inlineStr">
        <is>
          <t>Campus / intern programme only</t>
        </is>
      </c>
      <c r="AO40" s="132" t="inlineStr">
        <is>
          <t>A2 · Associate</t>
        </is>
      </c>
      <c r="AP40" s="132" t="inlineStr">
        <is>
          <t>A2 · common path</t>
        </is>
      </c>
      <c r="AQ40" s="132" t="inlineStr">
        <is>
          <t>AI product strategy, platform &amp; API products, ESG / digital-reporting markets</t>
        </is>
      </c>
    </row>
    <row r="41" ht="67" customHeight="1">
      <c r="A41" s="109" t="inlineStr">
        <is>
          <t>Technology</t>
        </is>
      </c>
      <c r="B41" s="111" t="inlineStr">
        <is>
          <t>Engineering &amp; Development</t>
        </is>
      </c>
      <c r="C41" s="111" t="inlineStr">
        <is>
          <t>Backend Development</t>
        </is>
      </c>
      <c r="D41" s="111" t="inlineStr">
        <is>
          <t>Software Engineer</t>
        </is>
      </c>
      <c r="E41" s="26" t="inlineStr">
        <is>
          <t>A2</t>
        </is>
      </c>
      <c r="F41" s="140" t="inlineStr">
        <is>
          <t>Associate</t>
        </is>
      </c>
      <c r="G41" s="111" t="inlineStr">
        <is>
          <t>IC</t>
        </is>
      </c>
      <c r="H41" s="112" t="n">
        <v>1</v>
      </c>
      <c r="I41" s="142" t="inlineStr">
        <is>
          <t>Standard work delivered independently</t>
        </is>
      </c>
      <c r="J41" s="115" t="inlineStr">
        <is>
          <t>Standard work of the discipline</t>
        </is>
      </c>
      <c r="K41" s="115" t="inlineStr">
        <is>
          <t>Chooses own approach within standards</t>
        </is>
      </c>
      <c r="L41" s="115" t="inlineStr">
        <is>
          <t>Own deliverables · accuracy, TAT</t>
        </is>
      </c>
      <c r="M41" s="115" t="inlineStr">
        <is>
          <t>Not scored in Band A</t>
        </is>
      </c>
      <c r="N41" s="182" t="inlineStr">
        <is>
          <t>0–2 yrs</t>
        </is>
      </c>
      <c r="O41" s="164" t="inlineStr">
        <is>
          <r>
            <rPr>
              <rFont val="Calibri"/>
              <sz val="10"/>
            </rPr>
            <t xml:space="preserve">Graduate · or diploma with experience
</t>
          </r>
          <r>
            <rPr>
              <rFont val="Calibri"/>
              <b val="1"/>
              <sz val="10"/>
            </rPr>
            <t>Family:</t>
          </r>
          <r>
            <rPr>
              <rFont val="Calibri"/>
              <sz val="10"/>
            </rPr>
            <t xml:space="preserve"> BE / B.Tech / MCA / M.Tech / B.Sc · CS</t>
          </r>
        </is>
      </c>
      <c r="P41" s="164" t="inlineStr">
        <is>
          <t>Cloud / language certifications · optional; AWS / Azure architect · optional</t>
        </is>
      </c>
      <c r="Q41" s="164" t="inlineStr">
        <is>
          <t>Secure coding · OWASP, code review, unit testing</t>
        </is>
      </c>
      <c r="R41" s="183" t="inlineStr">
        <is>
          <t>TE-A</t>
        </is>
      </c>
      <c r="S41" s="184" t="n">
        <v>0.64</v>
      </c>
      <c r="T41" s="184" t="n">
        <v>0.16</v>
      </c>
      <c r="U41" s="184" t="n">
        <v>0.04</v>
      </c>
      <c r="V41" s="184" t="n">
        <v>0</v>
      </c>
      <c r="W41" s="184" t="n">
        <v>0.1</v>
      </c>
      <c r="X41" s="184" t="n">
        <v>0.06</v>
      </c>
      <c r="Y41" s="121" t="inlineStr">
        <is>
          <t>★ Programming &amp; Tech-Stack Depth · ★ System Design &amp; Architecture</t>
        </is>
      </c>
      <c r="Z41" s="122" t="inlineStr">
        <is>
          <t>Database, SQL &amp; Data Engineering · Cloud, DevOps &amp; CI/CD · AI, GenAI &amp; Prompt Engineering · Product, Platform &amp; Domain Knowledge</t>
        </is>
      </c>
      <c r="AA41" s="122" t="inlineStr">
        <is>
          <t>—</t>
        </is>
      </c>
      <c r="AB41" s="122" t="inlineStr">
        <is>
          <t>Core 2 · Future-ready 2 · Functional 2 · Leadership —</t>
        </is>
      </c>
      <c r="AC41" s="123" t="inlineStr">
        <is>
          <t>No direct reports</t>
        </is>
      </c>
      <c r="AD41" s="185" t="inlineStr">
        <is>
          <t>P1–P2</t>
        </is>
      </c>
      <c r="AE41" s="130" t="inlineStr">
        <is>
          <t>Entry / Developing</t>
        </is>
      </c>
      <c r="AF41" s="186" t="inlineStr">
        <is>
          <t>2 Assist</t>
        </is>
      </c>
      <c r="AG41" s="130" t="inlineStr">
        <is>
          <t>Associate Software Engineer / Software Engineer</t>
        </is>
      </c>
      <c r="AH41" s="130" t="inlineStr">
        <is>
          <t>L3 · MS 59–60 · Associate SE</t>
        </is>
      </c>
      <c r="AI41" s="130" t="inlineStr">
        <is>
          <t>JL3B Systems Engineer · C1 Assistant System Engineer · L11 Analyst</t>
        </is>
      </c>
      <c r="AJ41" s="130" t="inlineStr">
        <is>
          <t>Analyst · DataTracks Associate</t>
        </is>
      </c>
      <c r="AK41" s="130" t="inlineStr">
        <is>
          <t>Workiva · Levels.fyi, Radford / Pave</t>
        </is>
      </c>
      <c r="AL41" s="130" t="inlineStr">
        <is>
          <r>
            <rPr>
              <rFont val="Calibri"/>
              <b val="1"/>
              <sz val="10"/>
            </rPr>
            <t>Workiva:</t>
          </r>
          <r>
            <rPr>
              <rFont val="Calibri"/>
              <sz val="10"/>
            </rPr>
            <t xml:space="preserve"> Associate SE · Broadridge India: SE · Nasdaq / AxiomSL: SE · Salesforce: AMTS · Atlassian: P30 Junior · 0–2 yrs · Freshworks: SE · Clear: SDE1</t>
          </r>
        </is>
      </c>
      <c r="AM41" s="130" t="inlineStr">
        <is>
          <t>SFIA 9 · software development, programming; OWASP secure coding; cloud vendor certifications</t>
        </is>
      </c>
      <c r="AN41" s="131" t="inlineStr">
        <is>
          <t>Lateral or campus · CT1 on confirmation; CT2 on joining</t>
        </is>
      </c>
      <c r="AO41" s="132" t="inlineStr">
        <is>
          <t>A3 · Senior Associate</t>
        </is>
      </c>
      <c r="AP41" s="132" t="inlineStr">
        <is>
          <t>A3 · common path</t>
        </is>
      </c>
      <c r="AQ41" s="132" t="inlineStr">
        <is>
          <t>AI-assisted coding, cloud-native &amp; API-first design, LLM integration</t>
        </is>
      </c>
    </row>
    <row r="42" ht="67" customHeight="1">
      <c r="A42" s="109" t="inlineStr">
        <is>
          <t>Technology</t>
        </is>
      </c>
      <c r="B42" s="111" t="inlineStr">
        <is>
          <t>Design &amp; Creative</t>
        </is>
      </c>
      <c r="C42" s="111" t="inlineStr">
        <is>
          <t>UX / UI Design</t>
        </is>
      </c>
      <c r="D42" s="111" t="inlineStr">
        <is>
          <t>Senior Product Designer</t>
        </is>
      </c>
      <c r="E42" s="26" t="inlineStr">
        <is>
          <t>A3</t>
        </is>
      </c>
      <c r="F42" s="140" t="inlineStr">
        <is>
          <t>Senior Associate</t>
        </is>
      </c>
      <c r="G42" s="111" t="inlineStr">
        <is>
          <t>IC</t>
        </is>
      </c>
      <c r="H42" s="112" t="n">
        <v>1</v>
      </c>
      <c r="I42" s="142" t="inlineStr">
        <is>
          <t>Varied work; reviews juniors; go-to for a process</t>
        </is>
      </c>
      <c r="J42" s="115" t="inlineStr">
        <is>
          <t>Varied and non-standard work; handles exceptions</t>
        </is>
      </c>
      <c r="K42" s="115" t="inlineStr">
        <is>
          <t>Technical / QC / client calls on own work</t>
        </is>
      </c>
      <c r="L42" s="115" t="inlineStr">
        <is>
          <t>A module / process, or work with client or regulatory consequences</t>
        </is>
      </c>
      <c r="M42" s="115" t="inlineStr">
        <is>
          <t>Not scored in Band A</t>
        </is>
      </c>
      <c r="N42" s="182" t="inlineStr">
        <is>
          <t>2–4 yrs</t>
        </is>
      </c>
      <c r="O42" s="164" t="inlineStr">
        <is>
          <r>
            <rPr>
              <rFont val="Calibri"/>
              <sz val="10"/>
            </rPr>
            <t xml:space="preserve">Graduate; relevant certification preferred
</t>
          </r>
          <r>
            <rPr>
              <rFont val="Calibri"/>
              <b val="1"/>
              <sz val="10"/>
            </rPr>
            <t>Family:</t>
          </r>
          <r>
            <rPr>
              <rFont val="Calibri"/>
              <sz val="10"/>
            </rPr>
            <t xml:space="preserve"> Graduate in design / communication</t>
          </r>
        </is>
      </c>
      <c r="P42" s="164" t="inlineStr">
        <is>
          <t>Internal product certification</t>
        </is>
      </c>
      <c r="Q42" s="164" t="inlineStr">
        <is>
          <t>Brand and accessibility standards · WCAG</t>
        </is>
      </c>
      <c r="R42" s="183" t="inlineStr">
        <is>
          <t>TE-A</t>
        </is>
      </c>
      <c r="S42" s="184" t="n">
        <v>0.64</v>
      </c>
      <c r="T42" s="184" t="n">
        <v>0.16</v>
      </c>
      <c r="U42" s="184" t="n">
        <v>0.04</v>
      </c>
      <c r="V42" s="184" t="n">
        <v>0</v>
      </c>
      <c r="W42" s="184" t="n">
        <v>0.1</v>
      </c>
      <c r="X42" s="184" t="n">
        <v>0.06</v>
      </c>
      <c r="Y42" s="121" t="inlineStr">
        <is>
          <t>★ Product, Platform &amp; Domain Knowledge · ★ Communication &amp; Presentation</t>
        </is>
      </c>
      <c r="Z42" s="122" t="inlineStr">
        <is>
          <t>Marketing Tech &amp; Digital Marketing · Process Improvement &amp; Quality Mindset · AI, GenAI &amp; Prompt Engineering · Stakeholder &amp; Client Management</t>
        </is>
      </c>
      <c r="AA42" s="122" t="inlineStr">
        <is>
          <t>—</t>
        </is>
      </c>
      <c r="AB42" s="122" t="inlineStr">
        <is>
          <t>Core 2 · Future-ready 2 · Functional 3 · Leadership —</t>
        </is>
      </c>
      <c r="AC42" s="123" t="inlineStr">
        <is>
          <t>None · guides 1–3 juniors informally</t>
        </is>
      </c>
      <c r="AD42" s="185" t="inlineStr">
        <is>
          <t>P2</t>
        </is>
      </c>
      <c r="AE42" s="130" t="inlineStr">
        <is>
          <t>Developing</t>
        </is>
      </c>
      <c r="AF42" s="186" t="inlineStr">
        <is>
          <t>3 Apply</t>
        </is>
      </c>
      <c r="AG42" s="130" t="inlineStr">
        <is>
          <t>Designer</t>
        </is>
      </c>
      <c r="AH42" s="130" t="inlineStr">
        <is>
          <t>L3–L4 · MS 61–62 · —</t>
        </is>
      </c>
      <c r="AI42" s="130" t="inlineStr">
        <is>
          <t>JL3A · C1 · L11–L10 · Senior Analyst</t>
        </is>
      </c>
      <c r="AJ42" s="130" t="inlineStr">
        <is>
          <t>Consultant · DataTracks Senior Associate · 2–5 yrs</t>
        </is>
      </c>
      <c r="AK42" s="130" t="inlineStr">
        <is>
          <t>Radford / Pave</t>
        </is>
      </c>
      <c r="AL42" s="130" t="inlineStr">
        <is>
          <t>IRIS Vs Competitor Benchmark — UX / design ladder: Designer</t>
        </is>
      </c>
      <c r="AM42" s="130" t="inlineStr">
        <is>
          <t>UX career ladder Junior → Designer → Senior → Lead → Principal; WCAG accessibility</t>
        </is>
      </c>
      <c r="AN42" s="131" t="inlineStr">
        <is>
          <t>Lateral or campus · CT2 at 12 months; CT3 in programme</t>
        </is>
      </c>
      <c r="AO42" s="132" t="inlineStr">
        <is>
          <t>B1 · Specialist</t>
        </is>
      </c>
      <c r="AP42" s="132" t="inlineStr">
        <is>
          <t>B1 · Team Lead</t>
        </is>
      </c>
      <c r="AQ42" s="132" t="inlineStr">
        <is>
          <t>AI-assisted design, design systems</t>
        </is>
      </c>
    </row>
    <row r="43" ht="67" customHeight="1">
      <c r="A43" s="109" t="inlineStr">
        <is>
          <t>Technology</t>
        </is>
      </c>
      <c r="B43" s="111" t="inlineStr">
        <is>
          <t>Engineering &amp; Development</t>
        </is>
      </c>
      <c r="C43" s="111" t="inlineStr">
        <is>
          <t>Backend Development</t>
        </is>
      </c>
      <c r="D43" s="111" t="inlineStr">
        <is>
          <t>Senior Software Engineer</t>
        </is>
      </c>
      <c r="E43" s="26" t="inlineStr">
        <is>
          <t>A3</t>
        </is>
      </c>
      <c r="F43" s="140" t="inlineStr">
        <is>
          <t>Senior Associate</t>
        </is>
      </c>
      <c r="G43" s="111" t="inlineStr">
        <is>
          <t>IC</t>
        </is>
      </c>
      <c r="H43" s="112" t="n">
        <v>2</v>
      </c>
      <c r="I43" s="142" t="inlineStr">
        <is>
          <t>Varied work; reviews juniors; go-to for a process</t>
        </is>
      </c>
      <c r="J43" s="115" t="inlineStr">
        <is>
          <t>Varied and non-standard work; handles exceptions</t>
        </is>
      </c>
      <c r="K43" s="115" t="inlineStr">
        <is>
          <t>Technical / QC / client calls on own work</t>
        </is>
      </c>
      <c r="L43" s="115" t="inlineStr">
        <is>
          <t>A module / process, or work with client or regulatory consequences</t>
        </is>
      </c>
      <c r="M43" s="115" t="inlineStr">
        <is>
          <t>Not scored in Band A</t>
        </is>
      </c>
      <c r="N43" s="182" t="inlineStr">
        <is>
          <t>2–4 yrs</t>
        </is>
      </c>
      <c r="O43" s="164" t="inlineStr">
        <is>
          <r>
            <rPr>
              <rFont val="Calibri"/>
              <sz val="10"/>
            </rPr>
            <t xml:space="preserve">Graduate; relevant certification preferred
</t>
          </r>
          <r>
            <rPr>
              <rFont val="Calibri"/>
              <b val="1"/>
              <sz val="10"/>
            </rPr>
            <t>Family:</t>
          </r>
          <r>
            <rPr>
              <rFont val="Calibri"/>
              <sz val="10"/>
            </rPr>
            <t xml:space="preserve"> BE / B.Tech / MCA / M.Tech / B.Sc · CS</t>
          </r>
        </is>
      </c>
      <c r="P43" s="164" t="inlineStr">
        <is>
          <t>Cloud / language certifications · optional; AWS / Azure architect · optional</t>
        </is>
      </c>
      <c r="Q43" s="164" t="inlineStr">
        <is>
          <t>Secure coding · OWASP, code review, unit testing</t>
        </is>
      </c>
      <c r="R43" s="183" t="inlineStr">
        <is>
          <t>TE-A</t>
        </is>
      </c>
      <c r="S43" s="184" t="n">
        <v>0.64</v>
      </c>
      <c r="T43" s="184" t="n">
        <v>0.16</v>
      </c>
      <c r="U43" s="184" t="n">
        <v>0.04</v>
      </c>
      <c r="V43" s="184" t="n">
        <v>0</v>
      </c>
      <c r="W43" s="184" t="n">
        <v>0.1</v>
      </c>
      <c r="X43" s="184" t="n">
        <v>0.06</v>
      </c>
      <c r="Y43" s="121" t="inlineStr">
        <is>
          <t>★ Programming &amp; Tech-Stack Depth · ★ System Design &amp; Architecture</t>
        </is>
      </c>
      <c r="Z43" s="122" t="inlineStr">
        <is>
          <t>Database, SQL &amp; Data Engineering · Cloud, DevOps &amp; CI/CD · AI, GenAI &amp; Prompt Engineering · Product, Platform &amp; Domain Knowledge</t>
        </is>
      </c>
      <c r="AA43" s="122" t="inlineStr">
        <is>
          <t>—</t>
        </is>
      </c>
      <c r="AB43" s="122" t="inlineStr">
        <is>
          <t>Core 2 · Future-ready 2 · Functional 3 · Leadership —</t>
        </is>
      </c>
      <c r="AC43" s="123" t="inlineStr">
        <is>
          <t>None · guides 1–3 juniors informally</t>
        </is>
      </c>
      <c r="AD43" s="185" t="inlineStr">
        <is>
          <t>P2</t>
        </is>
      </c>
      <c r="AE43" s="130" t="inlineStr">
        <is>
          <t>Developing</t>
        </is>
      </c>
      <c r="AF43" s="186" t="inlineStr">
        <is>
          <t>3 Apply</t>
        </is>
      </c>
      <c r="AG43" s="130" t="inlineStr">
        <is>
          <t>Software Engineer</t>
        </is>
      </c>
      <c r="AH43" s="130" t="inlineStr">
        <is>
          <t>L3–L4 · MS 61–62 · Software Engineer</t>
        </is>
      </c>
      <c r="AI43" s="130" t="inlineStr">
        <is>
          <t>JL3A Senior Systems Engineer · C1 System Engineer · L11–L10 · Senior Analyst</t>
        </is>
      </c>
      <c r="AJ43" s="130" t="inlineStr">
        <is>
          <t>Consultant · DataTracks Senior Associate · 2–5 yrs</t>
        </is>
      </c>
      <c r="AK43" s="130" t="inlineStr">
        <is>
          <t>Workiva · Levels.fyi, Radford / Pave</t>
        </is>
      </c>
      <c r="AL43" s="130" t="inlineStr">
        <is>
          <r>
            <rPr>
              <rFont val="Calibri"/>
              <b val="1"/>
              <sz val="10"/>
            </rPr>
            <t>Workiva:</t>
          </r>
          <r>
            <rPr>
              <rFont val="Calibri"/>
              <sz val="10"/>
            </rPr>
            <t xml:space="preserve"> SE · Broadridge India: SE · Nasdaq / AxiomSL: SE · Salesforce: MTS · Atlassian: P40 · 3–7 yrs · Freshworks: Senior SE · Clear: SDE2</t>
          </r>
        </is>
      </c>
      <c r="AM43" s="130" t="inlineStr">
        <is>
          <t>SFIA 9 · software development, programming; OWASP secure coding; cloud vendor certifications</t>
        </is>
      </c>
      <c r="AN43" s="131" t="inlineStr">
        <is>
          <t>Lateral or campus · CT2 at 12 months; CT3 in programme</t>
        </is>
      </c>
      <c r="AO43" s="132" t="inlineStr">
        <is>
          <t>B1 · Specialist</t>
        </is>
      </c>
      <c r="AP43" s="132" t="inlineStr">
        <is>
          <t>B1 · Team Lead</t>
        </is>
      </c>
      <c r="AQ43" s="132" t="inlineStr">
        <is>
          <t>AI-assisted coding, cloud-native &amp; API-first design, LLM integration</t>
        </is>
      </c>
    </row>
    <row r="44" ht="93" customHeight="1">
      <c r="A44" s="109" t="inlineStr">
        <is>
          <t>Technology</t>
        </is>
      </c>
      <c r="B44" s="111" t="inlineStr">
        <is>
          <t>Engineering &amp; Development</t>
        </is>
      </c>
      <c r="C44" s="111" t="inlineStr">
        <is>
          <t>Backend Development</t>
        </is>
      </c>
      <c r="D44" s="111" t="inlineStr">
        <is>
          <t>Senior Technical Specialist – POD Lead</t>
        </is>
      </c>
      <c r="E44" s="20" t="inlineStr">
        <is>
          <t>B2</t>
        </is>
      </c>
      <c r="F44" s="18" t="inlineStr">
        <is>
          <t>Senior Specialist · POD Lead</t>
        </is>
      </c>
      <c r="G44" s="111" t="inlineStr">
        <is>
          <t>POD Lead</t>
        </is>
      </c>
      <c r="H44" s="112" t="n">
        <v>1</v>
      </c>
      <c r="I44" s="142" t="inlineStr">
        <is>
          <t>Deep domain expertise, or one team</t>
        </is>
      </c>
      <c r="J44" s="115" t="inlineStr">
        <is>
          <t>Hardest problems in the domain</t>
        </is>
      </c>
      <c r="K44" s="115" t="inlineStr">
        <is>
          <t>Allocates people and sets team priorities</t>
        </is>
      </c>
      <c r="L44" s="115" t="inlineStr">
        <is>
          <t>One team or a client portfolio</t>
        </is>
      </c>
      <c r="M44" s="115" t="inlineStr">
        <is>
          <r>
            <rPr>
              <rFont val="Calibri"/>
              <b val="1"/>
              <sz val="10"/>
            </rPr>
            <t>IC:</t>
          </r>
          <r>
            <rPr>
              <rFont val="Calibri"/>
              <sz val="10"/>
            </rPr>
            <t xml:space="preserve"> guides others in the domain · People: manages a team of 6+</t>
          </r>
        </is>
      </c>
      <c r="N44" s="182" t="inlineStr">
        <is>
          <t>6–9 yrs</t>
        </is>
      </c>
      <c r="O44" s="164" t="inlineStr">
        <is>
          <r>
            <rPr>
              <rFont val="Calibri"/>
              <sz val="10"/>
            </rPr>
            <t xml:space="preserve">Graduate or postgraduate; professional qualification preferred
</t>
          </r>
          <r>
            <rPr>
              <rFont val="Calibri"/>
              <b val="1"/>
              <sz val="10"/>
            </rPr>
            <t>Family:</t>
          </r>
          <r>
            <rPr>
              <rFont val="Calibri"/>
              <sz val="10"/>
            </rPr>
            <t xml:space="preserve"> BE / B.Tech / MCA / M.Tech / B.Sc · CS</t>
          </r>
        </is>
      </c>
      <c r="P44" s="164" t="inlineStr">
        <is>
          <t>Cloud / language certifications · optional; AWS / Azure architect · optional</t>
        </is>
      </c>
      <c r="Q44" s="164" t="inlineStr">
        <is>
          <t>Secure coding · OWASP, code review, unit testing</t>
        </is>
      </c>
      <c r="R44" s="183" t="inlineStr">
        <is>
          <t>TE-B-IC</t>
        </is>
      </c>
      <c r="S44" s="184" t="n">
        <v>0.5600000000000001</v>
      </c>
      <c r="T44" s="184" t="n">
        <v>0.17</v>
      </c>
      <c r="U44" s="184" t="n">
        <v>0.05</v>
      </c>
      <c r="V44" s="184" t="n">
        <v>0.05</v>
      </c>
      <c r="W44" s="184" t="n">
        <v>0.1</v>
      </c>
      <c r="X44" s="184" t="n">
        <v>0.07000000000000001</v>
      </c>
      <c r="Y44" s="121" t="inlineStr">
        <is>
          <t>★ Programming &amp; Tech-Stack Depth · ★ System Design &amp; Architecture</t>
        </is>
      </c>
      <c r="Z44" s="122" t="inlineStr">
        <is>
          <t>Database, SQL &amp; Data Engineering · Cloud, DevOps &amp; CI/CD · AI, GenAI &amp; Prompt Engineering · Product, Platform &amp; Domain Knowledge</t>
        </is>
      </c>
      <c r="AA44" s="122" t="inlineStr">
        <is>
          <t>—</t>
        </is>
      </c>
      <c r="AB44" s="122" t="inlineStr">
        <is>
          <t>Core 3 · Future-ready 3 · Functional 4 · Leadership 3</t>
        </is>
      </c>
      <c r="AC44" s="123" t="inlineStr">
        <is>
          <r>
            <rPr>
              <rFont val="Calibri"/>
              <b val="1"/>
              <sz val="10"/>
            </rPr>
            <t>IC:</t>
          </r>
          <r>
            <rPr>
              <rFont val="Calibri"/>
              <sz val="10"/>
            </rPr>
            <t xml:space="preserve"> none · People: 6–8 knowledge work, 8–12 standardised delivery</t>
          </r>
        </is>
      </c>
      <c r="AD44" s="185" t="inlineStr">
        <is>
          <t>P4</t>
        </is>
      </c>
      <c r="AE44" s="130" t="inlineStr">
        <is>
          <t>Senior / Manager</t>
        </is>
      </c>
      <c r="AF44" s="186" t="inlineStr">
        <is>
          <t>4–5</t>
        </is>
      </c>
      <c r="AG44" s="130" t="inlineStr">
        <is>
          <t>Lead / Staff Engineer</t>
        </is>
      </c>
      <c r="AH44" s="130" t="inlineStr">
        <is>
          <t>L5 · Senior · MS 63 · Senior SE</t>
        </is>
      </c>
      <c r="AI44" s="130" t="inlineStr">
        <is>
          <t>JL5 Technology Lead · C3A Assistant Consultant · L8 Associate Manager</t>
        </is>
      </c>
      <c r="AJ44" s="130" t="inlineStr">
        <is>
          <t>Manager</t>
        </is>
      </c>
      <c r="AK44" s="130" t="inlineStr">
        <is>
          <t>Workiva · Levels.fyi, Radford / Pave</t>
        </is>
      </c>
      <c r="AL44" s="130" t="inlineStr">
        <is>
          <r>
            <rPr>
              <rFont val="Calibri"/>
              <b val="1"/>
              <sz val="10"/>
            </rPr>
            <t>Workiva:</t>
          </r>
          <r>
            <rPr>
              <rFont val="Calibri"/>
              <sz val="10"/>
            </rPr>
            <t xml:space="preserve"> Senior SE · Broadridge India: Lead SE · Nasdaq / AxiomSL: Senior SE · Salesforce: SMTS · Atlassian: P50 Senior · 6–12 yrs · Freshworks: Lead SE · Clear: SDE3 / Senior · IRIS Vs Competitor Benchmark — engineering managers: Engineering Manager</t>
          </r>
        </is>
      </c>
      <c r="AM44" s="130" t="inlineStr">
        <is>
          <t>SFIA 9 · software development, programming; OWASP secure coding; cloud vendor certifications</t>
        </is>
      </c>
      <c r="AN44" s="131" t="inlineStr">
        <is>
          <t>Lateral</t>
        </is>
      </c>
      <c r="AO44" s="132" t="inlineStr">
        <is>
          <t>B3 · Lead Specialist</t>
        </is>
      </c>
      <c r="AP44" s="132" t="inlineStr">
        <is>
          <t>B3 · Senior Manager</t>
        </is>
      </c>
      <c r="AQ44" s="132" t="inlineStr">
        <is>
          <t>AI-assisted coding, cloud-native &amp; API-first design, LLM integration</t>
        </is>
      </c>
    </row>
    <row r="45" ht="67" customHeight="1">
      <c r="A45" s="109" t="inlineStr">
        <is>
          <t>Technology</t>
        </is>
      </c>
      <c r="B45" s="111" t="inlineStr">
        <is>
          <t>Engineering &amp; Architecture</t>
        </is>
      </c>
      <c r="C45" s="111" t="inlineStr">
        <is>
          <t>Solution &amp; Technical Architecture</t>
        </is>
      </c>
      <c r="D45" s="111" t="inlineStr">
        <is>
          <t>Solution Architect</t>
        </is>
      </c>
      <c r="E45" s="33" t="inlineStr">
        <is>
          <t>C1</t>
        </is>
      </c>
      <c r="F45" s="151" t="inlineStr">
        <is>
          <t>Principal</t>
        </is>
      </c>
      <c r="G45" s="111" t="inlineStr">
        <is>
          <t>IC</t>
        </is>
      </c>
      <c r="H45" s="112" t="n">
        <v>1</v>
      </c>
      <c r="I45" s="142" t="inlineStr">
        <is>
          <t>A sub-function, or principal authority across products</t>
        </is>
      </c>
      <c r="J45" s="115" t="inlineStr">
        <is>
          <t>Ambiguous, cross-product problems</t>
        </is>
      </c>
      <c r="K45" s="115" t="inlineStr">
        <is>
          <t>Sets direction for a sub-function or domain</t>
        </is>
      </c>
      <c r="L45" s="115" t="inlineStr">
        <is>
          <t>Sub-function results or domain quality across products</t>
        </is>
      </c>
      <c r="M45" s="115" t="inlineStr">
        <is>
          <t>Leads managers or a community of practice</t>
        </is>
      </c>
      <c r="N45" s="182" t="inlineStr">
        <is>
          <t>10–14 yrs</t>
        </is>
      </c>
      <c r="O45" s="164" t="inlineStr">
        <is>
          <r>
            <rPr>
              <rFont val="Calibri"/>
              <sz val="10"/>
            </rPr>
            <t xml:space="preserve">Postgraduate / professional qualification preferred
</t>
          </r>
          <r>
            <rPr>
              <rFont val="Calibri"/>
              <b val="1"/>
              <sz val="10"/>
            </rPr>
            <t>Family:</t>
          </r>
          <r>
            <rPr>
              <rFont val="Calibri"/>
              <sz val="10"/>
            </rPr>
            <t xml:space="preserve"> BE / B.Tech / MCA / M.Tech</t>
          </r>
        </is>
      </c>
      <c r="P45" s="164" t="inlineStr">
        <is>
          <t>AWS / Azure architect · optional; Cloud / language certifications · optional</t>
        </is>
      </c>
      <c r="Q45" s="164" t="inlineStr">
        <is>
          <t>Architecture governance, security by design</t>
        </is>
      </c>
      <c r="R45" s="183" t="inlineStr">
        <is>
          <t>TE-C-IC</t>
        </is>
      </c>
      <c r="S45" s="184" t="n">
        <v>0.59</v>
      </c>
      <c r="T45" s="184" t="n">
        <v>0.18</v>
      </c>
      <c r="U45" s="184" t="n">
        <v>0.05</v>
      </c>
      <c r="V45" s="184" t="n">
        <v>0.05</v>
      </c>
      <c r="W45" s="184" t="n">
        <v>0.05</v>
      </c>
      <c r="X45" s="184" t="n">
        <v>0.08</v>
      </c>
      <c r="Y45" s="121" t="inlineStr">
        <is>
          <t>★ System Design &amp; Architecture · ★ Programming &amp; Tech-Stack Depth</t>
        </is>
      </c>
      <c r="Z45" s="122" t="inlineStr">
        <is>
          <t>Cloud, DevOps &amp; CI/CD · Cybersecurity &amp; Infrastructure · Stakeholder &amp; Client Management · Strategic Thinking &amp; Business Acumen</t>
        </is>
      </c>
      <c r="AA45" s="122" t="inlineStr">
        <is>
          <t>—</t>
        </is>
      </c>
      <c r="AB45" s="122" t="inlineStr">
        <is>
          <t>Core 4 · Future-ready 4 · Functional 4 · Leadership 4</t>
        </is>
      </c>
      <c r="AC45" s="123" t="inlineStr">
        <is>
          <t>5–8, mostly managers</t>
        </is>
      </c>
      <c r="AD45" s="185" t="inlineStr">
        <is>
          <t>P6</t>
        </is>
      </c>
      <c r="AE45" s="130" t="inlineStr">
        <is>
          <t>Principal / Director</t>
        </is>
      </c>
      <c r="AF45" s="186" t="inlineStr">
        <is>
          <t>5–6</t>
        </is>
      </c>
      <c r="AG45" s="130" t="inlineStr">
        <is>
          <t>Chief / Enterprise Architect</t>
        </is>
      </c>
      <c r="AH45" s="130" t="inlineStr">
        <is>
          <t>L6 · Staff · MS 64–65 · Staff SE</t>
        </is>
      </c>
      <c r="AI45" s="130" t="inlineStr">
        <is>
          <t>JL6B · C4 Consultant · L7 Manager</t>
        </is>
      </c>
      <c r="AJ45" s="130" t="inlineStr">
        <is>
          <t>Associate Director</t>
        </is>
      </c>
      <c r="AK45" s="130" t="inlineStr">
        <is>
          <t>Radford / Pave, Workiva</t>
        </is>
      </c>
      <c r="AL45" s="130" t="inlineStr">
        <is>
          <r>
            <rPr>
              <rFont val="Calibri"/>
              <b val="1"/>
              <sz val="10"/>
            </rPr>
            <t>Nasdaq / AxiomSL:</t>
          </r>
          <r>
            <rPr>
              <rFont val="Calibri"/>
              <sz val="10"/>
            </rPr>
            <t xml:space="preserve"> Principal SE · Salesforce: PMTS · Atlassian: P60 Principal · 10+ yrs · Freshworks: Senior Staff SE · IRIS Vs Competitor Benchmark — engineering managers: Senior EM / Director</t>
          </r>
        </is>
      </c>
      <c r="AM45" s="130" t="inlineStr">
        <is>
          <t>SFIA 9 · solution architecture; TOGAF; AWS / Azure architect certifications</t>
        </is>
      </c>
      <c r="AN45" s="131" t="inlineStr">
        <is>
          <t>Internal posting first; lateral</t>
        </is>
      </c>
      <c r="AO45" s="132" t="inlineStr">
        <is>
          <t>C2 · Senior Principal / Architect</t>
        </is>
      </c>
      <c r="AP45" s="132" t="inlineStr">
        <is>
          <t>C2 · Head of Function</t>
        </is>
      </c>
      <c r="AQ45" s="132" t="inlineStr">
        <is>
          <t>AI / LLM platform architecture, xBRL-CSV &amp; open-data APIs, cost-optimised cloud</t>
        </is>
      </c>
    </row>
    <row r="46" ht="54" customHeight="1">
      <c r="A46" s="109" t="inlineStr">
        <is>
          <t>Technology</t>
        </is>
      </c>
      <c r="B46" s="111" t="inlineStr">
        <is>
          <t>Engineering &amp; Development</t>
        </is>
      </c>
      <c r="C46" s="111" t="inlineStr">
        <is>
          <t>Backend Development</t>
        </is>
      </c>
      <c r="D46" s="111" t="inlineStr">
        <is>
          <t>Associate Consultant – Software Development</t>
        </is>
      </c>
      <c r="E46" s="45" t="inlineStr">
        <is>
          <t>X1</t>
        </is>
      </c>
      <c r="F46" s="136" t="inlineStr">
        <is>
          <t>Associate Consultant</t>
        </is>
      </c>
      <c r="G46" s="111" t="inlineStr">
        <is>
          <t>Consultant</t>
        </is>
      </c>
      <c r="H46" s="112" t="n">
        <v>3</v>
      </c>
      <c r="I46" s="142" t="inlineStr">
        <is>
          <t>Defined deliverables under a statement of work · ≈ A2–A3</t>
        </is>
      </c>
      <c r="J46" s="115" t="inlineStr">
        <is>
          <t>—</t>
        </is>
      </c>
      <c r="K46" s="115" t="inlineStr">
        <is>
          <t>—</t>
        </is>
      </c>
      <c r="L46" s="115" t="inlineStr">
        <is>
          <t>—</t>
        </is>
      </c>
      <c r="M46" s="115" t="inlineStr">
        <is>
          <t>—</t>
        </is>
      </c>
      <c r="N46" s="182" t="inlineStr">
        <is>
          <t>0–5 yrs</t>
        </is>
      </c>
      <c r="O46" s="164" t="inlineStr">
        <is>
          <r>
            <rPr>
              <rFont val="Calibri"/>
              <sz val="10"/>
            </rPr>
            <t xml:space="preserve">As for equivalent role
</t>
          </r>
          <r>
            <rPr>
              <rFont val="Calibri"/>
              <b val="1"/>
              <sz val="10"/>
            </rPr>
            <t>Family:</t>
          </r>
          <r>
            <rPr>
              <rFont val="Calibri"/>
              <sz val="10"/>
            </rPr>
            <t xml:space="preserve"> BE / B.Tech / MCA / M.Tech / B.Sc · CS</t>
          </r>
        </is>
      </c>
      <c r="P46" s="164" t="inlineStr">
        <is>
          <t>Cloud / language certifications · optional; AWS / Azure architect · optional</t>
        </is>
      </c>
      <c r="Q46" s="164" t="inlineStr">
        <is>
          <t>Secure coding · OWASP, code review, unit testing</t>
        </is>
      </c>
      <c r="R46" s="183" t="inlineStr">
        <is>
          <t>—</t>
        </is>
      </c>
      <c r="S46" s="165" t="n"/>
      <c r="T46" s="165" t="n"/>
      <c r="U46" s="165" t="n"/>
      <c r="V46" s="165" t="n"/>
      <c r="W46" s="165" t="n"/>
      <c r="X46" s="165" t="n"/>
      <c r="Y46" s="121" t="inlineStr">
        <is>
          <t>Per statement of work</t>
        </is>
      </c>
      <c r="Z46" s="122" t="inlineStr">
        <is>
          <t>—</t>
        </is>
      </c>
      <c r="AA46" s="122" t="inlineStr">
        <is>
          <t>—</t>
        </is>
      </c>
      <c r="AB46" s="122" t="inlineStr">
        <is>
          <t>Per statement of work</t>
        </is>
      </c>
      <c r="AC46" s="123" t="inlineStr">
        <is>
          <t>Not counted in spans</t>
        </is>
      </c>
      <c r="AD46" s="185" t="inlineStr">
        <is>
          <t>Contractor</t>
        </is>
      </c>
      <c r="AE46" s="130" t="inlineStr">
        <is>
          <t>Contractor</t>
        </is>
      </c>
      <c r="AF46" s="186" t="inlineStr">
        <is>
          <t>—</t>
        </is>
      </c>
      <c r="AG46" s="130" t="inlineStr">
        <is>
          <t>Contractor · rate card</t>
        </is>
      </c>
      <c r="AH46" s="130" t="inlineStr">
        <is>
          <t>—</t>
        </is>
      </c>
      <c r="AI46" s="130" t="inlineStr">
        <is>
          <t>—</t>
        </is>
      </c>
      <c r="AJ46" s="130" t="inlineStr">
        <is>
          <t>—</t>
        </is>
      </c>
      <c r="AK46" s="130" t="inlineStr">
        <is>
          <t>Workiva · Levels.fyi, Radford / Pave</t>
        </is>
      </c>
      <c r="AL46" s="130" t="inlineStr">
        <is>
          <t>—</t>
        </is>
      </c>
      <c r="AM46" s="130" t="inlineStr">
        <is>
          <t>SFIA 9 · software development, programming; OWASP secure coding; cloud vendor certifications</t>
        </is>
      </c>
      <c r="AN46" s="131" t="inlineStr">
        <is>
          <t>Statement of work</t>
        </is>
      </c>
      <c r="AO46" s="132" t="inlineStr">
        <is>
          <t>—</t>
        </is>
      </c>
      <c r="AP46" s="132" t="inlineStr">
        <is>
          <t>—</t>
        </is>
      </c>
      <c r="AQ46" s="132" t="inlineStr">
        <is>
          <t>AI-assisted coding, cloud-native &amp; API-first design, LLM integration</t>
        </is>
      </c>
    </row>
  </sheetData>
  <mergeCells count="20">
    <mergeCell ref="A27:AQ27"/>
    <mergeCell ref="A3:AQ3"/>
    <mergeCell ref="A2:AQ2"/>
    <mergeCell ref="A32:AQ32"/>
    <mergeCell ref="A14:AQ14"/>
    <mergeCell ref="A17:AQ17"/>
    <mergeCell ref="R5:X5"/>
    <mergeCell ref="A4:C4"/>
    <mergeCell ref="AD5:AM5"/>
    <mergeCell ref="AN5:AQ5"/>
    <mergeCell ref="A39:AQ39"/>
    <mergeCell ref="A24:AQ24"/>
    <mergeCell ref="A5:H5"/>
    <mergeCell ref="I5:M5"/>
    <mergeCell ref="A1:AQ1"/>
    <mergeCell ref="Y5:AB5"/>
    <mergeCell ref="A36:AQ36"/>
    <mergeCell ref="AC5"/>
    <mergeCell ref="N5:Q5"/>
    <mergeCell ref="A7:AQ7"/>
  </mergeCells>
  <conditionalFormatting sqref="S7:S48">
    <cfRule type="colorScale" priority="1">
      <colorScale>
        <cfvo type="num" val="0"/>
        <cfvo type="num" val="0.4"/>
        <color rgb="00FFFFFF"/>
        <color rgb="00A9D08E"/>
      </colorScale>
    </cfRule>
  </conditionalFormatting>
  <conditionalFormatting sqref="T7:T48">
    <cfRule type="colorScale" priority="2">
      <colorScale>
        <cfvo type="num" val="0"/>
        <cfvo type="num" val="0.4"/>
        <color rgb="00FFFFFF"/>
        <color rgb="00A9D08E"/>
      </colorScale>
    </cfRule>
  </conditionalFormatting>
  <conditionalFormatting sqref="U7:U48">
    <cfRule type="colorScale" priority="3">
      <colorScale>
        <cfvo type="num" val="0"/>
        <cfvo type="num" val="0.4"/>
        <color rgb="00FFFFFF"/>
        <color rgb="00A9D08E"/>
      </colorScale>
    </cfRule>
  </conditionalFormatting>
  <conditionalFormatting sqref="V7:V48">
    <cfRule type="colorScale" priority="4">
      <colorScale>
        <cfvo type="num" val="0"/>
        <cfvo type="num" val="0.4"/>
        <color rgb="00FFFFFF"/>
        <color rgb="00A9D08E"/>
      </colorScale>
    </cfRule>
  </conditionalFormatting>
  <conditionalFormatting sqref="W7:W48">
    <cfRule type="colorScale" priority="5">
      <colorScale>
        <cfvo type="num" val="0"/>
        <cfvo type="num" val="0.4"/>
        <color rgb="00FFFFFF"/>
        <color rgb="00A9D08E"/>
      </colorScale>
    </cfRule>
  </conditionalFormatting>
  <conditionalFormatting sqref="X7:X48">
    <cfRule type="colorScale" priority="6">
      <colorScale>
        <cfvo type="num" val="0"/>
        <cfvo type="num" val="0.4"/>
        <color rgb="00FFFFFF"/>
        <color rgb="00A9D08E"/>
      </colorScale>
    </cfRule>
  </conditionalFormatting>
  <hyperlinks>
    <hyperlink xmlns:r="http://schemas.openxmlformats.org/officeDocument/2006/relationships" ref="AR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4.xml><?xml version="1.0" encoding="utf-8"?>
<worksheet xmlns="http://schemas.openxmlformats.org/spreadsheetml/2006/main">
  <sheetPr>
    <tabColor rgb="00548235"/>
    <outlinePr summaryBelow="1" summaryRight="1"/>
    <pageSetUpPr fitToPage="1"/>
  </sheetPr>
  <dimension ref="A1:AJ40"/>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1" customWidth="1" min="9" max="9"/>
    <col width="7" customWidth="1" min="10" max="10"/>
    <col width="9" customWidth="1" min="11" max="11"/>
    <col width="17" customWidth="1" min="12" max="12"/>
    <col width="13" customWidth="1" min="13" max="13"/>
    <col width="7" customWidth="1" min="14" max="14"/>
    <col width="8" customWidth="1" min="15" max="15"/>
    <col width="16" customWidth="1" min="16" max="16"/>
    <col width="8" customWidth="1" min="17" max="17"/>
    <col width="13" customWidth="1" min="18" max="18"/>
    <col width="7" customWidth="1" min="19" max="19"/>
    <col width="7" customWidth="1" min="20" max="20"/>
    <col width="12" customWidth="1" min="21" max="21"/>
    <col width="7" customWidth="1" min="22" max="22"/>
    <col width="22" customWidth="1" min="23" max="23"/>
    <col width="22" customWidth="1" min="24" max="24"/>
    <col width="40" customWidth="1" min="25" max="25"/>
    <col width="32" customWidth="1" min="26" max="26"/>
    <col width="28" customWidth="1" min="27" max="27"/>
    <col width="26" customWidth="1" min="28" max="28"/>
    <col width="28" customWidth="1" min="29" max="29"/>
    <col width="22" customWidth="1" min="30" max="30"/>
    <col width="24" customWidth="1" min="31" max="31"/>
    <col width="32" customWidth="1" min="32" max="32"/>
    <col width="28" customWidth="1" min="33" max="33"/>
    <col width="7" customWidth="1" min="34" max="34"/>
    <col width="12" customWidth="1" min="35" max="35"/>
    <col width="20" customWidth="1" min="36" max="36"/>
  </cols>
  <sheetData>
    <row r="1" ht="34" customHeight="1">
      <c r="A1" s="1" t="inlineStr">
        <is>
          <t>Talent, Learning &amp; Mobility — per person</t>
        </is>
      </c>
      <c r="U1" s="241" t="inlineStr">
        <is>
          <t>◂ Contents</t>
        </is>
      </c>
    </row>
    <row r="2" ht="30" customHeight="1">
      <c r="A2" s="3" t="inlineStr">
        <is>
          <t>Sheet 8 · Manager talent data, competency results against the role's profile, learning needs from three angles · self, manager, role, and mobility signals · lateral options, duplicated work, similar talent elsewhere in IRIS, span.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L4" s="67" t="inlineStr">
        <is>
          <t>Newly mapped</t>
        </is>
      </c>
      <c r="N4" s="68" t="inlineStr">
        <is>
          <t>Player-Coach · B+ · C+</t>
        </is>
      </c>
      <c r="Q4" s="69" t="inlineStr">
        <is>
          <t>RED = critical input needed · could change or confirm the level</t>
        </is>
      </c>
      <c r="V4" s="71" t="inlineStr">
        <is>
          <t>YELLOW = to complete in validation</t>
        </is>
      </c>
    </row>
    <row r="5" ht="32" customHeight="1">
      <c r="A5" s="73" t="inlineStr">
        <is>
          <t>PERSON</t>
        </is>
      </c>
      <c r="J5" s="74" t="inlineStr">
        <is>
          <t>TALENT · manager mapping</t>
        </is>
      </c>
      <c r="Q5" s="76" t="inlineStr">
        <is>
          <t>COMPETENCY RESULT</t>
        </is>
      </c>
      <c r="Z5" s="77" t="inlineStr">
        <is>
          <t>LEARNING NEEDS</t>
        </is>
      </c>
      <c r="AE5" s="79" t="inlineStr">
        <is>
          <t>MOBILITY, OVERLAP &amp; STRUCTURE</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Track</t>
        </is>
      </c>
      <c r="J6" s="93" t="inlineStr">
        <is>
          <t>Latest rating</t>
        </is>
      </c>
      <c r="K6" s="12" t="inlineStr">
        <is>
          <t>Potential</t>
        </is>
      </c>
      <c r="L6" s="12" t="inlineStr">
        <is>
          <t>9-box</t>
        </is>
      </c>
      <c r="M6" s="12" t="inlineStr">
        <is>
          <t>Readiness</t>
        </is>
      </c>
      <c r="N6" s="12" t="inlineStr">
        <is>
          <t>Top performer</t>
        </is>
      </c>
      <c r="O6" s="12" t="inlineStr">
        <is>
          <t>Critical role · Y/N</t>
        </is>
      </c>
      <c r="P6" s="12" t="inlineStr">
        <is>
          <t>Successor named</t>
        </is>
      </c>
      <c r="Q6" s="94" t="inlineStr">
        <is>
          <t>Competency index %</t>
        </is>
      </c>
      <c r="R6" s="156" t="inlineStr">
        <is>
          <t>Fit</t>
        </is>
      </c>
      <c r="S6" s="156" t="inlineStr">
        <is>
          <t>Core %</t>
        </is>
      </c>
      <c r="T6" s="156" t="inlineStr">
        <is>
          <t>Future-ready %</t>
        </is>
      </c>
      <c r="U6" s="156" t="inlineStr">
        <is>
          <t>Functional %</t>
        </is>
      </c>
      <c r="V6" s="156" t="inlineStr">
        <is>
          <t>Leadership %</t>
        </is>
      </c>
      <c r="W6" s="156" t="inlineStr">
        <is>
          <t>Top gaps</t>
        </is>
      </c>
      <c r="X6" s="156" t="inlineStr">
        <is>
          <t>Readiness for next level</t>
        </is>
      </c>
      <c r="Y6" s="156" t="inlineStr">
        <is>
          <t>Ratings by competency · rating / required</t>
        </is>
      </c>
      <c r="Z6" s="95" t="inlineStr">
        <is>
          <t>Self-identified — topics · survey; not quoted</t>
        </is>
      </c>
      <c r="AA6" s="96" t="inlineStr">
        <is>
          <t>Manager-identified</t>
        </is>
      </c>
      <c r="AB6" s="96" t="inlineStr">
        <is>
          <t>Role-based priorities</t>
        </is>
      </c>
      <c r="AC6" s="96" t="inlineStr">
        <is>
          <t>To move to the next role — topics · survey; not quoted</t>
        </is>
      </c>
      <c r="AD6" s="96" t="inlineStr">
        <is>
          <t>Training for next role</t>
        </is>
      </c>
      <c r="AE6" s="97" t="inlineStr">
        <is>
          <t>Lateral move options</t>
        </is>
      </c>
      <c r="AF6" s="98" t="inlineStr">
        <is>
          <t>Duplication — same business</t>
        </is>
      </c>
      <c r="AG6" s="98" t="inlineStr">
        <is>
          <t>Alternate talent pool — other businesses</t>
        </is>
      </c>
      <c r="AH6" s="98" t="inlineStr">
        <is>
          <t>Direct reports</t>
        </is>
      </c>
      <c r="AI6" s="98" t="inlineStr">
        <is>
          <t>Span status</t>
        </is>
      </c>
      <c r="AJ6" s="98" t="inlineStr">
        <is>
          <t>Span action</t>
        </is>
      </c>
    </row>
    <row r="7" ht="171" customHeight="1">
      <c r="A7" s="109" t="inlineStr">
        <is>
          <t>IRISDT0012</t>
        </is>
      </c>
      <c r="B7" s="111" t="inlineStr">
        <is>
          <t>Jeevan Khokale</t>
        </is>
      </c>
      <c r="C7" s="111" t="inlineStr">
        <is>
          <t>Datatech - Outreach</t>
        </is>
      </c>
      <c r="D7" s="114" t="inlineStr">
        <is>
          <t>Program Manager</t>
        </is>
      </c>
      <c r="E7" s="114" t="inlineStr">
        <is>
          <t>Senior Program Specialist – POD Lead</t>
        </is>
      </c>
      <c r="F7" s="111" t="inlineStr">
        <is>
          <t>L5 – Manager</t>
        </is>
      </c>
      <c r="G7" s="20" t="inlineStr">
        <is>
          <t>B2</t>
        </is>
      </c>
      <c r="H7" s="117" t="inlineStr">
        <is>
          <t>• Same level</t>
        </is>
      </c>
      <c r="I7" s="111" t="inlineStr">
        <is>
          <t>POD Lead</t>
        </is>
      </c>
      <c r="J7" s="142" t="n">
        <v>3</v>
      </c>
      <c r="K7" s="115" t="inlineStr">
        <is>
          <t>Medium</t>
        </is>
      </c>
      <c r="L7" s="115" t="inlineStr">
        <is>
          <t>Core Contributor</t>
        </is>
      </c>
      <c r="M7" s="115" t="inlineStr">
        <is>
          <t>Develop in role</t>
        </is>
      </c>
      <c r="N7" s="115" t="n"/>
      <c r="O7" s="115" t="inlineStr"/>
      <c r="P7" s="115" t="inlineStr"/>
      <c r="Q7" s="118" t="n">
        <v>106</v>
      </c>
      <c r="R7" s="164" t="inlineStr">
        <is>
          <t>Exceeds — ready for stretch</t>
        </is>
      </c>
      <c r="S7" s="164" t="n">
        <v>110</v>
      </c>
      <c r="T7" s="164" t="n">
        <v>83</v>
      </c>
      <c r="U7" s="164" t="n">
        <v>113</v>
      </c>
      <c r="V7" s="164" t="n">
        <v>105</v>
      </c>
      <c r="W7" s="164" t="inlineStr">
        <is>
          <t>AI literacy, Innovation</t>
        </is>
      </c>
      <c r="X7" s="164" t="inlineStr">
        <is>
          <r>
            <rPr>
              <rFont val="Calibri"/>
              <b val="1"/>
              <sz val="10"/>
            </rPr>
            <t>B3:</t>
          </r>
          <r>
            <rPr>
              <rFont val="Calibri"/>
              <sz val="10"/>
            </rPr>
            <t xml:space="preserve"> 96% of profile — ready on competencies</t>
          </r>
        </is>
      </c>
      <c r="Y7" s="164" t="inlineStr">
        <is>
          <r>
            <rPr>
              <rFont val="Calibri"/>
              <b val="1"/>
              <sz val="10"/>
            </rPr>
            <t>Evidence:</t>
          </r>
          <r>
            <rPr>
              <rFont val="Calibri"/>
              <sz val="10"/>
            </rPr>
            <t xml:space="preserve"> Survey + KRAs | Core: Ownership 4/3, Problem solving 3/3, Communication &amp; collaboration 4/3, Client &amp; quality focus 4/3, Learning agility 3/3, Integrity &amp; compliance 3/3 | Future-ready: AI literacy 2/3, Data literacy 3/3, Digital fluency 3/3, Innovation 2/3 | Functional: Sales &amp; negotiation 5/4, Digital marketing 5/4, Stakeholder mgmt 5/4, Communication 4/4, Product &amp; domain 5/4, Business acumen 4/4 | Leadership: Developing people 3/3, Decision making 3/3, Strategic acumen 3/3, Influence &amp; change 4/3</t>
          </r>
        </is>
      </c>
      <c r="Z7" s="119" t="inlineStr">
        <is>
          <t>Leadership &amp; people management · Project / programme management · Strategy &amp; business acumen · Broader exposure &amp; ownership</t>
        </is>
      </c>
      <c r="AA7" s="165" t="inlineStr">
        <is>
          <t>Product knowledge · loan/BHR products; Objection handling; Sales approach/pitch technique</t>
        </is>
      </c>
      <c r="AB7" s="165" t="inlineStr">
        <is>
          <t>People Leadership &amp; Mentoring; Strategic Thinking &amp; Business Acumen; Advanced Excel &amp; Productivity Tools</t>
        </is>
      </c>
      <c r="AC7" s="165" t="inlineStr">
        <is>
          <t>Leadership &amp; people management · Project / programme management · Strategy &amp; business acumen · Broader exposure &amp; ownership</t>
        </is>
      </c>
      <c r="AD7" s="165" t="inlineStr">
        <is>
          <r>
            <rPr>
              <rFont val="Calibri"/>
              <b val="1"/>
              <sz val="10"/>
            </rPr>
            <t>Target role:</t>
          </r>
          <r>
            <rPr>
              <rFont val="Calibri"/>
              <sz val="10"/>
            </rPr>
            <t xml:space="preserve"> Onground Team Lead · formalizing existing informal management of Lakshmikanth. Development: team-lead training - performance management, coaching juniors, structured 1:1s. Review date: 31-08-2026</t>
          </r>
        </is>
      </c>
      <c r="AE7" s="121" t="inlineStr">
        <is>
          <t>No strong match from survey evidence</t>
        </is>
      </c>
      <c r="AF7" s="122" t="inlineStr">
        <is>
          <t>Lakshmikantha RN · Program Executive — 0.47: msme, lead, business, loan; Vaibhav Dukare · Program Executive — 0.31: loan, lead, business, crm</t>
        </is>
      </c>
      <c r="AG7" s="122" t="inlineStr">
        <is>
          <t>No close match in other businesses</t>
        </is>
      </c>
      <c r="AH7" s="122" t="n">
        <v>1</v>
      </c>
      <c r="AI7" s="122" t="inlineStr">
        <is>
          <t>POD Lead</t>
        </is>
      </c>
      <c r="AJ7" s="122" t="n"/>
    </row>
    <row r="8" ht="171" customHeight="1">
      <c r="A8" s="109" t="inlineStr">
        <is>
          <t>IRISDT0011</t>
        </is>
      </c>
      <c r="B8" s="111" t="inlineStr">
        <is>
          <t>Raghin Nair</t>
        </is>
      </c>
      <c r="C8" s="111" t="inlineStr">
        <is>
          <t>Datatech - Outreach</t>
        </is>
      </c>
      <c r="D8" s="114" t="inlineStr">
        <is>
          <t>Program Lead</t>
        </is>
      </c>
      <c r="E8" s="114" t="inlineStr">
        <is>
          <t>Program Manager – Outreach</t>
        </is>
      </c>
      <c r="F8" s="114" t="inlineStr">
        <is>
          <t>L5 – Lead · IC</t>
        </is>
      </c>
      <c r="G8" s="138" t="inlineStr">
        <is>
          <t>B2</t>
        </is>
      </c>
      <c r="H8" s="139" t="inlineStr">
        <is>
          <t>▼ Down · protected</t>
        </is>
      </c>
      <c r="I8" s="111" t="inlineStr">
        <is>
          <t>People Manager</t>
        </is>
      </c>
      <c r="J8" s="142" t="n">
        <v>3</v>
      </c>
      <c r="K8" s="115" t="inlineStr">
        <is>
          <t>—</t>
        </is>
      </c>
      <c r="L8" s="115" t="inlineStr">
        <is>
          <t>Core Contributor</t>
        </is>
      </c>
      <c r="M8" s="115" t="inlineStr">
        <is>
          <t>Develop in role</t>
        </is>
      </c>
      <c r="N8" s="115" t="n"/>
      <c r="O8" s="115" t="inlineStr">
        <is>
          <t>Yes</t>
        </is>
      </c>
      <c r="P8" s="115" t="inlineStr"/>
      <c r="Q8" s="118" t="n">
        <v>93</v>
      </c>
      <c r="R8" s="164" t="inlineStr">
        <is>
          <t>Meets the level</t>
        </is>
      </c>
      <c r="S8" s="164" t="n">
        <v>96</v>
      </c>
      <c r="T8" s="164" t="n">
        <v>75</v>
      </c>
      <c r="U8" s="164" t="n">
        <v>95</v>
      </c>
      <c r="V8" s="164" t="n">
        <v>97</v>
      </c>
      <c r="W8" s="164" t="inlineStr">
        <is>
          <t>Communication, Product &amp; domain, Ownership</t>
        </is>
      </c>
      <c r="X8" s="164" t="inlineStr">
        <is>
          <r>
            <rPr>
              <rFont val="Calibri"/>
              <b val="1"/>
              <sz val="10"/>
            </rPr>
            <t>B3:</t>
          </r>
          <r>
            <rPr>
              <rFont val="Calibri"/>
              <sz val="10"/>
            </rPr>
            <t xml:space="preserve"> 81% of profile — close</t>
          </r>
        </is>
      </c>
      <c r="Y8" s="164" t="inlineStr">
        <is>
          <r>
            <rPr>
              <rFont val="Calibri"/>
              <b val="1"/>
              <sz val="10"/>
            </rPr>
            <t>Evidence:</t>
          </r>
          <r>
            <rPr>
              <rFont val="Calibri"/>
              <sz val="10"/>
            </rPr>
            <t xml:space="preserve"> Survey | Core: Ownership 2/3, Problem solving 3/3, Communication &amp; collaboration 4/3, Client &amp; quality focus 4/3, Learning agility 2/3, Integrity &amp; compliance 3/3 | Future-ready: AI literacy 2/3, Data literacy 2/3, Digital fluency 2/3, Innovation 3/3 | Functional: Sales &amp; negotiation 5/4, Digital marketing 4/4, Stakeholder mgmt 4/4, Communication 3/4, Product &amp; domain 3/4, Business acumen 4/4 | Leadership: Developing people 3/3, Decision making 2/3, Strategic acumen 3/3, Influence &amp; change 4/3</t>
          </r>
        </is>
      </c>
      <c r="Z8" s="119" t="inlineStr">
        <is>
          <t>Data, SQL &amp; analytics · Client, sales &amp; stakeholders · Strategy &amp; business acumen</t>
        </is>
      </c>
      <c r="AA8" s="165" t="n"/>
      <c r="AB8" s="165" t="inlineStr">
        <is>
          <t>Project, Program &amp; Agile Management; People Leadership &amp; Mentoring; Sales, Negotiation &amp; Account Growth</t>
        </is>
      </c>
      <c r="AC8" s="165" t="inlineStr">
        <is>
          <t>Data, SQL &amp; analytics · Client, sales &amp; stakeholders · Strategy &amp; business acumen</t>
        </is>
      </c>
      <c r="AD8" s="165" t="n"/>
      <c r="AE8" s="121" t="inlineStr">
        <is>
          <t>No strong match from survey evidence</t>
        </is>
      </c>
      <c r="AF8" s="122" t="inlineStr">
        <is>
          <t>No material overlap found</t>
        </is>
      </c>
      <c r="AG8" s="122" t="inlineStr">
        <is>
          <t>Aniket Das · CARBON, Senior Sales Operations Analyst — 0.29</t>
        </is>
      </c>
      <c r="AH8" s="122" t="n">
        <v>6</v>
      </c>
      <c r="AI8" s="122" t="inlineStr">
        <is>
          <t>Within norm</t>
        </is>
      </c>
      <c r="AJ8" s="122" t="n"/>
    </row>
    <row r="9" ht="132" customHeight="1">
      <c r="A9" s="109" t="inlineStr">
        <is>
          <t>IRISDT0013</t>
        </is>
      </c>
      <c r="B9" s="111" t="inlineStr">
        <is>
          <t>Bharati Durgaprasad Paranjape</t>
        </is>
      </c>
      <c r="C9" s="111" t="inlineStr">
        <is>
          <t>Datatech - Outreach</t>
        </is>
      </c>
      <c r="D9" s="114" t="inlineStr">
        <is>
          <t>Program Executive - MSME</t>
        </is>
      </c>
      <c r="E9" s="114" t="inlineStr">
        <is>
          <t>Senior Program Executive</t>
        </is>
      </c>
      <c r="F9" s="114" t="inlineStr">
        <is>
          <t>L3 – Professional / Associate</t>
        </is>
      </c>
      <c r="G9" s="138" t="inlineStr">
        <is>
          <t>A3</t>
        </is>
      </c>
      <c r="H9" s="141" t="inlineStr">
        <is>
          <t>▲ Up</t>
        </is>
      </c>
      <c r="I9" s="111" t="inlineStr">
        <is>
          <t>IC</t>
        </is>
      </c>
      <c r="J9" s="142" t="n">
        <v>3</v>
      </c>
      <c r="K9" s="115" t="inlineStr">
        <is>
          <t>Medium</t>
        </is>
      </c>
      <c r="L9" s="115" t="inlineStr">
        <is>
          <t>Emerging Talent</t>
        </is>
      </c>
      <c r="M9" s="115" t="inlineStr">
        <is>
          <t>Develop in role</t>
        </is>
      </c>
      <c r="N9" s="115" t="n"/>
      <c r="O9" s="115" t="inlineStr"/>
      <c r="P9" s="115" t="inlineStr"/>
      <c r="Q9" s="118" t="n">
        <v>78</v>
      </c>
      <c r="R9" s="164" t="inlineStr">
        <is>
          <t>Developing</t>
        </is>
      </c>
      <c r="S9" s="164" t="n">
        <v>78</v>
      </c>
      <c r="T9" s="164" t="n">
        <v>50</v>
      </c>
      <c r="U9" s="164" t="n">
        <v>89</v>
      </c>
      <c r="V9" s="164" t="n"/>
      <c r="W9" s="164" t="inlineStr">
        <is>
          <t>Product &amp; domain, Business acumen, Ownership</t>
        </is>
      </c>
      <c r="X9" s="164" t="inlineStr">
        <is>
          <r>
            <rPr>
              <rFont val="Calibri"/>
              <b val="1"/>
              <sz val="10"/>
            </rPr>
            <t>B1:</t>
          </r>
          <r>
            <rPr>
              <rFont val="Calibri"/>
              <sz val="10"/>
            </rPr>
            <t xml:space="preserve"> 71% of profile — not yet</t>
          </r>
        </is>
      </c>
      <c r="Y9" s="164" t="inlineStr">
        <is>
          <r>
            <rPr>
              <rFont val="Calibri"/>
              <b val="1"/>
              <sz val="10"/>
            </rPr>
            <t>Evidence:</t>
          </r>
          <r>
            <rPr>
              <rFont val="Calibri"/>
              <sz val="10"/>
            </rPr>
            <t xml:space="preserve"> Survey + KRAs | Core: Ownership 1/2, Problem solving 1/2, Communication &amp; collaboration 3/2, Client &amp; quality focus 2/2, Learning agility 1/2, Integrity &amp; compliance 2/2 | Future-ready: AI literacy 1/2, Data literacy 1/2, Digital fluency 1/2, Innovation 1/2 | Functional: Sales &amp; negotiation 3/3, Digital marketing 3/3, Stakeholder mgmt 3/3, Communication 3/3, Product &amp; domain 2/3, Business acumen 2/3</t>
          </r>
        </is>
      </c>
      <c r="Z9" s="119" t="inlineStr">
        <is>
          <t>Client, sales &amp; stakeholders</t>
        </is>
      </c>
      <c r="AA9" s="165" t="inlineStr">
        <is>
          <t>Product knowledge · loan/BHR products; Objection handling; Sales approach/pitch technique</t>
        </is>
      </c>
      <c r="AB9" s="165" t="inlineStr">
        <is>
          <t>Sales, Negotiation &amp; Account Growth; Communication &amp; Presentation; Marketing Tech &amp; Digital Marketing</t>
        </is>
      </c>
      <c r="AC9" s="165" t="inlineStr">
        <is>
          <t>Client, sales &amp; stakeholders</t>
        </is>
      </c>
      <c r="AD9" s="165" t="inlineStr">
        <is>
          <r>
            <rPr>
              <rFont val="Calibri"/>
              <b val="1"/>
              <sz val="10"/>
            </rPr>
            <t>Target role:</t>
          </r>
          <r>
            <rPr>
              <rFont val="Calibri"/>
              <sz val="10"/>
            </rPr>
            <t xml:space="preserve"> Senior Field Associate · interim step. Development: deepen product/sales skill first, before layering on management scope. Review date: 31-08-2026</t>
          </r>
        </is>
      </c>
      <c r="AE9" s="121" t="inlineStr">
        <is>
          <t>No strong match from survey evidence</t>
        </is>
      </c>
      <c r="AF9" s="122" t="inlineStr">
        <is>
          <t>No material overlap found</t>
        </is>
      </c>
      <c r="AG9" s="122" t="inlineStr">
        <is>
          <t>No close match in other businesses</t>
        </is>
      </c>
      <c r="AH9" s="122" t="n"/>
      <c r="AI9" s="122" t="n"/>
      <c r="AJ9" s="122" t="n"/>
    </row>
    <row r="10" ht="132" customHeight="1">
      <c r="A10" s="109" t="inlineStr">
        <is>
          <t>IRISDT0017</t>
        </is>
      </c>
      <c r="B10" s="111" t="inlineStr">
        <is>
          <t>Lakshmikantha RN</t>
        </is>
      </c>
      <c r="C10" s="111" t="inlineStr">
        <is>
          <t>Datatech - Outreach</t>
        </is>
      </c>
      <c r="D10" s="114" t="inlineStr">
        <is>
          <t>Program Executive - MSME</t>
        </is>
      </c>
      <c r="E10" s="114" t="inlineStr">
        <is>
          <t>Senior Program Executive</t>
        </is>
      </c>
      <c r="F10" s="114" t="inlineStr">
        <is>
          <t>L3 – Professional / Associate</t>
        </is>
      </c>
      <c r="G10" s="138" t="inlineStr">
        <is>
          <t>A3</t>
        </is>
      </c>
      <c r="H10" s="141" t="inlineStr">
        <is>
          <t>▲ Up</t>
        </is>
      </c>
      <c r="I10" s="111" t="inlineStr">
        <is>
          <t>IC</t>
        </is>
      </c>
      <c r="J10" s="142" t="n">
        <v>3</v>
      </c>
      <c r="K10" s="115" t="inlineStr">
        <is>
          <t>Medium</t>
        </is>
      </c>
      <c r="L10" s="115" t="inlineStr">
        <is>
          <t>Core Contributor</t>
        </is>
      </c>
      <c r="M10" s="115" t="inlineStr">
        <is>
          <t>Develop in role</t>
        </is>
      </c>
      <c r="N10" s="115" t="n"/>
      <c r="O10" s="115" t="inlineStr"/>
      <c r="P10" s="115" t="inlineStr"/>
      <c r="Q10" s="118" t="n">
        <v>92</v>
      </c>
      <c r="R10" s="164" t="inlineStr">
        <is>
          <t>Meets the level</t>
        </is>
      </c>
      <c r="S10" s="164" t="n">
        <v>90</v>
      </c>
      <c r="T10" s="164" t="n">
        <v>62</v>
      </c>
      <c r="U10" s="164" t="n">
        <v>104</v>
      </c>
      <c r="V10" s="164" t="n"/>
      <c r="W10" s="164" t="inlineStr">
        <is>
          <t>Business acumen, Problem solving, Learning agility</t>
        </is>
      </c>
      <c r="X10" s="164" t="inlineStr">
        <is>
          <r>
            <rPr>
              <rFont val="Calibri"/>
              <b val="1"/>
              <sz val="10"/>
            </rPr>
            <t>B1:</t>
          </r>
          <r>
            <rPr>
              <rFont val="Calibri"/>
              <sz val="10"/>
            </rPr>
            <t xml:space="preserve"> 82% of profile — close</t>
          </r>
        </is>
      </c>
      <c r="Y10" s="164" t="inlineStr">
        <is>
          <r>
            <rPr>
              <rFont val="Calibri"/>
              <b val="1"/>
              <sz val="10"/>
            </rPr>
            <t>Evidence:</t>
          </r>
          <r>
            <rPr>
              <rFont val="Calibri"/>
              <sz val="10"/>
            </rPr>
            <t xml:space="preserve"> Survey + KRAs | Core: Ownership 2/2, Problem solving 1/2, Communication &amp; collaboration 3/2, Client &amp; quality focus 3/2, Learning agility 1/2, Integrity &amp; compliance 2/2 | Future-ready: AI literacy 1/2, Data literacy 2/2, Digital fluency 1/2, Innovation 1/2 | Functional: Sales &amp; negotiation 4/3, Digital marketing 4/3, Stakeholder mgmt 4/3, Communication 3/3, Product &amp; domain 3/3, Business acumen 2/3</t>
          </r>
        </is>
      </c>
      <c r="Z10" s="119" t="inlineStr">
        <is>
          <t>Leadership &amp; people management · Client, sales &amp; stakeholders</t>
        </is>
      </c>
      <c r="AA10" s="165" t="inlineStr">
        <is>
          <t>Product knowledge · loan/BHR products; Objection handling; Sales approach/pitch technique</t>
        </is>
      </c>
      <c r="AB10" s="165" t="inlineStr">
        <is>
          <t>Sales, Negotiation &amp; Account Growth; Communication &amp; Presentation</t>
        </is>
      </c>
      <c r="AC10" s="165" t="inlineStr">
        <is>
          <t>Leadership &amp; people management · Client, sales &amp; stakeholders</t>
        </is>
      </c>
      <c r="AD10" s="165" t="inlineStr">
        <is>
          <r>
            <rPr>
              <rFont val="Calibri"/>
              <b val="1"/>
              <sz val="10"/>
            </rPr>
            <t>Target role:</t>
          </r>
          <r>
            <rPr>
              <rFont val="Calibri"/>
              <sz val="10"/>
            </rPr>
            <t xml:space="preserve"> Senior Field Associate · interim step. Development: deepen product/sales skill first, before layering on management scope. Review date: 31-08-2026</t>
          </r>
        </is>
      </c>
      <c r="AE10" s="121" t="inlineStr">
        <is>
          <t>No strong match from survey evidence</t>
        </is>
      </c>
      <c r="AF10" s="122" t="inlineStr">
        <is>
          <t>Jeevan Khokale · Senior Program Specialist – POD Lead — 0.47: msme, lead, business, loan</t>
        </is>
      </c>
      <c r="AG10" s="122" t="inlineStr">
        <is>
          <t>Vijay Krishna Chintha · CARBON, Team Lead – Sales Development — 0.26</t>
        </is>
      </c>
      <c r="AH10" s="122" t="n"/>
      <c r="AI10" s="122" t="n"/>
      <c r="AJ10" s="122" t="n"/>
    </row>
    <row r="11" ht="132" customHeight="1">
      <c r="A11" s="109" t="inlineStr">
        <is>
          <t>IRISDT0003</t>
        </is>
      </c>
      <c r="B11" s="111" t="inlineStr">
        <is>
          <t>Nalini Niranjan Damisetti</t>
        </is>
      </c>
      <c r="C11" s="111" t="inlineStr">
        <is>
          <t>Datatech - Outreach</t>
        </is>
      </c>
      <c r="D11" s="114" t="inlineStr">
        <is>
          <t>Program Coordinator</t>
        </is>
      </c>
      <c r="E11" s="114" t="inlineStr">
        <is>
          <t>Senior Program Executive</t>
        </is>
      </c>
      <c r="F11" s="114" t="inlineStr">
        <is>
          <t>L3 – Professional / Associate</t>
        </is>
      </c>
      <c r="G11" s="138" t="inlineStr">
        <is>
          <t>A3</t>
        </is>
      </c>
      <c r="H11" s="141" t="inlineStr">
        <is>
          <t>▲ Up</t>
        </is>
      </c>
      <c r="I11" s="111" t="inlineStr">
        <is>
          <t>IC</t>
        </is>
      </c>
      <c r="J11" s="142" t="n">
        <v>3</v>
      </c>
      <c r="K11" s="115" t="inlineStr">
        <is>
          <t>Medium</t>
        </is>
      </c>
      <c r="L11" s="115" t="inlineStr">
        <is>
          <t>Performance Risk</t>
        </is>
      </c>
      <c r="M11" s="115" t="inlineStr">
        <is>
          <t>Develop in role</t>
        </is>
      </c>
      <c r="N11" s="115" t="n"/>
      <c r="O11" s="115" t="inlineStr"/>
      <c r="P11" s="115" t="inlineStr"/>
      <c r="Q11" s="118" t="n">
        <v>79</v>
      </c>
      <c r="R11" s="164" t="inlineStr">
        <is>
          <t>Developing</t>
        </is>
      </c>
      <c r="S11" s="164" t="n">
        <v>90</v>
      </c>
      <c r="T11" s="164" t="n">
        <v>50</v>
      </c>
      <c r="U11" s="164" t="n">
        <v>83</v>
      </c>
      <c r="V11" s="164" t="n"/>
      <c r="W11" s="164" t="inlineStr">
        <is>
          <t>Communication, Product &amp; domain, Business acumen</t>
        </is>
      </c>
      <c r="X11" s="164" t="inlineStr">
        <is>
          <r>
            <rPr>
              <rFont val="Calibri"/>
              <b val="1"/>
              <sz val="10"/>
            </rPr>
            <t>B1:</t>
          </r>
          <r>
            <rPr>
              <rFont val="Calibri"/>
              <sz val="10"/>
            </rPr>
            <t xml:space="preserve"> 71% of profile — not yet</t>
          </r>
        </is>
      </c>
      <c r="Y11" s="164" t="inlineStr">
        <is>
          <r>
            <rPr>
              <rFont val="Calibri"/>
              <b val="1"/>
              <sz val="10"/>
            </rPr>
            <t>Evidence:</t>
          </r>
          <r>
            <rPr>
              <rFont val="Calibri"/>
              <sz val="10"/>
            </rPr>
            <t xml:space="preserve"> Survey + KRAs | Core: Ownership 1/2, Problem solving 2/2, Communication &amp; collaboration 3/2, Client &amp; quality focus 3/2, Learning agility 1/2, Integrity &amp; compliance 2/2 | Future-ready: AI literacy 1/2, Data literacy 1/2, Digital fluency 1/2, Innovation 1/2 | Functional: Sales &amp; negotiation 3/3, Digital marketing 3/3, Stakeholder mgmt 3/3, Communication 2/3, Product &amp; domain 2/3, Business acumen 2/3</t>
          </r>
        </is>
      </c>
      <c r="Z11" s="119" t="inlineStr">
        <is>
          <t>Answered · no common topic</t>
        </is>
      </c>
      <c r="AA11" s="165" t="inlineStr">
        <is>
          <t>Objection handling · converting hesitant MSMEs; BHR selling</t>
        </is>
      </c>
      <c r="AB11" s="165" t="inlineStr">
        <is>
          <t>SB.INS-F: Role-specific methods; quality controls; stakeholder communication</t>
        </is>
      </c>
      <c r="AC11" s="165" t="inlineStr">
        <is>
          <t>Answered · no common topic</t>
        </is>
      </c>
      <c r="AD11" s="165" t="n"/>
      <c r="AE11" s="121" t="inlineStr">
        <is>
          <t>No strong match from survey evidence</t>
        </is>
      </c>
      <c r="AF11" s="122" t="inlineStr">
        <is>
          <t>No material overlap found</t>
        </is>
      </c>
      <c r="AG11" s="122" t="inlineStr">
        <is>
          <t>No close match in other businesses</t>
        </is>
      </c>
      <c r="AH11" s="122" t="n"/>
      <c r="AI11" s="122" t="n"/>
      <c r="AJ11" s="122" t="n"/>
    </row>
    <row r="12" ht="132" customHeight="1">
      <c r="A12" s="109" t="inlineStr">
        <is>
          <t>IRISDTC004</t>
        </is>
      </c>
      <c r="B12" s="111" t="inlineStr">
        <is>
          <t>Sameeksha More</t>
        </is>
      </c>
      <c r="C12" s="111" t="inlineStr">
        <is>
          <t>Datatech - Outreach</t>
        </is>
      </c>
      <c r="D12" s="111" t="inlineStr">
        <is>
          <t>MIS Associate</t>
        </is>
      </c>
      <c r="E12" s="111" t="inlineStr">
        <is>
          <t>MIS Associate</t>
        </is>
      </c>
      <c r="F12" s="114" t="inlineStr">
        <is>
          <t>Not in current mapping files</t>
        </is>
      </c>
      <c r="G12" s="138" t="inlineStr">
        <is>
          <t>A2</t>
        </is>
      </c>
      <c r="H12" s="143" t="inlineStr">
        <is>
          <t>● Newly mapped</t>
        </is>
      </c>
      <c r="I12" s="111" t="inlineStr">
        <is>
          <t>IC</t>
        </is>
      </c>
      <c r="J12" s="142" t="n">
        <v>4</v>
      </c>
      <c r="K12" s="115" t="inlineStr">
        <is>
          <t>Medium</t>
        </is>
      </c>
      <c r="L12" s="115" t="inlineStr">
        <is>
          <t>Core Contributor</t>
        </is>
      </c>
      <c r="M12" s="115" t="inlineStr">
        <is>
          <t>Ready in 6–12 months</t>
        </is>
      </c>
      <c r="N12" s="115" t="n"/>
      <c r="O12" s="115" t="inlineStr">
        <is>
          <t>Yes</t>
        </is>
      </c>
      <c r="P12" s="115" t="inlineStr"/>
      <c r="Q12" s="118" t="n">
        <v>89</v>
      </c>
      <c r="R12" s="164" t="inlineStr">
        <is>
          <t>Developing</t>
        </is>
      </c>
      <c r="S12" s="164" t="n">
        <v>102</v>
      </c>
      <c r="T12" s="164" t="n">
        <v>80</v>
      </c>
      <c r="U12" s="164" t="n">
        <v>85</v>
      </c>
      <c r="V12" s="164" t="n"/>
      <c r="W12" s="164" t="inlineStr">
        <is>
          <t>SQL &amp; data, Regulatory domain, Accounting standards</t>
        </is>
      </c>
      <c r="X12" s="164" t="inlineStr">
        <is>
          <r>
            <rPr>
              <rFont val="Calibri"/>
              <b val="1"/>
              <sz val="10"/>
            </rPr>
            <t>A3:</t>
          </r>
          <r>
            <rPr>
              <rFont val="Calibri"/>
              <sz val="10"/>
            </rPr>
            <t xml:space="preserve"> 80% of profile — close</t>
          </r>
        </is>
      </c>
      <c r="Y12" s="164" t="inlineStr">
        <is>
          <r>
            <rPr>
              <rFont val="Calibri"/>
              <b val="1"/>
              <sz val="10"/>
            </rPr>
            <t>Evidence:</t>
          </r>
          <r>
            <rPr>
              <rFont val="Calibri"/>
              <sz val="10"/>
            </rPr>
            <t xml:space="preserve"> Survey + KRAs | Core: Ownership 3/2, Problem solving 3/2, Communication &amp; collaboration 2/2, Client &amp; quality focus 4/2, Learning agility 1/2, Integrity &amp; compliance 2/2 | Future-ready: AI literacy 1/2, Data literacy 3/2, Digital fluency 2/2, Innovation 1/2 | Functional: Analytics &amp; BI 3/2, SQL &amp; data 1/2, Excel &amp; tools 3/2, Regulatory domain 1/2, Quality &amp; process 3/2, Accounting standards 1/2</t>
          </r>
        </is>
      </c>
      <c r="Z12" s="119" t="inlineStr">
        <is>
          <t>Technical depth &amp; architecture · Data, SQL &amp; analytics</t>
        </is>
      </c>
      <c r="AA12" s="165" t="n"/>
      <c r="AB12" s="165" t="inlineStr">
        <is>
          <t>Data Analytics, BI &amp; Visualisation; AI, GenAI &amp; Prompt Engineering; Advanced Excel &amp; Productivity Tools</t>
        </is>
      </c>
      <c r="AC12" s="165" t="inlineStr">
        <is>
          <t>Technical depth &amp; architecture · Data, SQL &amp; analytics</t>
        </is>
      </c>
      <c r="AD12" s="165" t="inlineStr">
        <is>
          <r>
            <rPr>
              <rFont val="Calibri"/>
              <b val="1"/>
              <sz val="10"/>
            </rPr>
            <t>Decision:</t>
          </r>
          <r>
            <rPr>
              <rFont val="Calibri"/>
              <sz val="10"/>
            </rPr>
            <t xml:space="preserve"> Contract extension · not conversion at this point for 6-12 months.</t>
          </r>
        </is>
      </c>
      <c r="AE12" s="121" t="inlineStr">
        <is>
          <t>No strong match from survey evidence</t>
        </is>
      </c>
      <c r="AF12" s="122" t="inlineStr">
        <is>
          <t>No material overlap found</t>
        </is>
      </c>
      <c r="AG12" s="122" t="inlineStr">
        <is>
          <t>No close match in other businesses</t>
        </is>
      </c>
      <c r="AH12" s="122" t="n"/>
      <c r="AI12" s="122" t="n"/>
      <c r="AJ12" s="122" t="n"/>
    </row>
    <row r="13" ht="132" customHeight="1">
      <c r="A13" s="109" t="inlineStr">
        <is>
          <t>IRISDT0015</t>
        </is>
      </c>
      <c r="B13" s="111" t="inlineStr">
        <is>
          <t>Jothi Pillai</t>
        </is>
      </c>
      <c r="C13" s="111" t="inlineStr">
        <is>
          <t>Datatech - Outreach</t>
        </is>
      </c>
      <c r="D13" s="114" t="inlineStr">
        <is>
          <t>Operations Executive</t>
        </is>
      </c>
      <c r="E13" s="114" t="inlineStr">
        <is>
          <t>Program Executive</t>
        </is>
      </c>
      <c r="F13" s="111" t="inlineStr">
        <is>
          <t>L3 – Professional / Associate</t>
        </is>
      </c>
      <c r="G13" s="26" t="inlineStr">
        <is>
          <t>A2</t>
        </is>
      </c>
      <c r="H13" s="117" t="inlineStr">
        <is>
          <t>• Same level</t>
        </is>
      </c>
      <c r="I13" s="111" t="inlineStr">
        <is>
          <t>IC</t>
        </is>
      </c>
      <c r="J13" s="142" t="n">
        <v>2</v>
      </c>
      <c r="K13" s="115" t="inlineStr">
        <is>
          <t>Low</t>
        </is>
      </c>
      <c r="L13" s="115" t="inlineStr">
        <is>
          <t>Underperformer / Exit Risk</t>
        </is>
      </c>
      <c r="M13" s="115" t="inlineStr">
        <is>
          <t>Performance first</t>
        </is>
      </c>
      <c r="N13" s="115" t="n"/>
      <c r="O13" s="115" t="inlineStr">
        <is>
          <t>Yes</t>
        </is>
      </c>
      <c r="P13" s="115" t="inlineStr"/>
      <c r="Q13" s="118" t="n">
        <v>57</v>
      </c>
      <c r="R13" s="164" t="inlineStr">
        <is>
          <t>Gap — development plan needed</t>
        </is>
      </c>
      <c r="S13" s="164" t="n">
        <v>58</v>
      </c>
      <c r="T13" s="164" t="n">
        <v>50</v>
      </c>
      <c r="U13" s="164" t="n">
        <v>58</v>
      </c>
      <c r="V13" s="164" t="n"/>
      <c r="W13" s="164" t="inlineStr">
        <is>
          <t>Digital marketing, Stakeholder mgmt, Communication</t>
        </is>
      </c>
      <c r="X13" s="164" t="inlineStr">
        <is>
          <r>
            <rPr>
              <rFont val="Calibri"/>
              <b val="1"/>
              <sz val="10"/>
            </rPr>
            <t>A3:</t>
          </r>
          <r>
            <rPr>
              <rFont val="Calibri"/>
              <sz val="10"/>
            </rPr>
            <t xml:space="preserve"> 47% of profile — not yet</t>
          </r>
        </is>
      </c>
      <c r="Y13" s="164" t="inlineStr">
        <is>
          <r>
            <rPr>
              <rFont val="Calibri"/>
              <b val="1"/>
              <sz val="10"/>
            </rPr>
            <t>Evidence:</t>
          </r>
          <r>
            <rPr>
              <rFont val="Calibri"/>
              <sz val="10"/>
            </rPr>
            <t xml:space="preserve"> KRAs only | Core: Ownership 1/2, Problem solving 1/2, Communication &amp; collaboration 1/2, Client &amp; quality focus 1/2, Learning agility 1/2, Integrity &amp; compliance 2/2 | Future-ready: AI literacy 1/2, Data literacy 1/2, Digital fluency 1/2, Innovation 1/2 | Functional: Sales &amp; negotiation 2/2, Digital marketing 1/2, Stakeholder mgmt 1/2, Communication 1/2, Product &amp; domain 1/2, Business acumen 1/2</t>
          </r>
        </is>
      </c>
      <c r="Z13" s="119" t="inlineStr"/>
      <c r="AA13" s="165" t="inlineStr">
        <is>
          <t>Prioritization/pipeline management; Objection handling; Product knowledge; Sales approach/confidence on calls</t>
        </is>
      </c>
      <c r="AB13" s="165" t="inlineStr">
        <is>
          <t>SB.INS-F: Role-specific methods; quality controls; stakeholder communication</t>
        </is>
      </c>
      <c r="AC13" s="165" t="inlineStr"/>
      <c r="AD13" s="165" t="n"/>
      <c r="AE13" s="121" t="inlineStr">
        <is>
          <t>No strong match from survey evidence</t>
        </is>
      </c>
      <c r="AF13" s="122" t="inlineStr">
        <is>
          <t>No survey text</t>
        </is>
      </c>
      <c r="AG13" s="122" t="inlineStr">
        <is>
          <t>No survey text</t>
        </is>
      </c>
      <c r="AH13" s="122" t="n"/>
      <c r="AI13" s="122" t="n"/>
      <c r="AJ13" s="122" t="n"/>
    </row>
    <row r="14" ht="132" customHeight="1">
      <c r="A14" s="109" t="inlineStr">
        <is>
          <t>IRISDTC003</t>
        </is>
      </c>
      <c r="B14" s="111" t="inlineStr">
        <is>
          <t>Vaibhav Dukare</t>
        </is>
      </c>
      <c r="C14" s="111" t="inlineStr">
        <is>
          <t>Datatech - Outreach</t>
        </is>
      </c>
      <c r="D14" s="114" t="inlineStr">
        <is>
          <t>Customer Engagement Executive</t>
        </is>
      </c>
      <c r="E14" s="114" t="inlineStr">
        <is>
          <t>Program Executive</t>
        </is>
      </c>
      <c r="F14" s="111" t="inlineStr">
        <is>
          <t>L3 – Professional / Associate</t>
        </is>
      </c>
      <c r="G14" s="26" t="inlineStr">
        <is>
          <t>A2</t>
        </is>
      </c>
      <c r="H14" s="117" t="inlineStr">
        <is>
          <t>• Same level</t>
        </is>
      </c>
      <c r="I14" s="111" t="inlineStr">
        <is>
          <t>IC</t>
        </is>
      </c>
      <c r="J14" s="142" t="n">
        <v>3</v>
      </c>
      <c r="K14" s="115" t="inlineStr">
        <is>
          <t>Medium</t>
        </is>
      </c>
      <c r="L14" s="115" t="inlineStr">
        <is>
          <t>Core Contributor</t>
        </is>
      </c>
      <c r="M14" s="115" t="inlineStr">
        <is>
          <t>Develop in role</t>
        </is>
      </c>
      <c r="N14" s="115" t="n"/>
      <c r="O14" s="115" t="inlineStr">
        <is>
          <t>Yes</t>
        </is>
      </c>
      <c r="P14" s="115" t="inlineStr"/>
      <c r="Q14" s="118" t="n">
        <v>75</v>
      </c>
      <c r="R14" s="164" t="inlineStr">
        <is>
          <t>Developing</t>
        </is>
      </c>
      <c r="S14" s="164" t="n">
        <v>83</v>
      </c>
      <c r="T14" s="164" t="n">
        <v>62</v>
      </c>
      <c r="U14" s="164" t="n">
        <v>75</v>
      </c>
      <c r="V14" s="164" t="n"/>
      <c r="W14" s="164" t="inlineStr">
        <is>
          <t>Communication, Product &amp; domain, Business acumen</t>
        </is>
      </c>
      <c r="X14" s="164" t="inlineStr">
        <is>
          <r>
            <rPr>
              <rFont val="Calibri"/>
              <b val="1"/>
              <sz val="10"/>
            </rPr>
            <t>A3:</t>
          </r>
          <r>
            <rPr>
              <rFont val="Calibri"/>
              <sz val="10"/>
            </rPr>
            <t xml:space="preserve"> 63% of profile — not yet</t>
          </r>
        </is>
      </c>
      <c r="Y14" s="164" t="inlineStr">
        <is>
          <r>
            <rPr>
              <rFont val="Calibri"/>
              <b val="1"/>
              <sz val="10"/>
            </rPr>
            <t>Evidence:</t>
          </r>
          <r>
            <rPr>
              <rFont val="Calibri"/>
              <sz val="10"/>
            </rPr>
            <t xml:space="preserve"> Survey + KRAs | Core: Ownership 2/2, Problem solving 1/2, Communication &amp; collaboration 2/2, Client &amp; quality focus 2/2, Learning agility 1/2, Integrity &amp; compliance 2/2 | Future-ready: AI literacy 1/2, Data literacy 2/2, Digital fluency 1/2, Innovation 1/2 | Functional: Sales &amp; negotiation 2/2, Digital marketing 2/2, Stakeholder mgmt 2/2, Communication 1/2, Product &amp; domain 1/2, Business acumen 1/2</t>
          </r>
        </is>
      </c>
      <c r="Z14" s="119" t="inlineStr">
        <is>
          <t>Client, sales &amp; stakeholders</t>
        </is>
      </c>
      <c r="AA14" s="165" t="inlineStr">
        <is>
          <t>Prioritization/pipeline management - case prioritization, knowing when to move on vs. push further on a stuck file</t>
        </is>
      </c>
      <c r="AB14" s="165" t="inlineStr">
        <is>
          <t>Sales, Negotiation &amp; Account Growth; Advanced Excel &amp; Productivity Tools; Project, Program &amp; Agile Management</t>
        </is>
      </c>
      <c r="AC14" s="165" t="inlineStr">
        <is>
          <t>Client, sales &amp; stakeholders</t>
        </is>
      </c>
      <c r="AD14" s="165" t="inlineStr">
        <is>
          <r>
            <rPr>
              <rFont val="Calibri"/>
              <b val="1"/>
              <sz val="10"/>
            </rPr>
            <t>Target role:</t>
          </r>
          <r>
            <rPr>
              <rFont val="Calibri"/>
              <sz val="10"/>
            </rPr>
            <t xml:space="preserve"> Senior Telecaller / potential Team Lead - Mumbai calling team, contingent on closing prioritization/pipeline-management gap.</t>
          </r>
        </is>
      </c>
      <c r="AE14" s="121" t="inlineStr">
        <is>
          <t>No strong match from survey evidence</t>
        </is>
      </c>
      <c r="AF14" s="122" t="inlineStr">
        <is>
          <t>Jeevan Khokale · Senior Program Specialist – POD Lead — 0.31: loan, lead, business, crm</t>
        </is>
      </c>
      <c r="AG14" s="122" t="inlineStr">
        <is>
          <t>Rahul Nishikant Pawar · CARBON, Senior Sales Development Representative — 0.29</t>
        </is>
      </c>
      <c r="AH14" s="122" t="n"/>
      <c r="AI14" s="122" t="n"/>
      <c r="AJ14" s="122" t="n"/>
    </row>
    <row r="15" ht="80" customHeight="1">
      <c r="A15" s="109" t="inlineStr">
        <is>
          <t>IRISDT0001</t>
        </is>
      </c>
      <c r="B15" s="111" t="inlineStr">
        <is>
          <t>Shilpa Dhobale</t>
        </is>
      </c>
      <c r="C15" s="111" t="inlineStr">
        <is>
          <t>Datatech Business Head</t>
        </is>
      </c>
      <c r="D15" s="111" t="inlineStr">
        <is>
          <t>Business Head - DataTech</t>
        </is>
      </c>
      <c r="E15" s="111" t="inlineStr">
        <is>
          <t>Business Head – DataTech</t>
        </is>
      </c>
      <c r="F15" s="114" t="inlineStr">
        <is>
          <t>L7 – Head / Sr Director</t>
        </is>
      </c>
      <c r="G15" s="138" t="inlineStr">
        <is>
          <t>D2</t>
        </is>
      </c>
      <c r="H15" s="141" t="inlineStr">
        <is>
          <t>▲ Up</t>
        </is>
      </c>
      <c r="I15" s="111" t="inlineStr">
        <is>
          <t>People Manager</t>
        </is>
      </c>
      <c r="J15" s="142" t="n">
        <v>3</v>
      </c>
      <c r="K15" s="115" t="inlineStr">
        <is>
          <t>—</t>
        </is>
      </c>
      <c r="L15" s="115" t="inlineStr">
        <is>
          <t>Future Leader</t>
        </is>
      </c>
      <c r="M15" s="115" t="inlineStr">
        <is>
          <t>Develop in role</t>
        </is>
      </c>
      <c r="N15" s="115" t="n"/>
      <c r="O15" s="115" t="inlineStr">
        <is>
          <t>Yes</t>
        </is>
      </c>
      <c r="P15" s="115" t="inlineStr"/>
      <c r="Q15" s="118" t="n"/>
      <c r="R15" s="164" t="inlineStr">
        <is>
          <t>Not assessed — no survey or KRA evidence</t>
        </is>
      </c>
      <c r="S15" s="164" t="n"/>
      <c r="T15" s="164" t="n"/>
      <c r="U15" s="164" t="n"/>
      <c r="V15" s="164" t="n"/>
      <c r="W15" s="164" t="n"/>
      <c r="X15" s="164" t="n"/>
      <c r="Y15" s="164" t="inlineStr">
        <is>
          <r>
            <rPr>
              <rFont val="Calibri"/>
              <b val="1"/>
              <sz val="10"/>
            </rPr>
            <t>Required at D1:</t>
          </r>
          <r>
            <rPr>
              <rFont val="Calibri"/>
              <sz val="10"/>
            </rPr>
            <t xml:space="preserve"> Core 5 · Future-ready 4 · Functional Business acumen 4 · People leadership 4 · Stakeholder mgmt 4 · Product &amp; domain 4 · Regulatory domain 4 · Communication 4 · Leadership 5 — rate in manager validation using sheet 4.</t>
          </r>
        </is>
      </c>
      <c r="Z15" s="119" t="inlineStr"/>
      <c r="AA15" s="165" t="inlineStr">
        <is>
          <t>Leaderdership coaching and stakeholder management,</t>
        </is>
      </c>
      <c r="AB15" s="165" t="inlineStr">
        <is>
          <t>Strategic Thinking &amp; Business Acumen</t>
        </is>
      </c>
      <c r="AC15" s="165" t="inlineStr"/>
      <c r="AD15" s="165" t="inlineStr">
        <is>
          <t>leadership coaching</t>
        </is>
      </c>
      <c r="AE15" s="121" t="n"/>
      <c r="AF15" s="122" t="inlineStr">
        <is>
          <t>No survey text</t>
        </is>
      </c>
      <c r="AG15" s="122" t="inlineStr">
        <is>
          <t>No survey text</t>
        </is>
      </c>
      <c r="AH15" s="122" t="n">
        <v>9</v>
      </c>
      <c r="AI15" s="122" t="inlineStr">
        <is>
          <t>Within norm</t>
        </is>
      </c>
      <c r="AJ15" s="122" t="n"/>
    </row>
    <row r="16" ht="158" customHeight="1">
      <c r="A16" s="109" t="inlineStr">
        <is>
          <t>IRISDT0009</t>
        </is>
      </c>
      <c r="B16" s="111" t="inlineStr">
        <is>
          <t>Ankita Pathak</t>
        </is>
      </c>
      <c r="C16" s="111" t="inlineStr">
        <is>
          <t>Marketing</t>
        </is>
      </c>
      <c r="D16" s="114" t="inlineStr">
        <is>
          <t>Manager Marketing</t>
        </is>
      </c>
      <c r="E16" s="114" t="inlineStr">
        <is>
          <t>Marketing Specialist – POD Lead</t>
        </is>
      </c>
      <c r="F16" s="114" t="inlineStr">
        <is>
          <t>L5 – Manager</t>
        </is>
      </c>
      <c r="G16" s="138" t="inlineStr">
        <is>
          <t>B2</t>
        </is>
      </c>
      <c r="H16" s="139" t="inlineStr">
        <is>
          <t>▼ Down · protected</t>
        </is>
      </c>
      <c r="I16" s="111" t="inlineStr">
        <is>
          <t>POD Lead</t>
        </is>
      </c>
      <c r="J16" s="142" t="n">
        <v>3</v>
      </c>
      <c r="K16" s="115" t="inlineStr">
        <is>
          <t>—</t>
        </is>
      </c>
      <c r="L16" s="115" t="inlineStr">
        <is>
          <t>High Impact / Growth Talent</t>
        </is>
      </c>
      <c r="M16" s="115" t="inlineStr">
        <is>
          <t>Develop in role</t>
        </is>
      </c>
      <c r="N16" s="115" t="n"/>
      <c r="O16" s="115" t="inlineStr">
        <is>
          <t>Yes</t>
        </is>
      </c>
      <c r="P16" s="115" t="inlineStr"/>
      <c r="Q16" s="118" t="n">
        <v>91</v>
      </c>
      <c r="R16" s="164" t="inlineStr">
        <is>
          <t>Meets the level</t>
        </is>
      </c>
      <c r="S16" s="164" t="n">
        <v>89</v>
      </c>
      <c r="T16" s="164" t="n">
        <v>83</v>
      </c>
      <c r="U16" s="164" t="n">
        <v>93</v>
      </c>
      <c r="V16" s="164" t="n">
        <v>92</v>
      </c>
      <c r="W16" s="164" t="inlineStr">
        <is>
          <t>Communication, AI / GenAI, Product &amp; domain</t>
        </is>
      </c>
      <c r="X16" s="164" t="inlineStr">
        <is>
          <r>
            <rPr>
              <rFont val="Calibri"/>
              <b val="1"/>
              <sz val="10"/>
            </rPr>
            <t>B2:</t>
          </r>
          <r>
            <rPr>
              <rFont val="Calibri"/>
              <sz val="10"/>
            </rPr>
            <t xml:space="preserve"> 78% of profile — close</t>
          </r>
        </is>
      </c>
      <c r="Y16" s="164" t="inlineStr">
        <is>
          <r>
            <rPr>
              <rFont val="Calibri"/>
              <b val="1"/>
              <sz val="10"/>
            </rPr>
            <t>Evidence:</t>
          </r>
          <r>
            <rPr>
              <rFont val="Calibri"/>
              <sz val="10"/>
            </rPr>
            <t xml:space="preserve"> Survey | Core: Ownership 2/3, Problem solving 3/3, Communication &amp; collaboration 3/3, Client &amp; quality focus 2/3, Learning agility 3/3, Integrity &amp; compliance 3/3 | Future-ready: AI literacy 2/3, Data literacy 3/3, Digital fluency 2/3, Innovation 3/3 | Functional: Digital marketing 4/3, Communication 2/3, Analytics &amp; BI 4/3, AI / GenAI 2/3, Product &amp; domain 2/3, Business acumen 4/3 | Leadership: Developing people 2/2, Decision making 2/2, Strategic acumen 3/2, Influence &amp; change 1/2</t>
          </r>
        </is>
      </c>
      <c r="Z16" s="119" t="inlineStr">
        <is>
          <t>Strategy &amp; business acumen · Marketing &amp; content</t>
        </is>
      </c>
      <c r="AA16" s="165" t="inlineStr">
        <is>
          <t>Performance marketing, Leadership coaching</t>
        </is>
      </c>
      <c r="AB16" s="165" t="inlineStr">
        <is>
          <t>People Leadership &amp; Mentoring; Strategic Thinking &amp; Business Acumen; AI, GenAI &amp; Prompt Engineering</t>
        </is>
      </c>
      <c r="AC16" s="165" t="inlineStr">
        <is>
          <t>Leadership &amp; people management · Strategy &amp; business acumen · Marketing &amp; content</t>
        </is>
      </c>
      <c r="AD16" s="165" t="n"/>
      <c r="AE16" s="121" t="inlineStr">
        <is>
          <t>No strong match from survey evidence</t>
        </is>
      </c>
      <c r="AF16" s="122" t="inlineStr">
        <is>
          <t>No material overlap found</t>
        </is>
      </c>
      <c r="AG16" s="122" t="inlineStr">
        <is>
          <t>Barsha Gloria Gomes · Corporate, Senior Content Marketing Specialist — 0.37; Muskan Jain · iDEAL, Content Marketing Associate — 0.33; Abhilash Menon · iFile, Senior Manager – Product Marketing — 0.33</t>
        </is>
      </c>
      <c r="AH16" s="122" t="n">
        <v>3</v>
      </c>
      <c r="AI16" s="122" t="inlineStr">
        <is>
          <t>POD Lead</t>
        </is>
      </c>
      <c r="AJ16" s="122" t="n"/>
    </row>
    <row r="17" ht="132" customHeight="1">
      <c r="A17" s="109" t="inlineStr">
        <is>
          <t>IRISDTC001</t>
        </is>
      </c>
      <c r="B17" s="111" t="inlineStr">
        <is>
          <t>Lalit Subhash Dhamale</t>
        </is>
      </c>
      <c r="C17" s="111" t="inlineStr">
        <is>
          <t>Marketing</t>
        </is>
      </c>
      <c r="D17" s="114" t="inlineStr">
        <is>
          <t>Social Media &amp; ORM Specialist</t>
        </is>
      </c>
      <c r="E17" s="114" t="inlineStr">
        <is>
          <t>Senior Digital Marketing Associate</t>
        </is>
      </c>
      <c r="F17" s="114" t="inlineStr">
        <is>
          <t>Not in current mapping files</t>
        </is>
      </c>
      <c r="G17" s="138" t="inlineStr">
        <is>
          <t>A3</t>
        </is>
      </c>
      <c r="H17" s="143" t="inlineStr">
        <is>
          <t>● Newly mapped</t>
        </is>
      </c>
      <c r="I17" s="111" t="inlineStr">
        <is>
          <t>IC</t>
        </is>
      </c>
      <c r="J17" s="142" t="n">
        <v>4</v>
      </c>
      <c r="K17" s="115" t="inlineStr">
        <is>
          <t>High</t>
        </is>
      </c>
      <c r="L17" s="115" t="inlineStr">
        <is>
          <t>Reliable Specialist</t>
        </is>
      </c>
      <c r="M17" s="115" t="inlineStr">
        <is>
          <t>Ready now</t>
        </is>
      </c>
      <c r="N17" s="115" t="n"/>
      <c r="O17" s="115" t="inlineStr"/>
      <c r="P17" s="115" t="inlineStr"/>
      <c r="Q17" s="118" t="n">
        <v>90</v>
      </c>
      <c r="R17" s="164" t="inlineStr">
        <is>
          <t>Meets the level</t>
        </is>
      </c>
      <c r="S17" s="164" t="n">
        <v>83</v>
      </c>
      <c r="T17" s="164" t="n">
        <v>100</v>
      </c>
      <c r="U17" s="164" t="n">
        <v>90</v>
      </c>
      <c r="V17" s="164" t="n"/>
      <c r="W17" s="164" t="inlineStr">
        <is>
          <t>Communication, Product &amp; domain, Business acumen</t>
        </is>
      </c>
      <c r="X17" s="164" t="inlineStr">
        <is>
          <r>
            <rPr>
              <rFont val="Calibri"/>
              <b val="1"/>
              <sz val="10"/>
            </rPr>
            <t>B1:</t>
          </r>
          <r>
            <rPr>
              <rFont val="Calibri"/>
              <sz val="10"/>
            </rPr>
            <t xml:space="preserve"> 78% of profile — close</t>
          </r>
        </is>
      </c>
      <c r="Y17" s="164" t="inlineStr">
        <is>
          <r>
            <rPr>
              <rFont val="Calibri"/>
              <b val="1"/>
              <sz val="10"/>
            </rPr>
            <t>Evidence:</t>
          </r>
          <r>
            <rPr>
              <rFont val="Calibri"/>
              <sz val="10"/>
            </rPr>
            <t xml:space="preserve"> Survey | Core: Ownership 2/2, Problem solving 2/2, Communication &amp; collaboration 1/2, Client &amp; quality focus 2/2, Learning agility 1/2, Integrity &amp; compliance 2/2 | Future-ready: AI literacy 2/2, Data literacy 2/2, Digital fluency 2/2, Innovation 2/2 | Functional: Digital marketing 4/3, Communication 2/3, Analytics &amp; BI 3/3, AI / GenAI 4/3, Product &amp; domain 2/3, Business acumen 2/3</t>
          </r>
        </is>
      </c>
      <c r="Z17" s="119" t="inlineStr">
        <is>
          <t>Product &amp; tool knowledge · Marketing &amp; content</t>
        </is>
      </c>
      <c r="AA17" s="165" t="inlineStr">
        <is>
          <t>ASO Training</t>
        </is>
      </c>
      <c r="AB17" s="165" t="inlineStr">
        <is>
          <t>AI, GenAI &amp; Prompt Engineering; Data Analytics, BI &amp; Visualisation; Project, Program &amp; Agile Management</t>
        </is>
      </c>
      <c r="AC17" s="165" t="inlineStr">
        <is>
          <t>Product &amp; tool knowledge · Marketing &amp; content</t>
        </is>
      </c>
      <c r="AD17" s="165" t="n"/>
      <c r="AE17" s="121" t="inlineStr">
        <is>
          <t>No strong match from survey evidence</t>
        </is>
      </c>
      <c r="AF17" s="122" t="inlineStr">
        <is>
          <t>Vaishnavi Dhuri · Designer — 0.31: media, social, video, flow; Vasundhara Lella · Senior Content Marketing Associate — 0.30: media, social, analytics, content</t>
        </is>
      </c>
      <c r="AG17" s="122" t="inlineStr">
        <is>
          <t>Abhilash Menon · iFile, Senior Manager – Product Marketing — 0.43; Alisha Sheikh · CARBON, Content Marketing Associate — 0.42; Barsha Gloria Gomes · Corporate, Senior Content Marketing Specialist — 0.34</t>
        </is>
      </c>
      <c r="AH17" s="122" t="n"/>
      <c r="AI17" s="122" t="n"/>
      <c r="AJ17" s="122" t="n"/>
    </row>
    <row r="18" ht="132" customHeight="1">
      <c r="A18" s="109" t="inlineStr">
        <is>
          <t>IRISDT0007</t>
        </is>
      </c>
      <c r="B18" s="111" t="inlineStr">
        <is>
          <t>Vasundhara Lella</t>
        </is>
      </c>
      <c r="C18" s="111" t="inlineStr">
        <is>
          <t>Marketing</t>
        </is>
      </c>
      <c r="D18" s="114" t="inlineStr">
        <is>
          <t>Content Marketer</t>
        </is>
      </c>
      <c r="E18" s="114" t="inlineStr">
        <is>
          <t>Senior Content Marketing Associate</t>
        </is>
      </c>
      <c r="F18" s="114" t="inlineStr">
        <is>
          <t>L3 – Professional / Associate</t>
        </is>
      </c>
      <c r="G18" s="138" t="inlineStr">
        <is>
          <t>A3</t>
        </is>
      </c>
      <c r="H18" s="141" t="inlineStr">
        <is>
          <t>▲ Up</t>
        </is>
      </c>
      <c r="I18" s="111" t="inlineStr">
        <is>
          <t>IC</t>
        </is>
      </c>
      <c r="J18" s="142" t="n">
        <v>3</v>
      </c>
      <c r="K18" s="115" t="inlineStr">
        <is>
          <t>Medium</t>
        </is>
      </c>
      <c r="L18" s="115" t="inlineStr">
        <is>
          <t>Performance Risk</t>
        </is>
      </c>
      <c r="M18" s="115" t="inlineStr">
        <is>
          <t>Develop in role</t>
        </is>
      </c>
      <c r="N18" s="115" t="n"/>
      <c r="O18" s="115" t="inlineStr">
        <is>
          <t>Yes</t>
        </is>
      </c>
      <c r="P18" s="115" t="inlineStr"/>
      <c r="Q18" s="118" t="n">
        <v>96</v>
      </c>
      <c r="R18" s="164" t="inlineStr">
        <is>
          <t>Meets the level</t>
        </is>
      </c>
      <c r="S18" s="164" t="n">
        <v>100</v>
      </c>
      <c r="T18" s="164" t="n">
        <v>88</v>
      </c>
      <c r="U18" s="164" t="n">
        <v>98</v>
      </c>
      <c r="V18" s="164" t="n"/>
      <c r="W18" s="164" t="inlineStr">
        <is>
          <t>Product &amp; domain, Digital fluency</t>
        </is>
      </c>
      <c r="X18" s="164" t="inlineStr">
        <is>
          <r>
            <rPr>
              <rFont val="Calibri"/>
              <b val="1"/>
              <sz val="10"/>
            </rPr>
            <t>B1:</t>
          </r>
          <r>
            <rPr>
              <rFont val="Calibri"/>
              <sz val="10"/>
            </rPr>
            <t xml:space="preserve"> 82% of profile — close</t>
          </r>
        </is>
      </c>
      <c r="Y18" s="164" t="inlineStr">
        <is>
          <r>
            <rPr>
              <rFont val="Calibri"/>
              <b val="1"/>
              <sz val="10"/>
            </rPr>
            <t>Evidence:</t>
          </r>
          <r>
            <rPr>
              <rFont val="Calibri"/>
              <sz val="10"/>
            </rPr>
            <t xml:space="preserve"> Survey + KRAs | Core: Ownership 2/2, Problem solving 2/2, Communication &amp; collaboration 2/2, Client &amp; quality focus 2/2, Learning agility 2/2, Integrity &amp; compliance 2/2 | Future-ready: AI literacy 2/2, Data literacy 2/2, Digital fluency 1/2, Innovation 2/2 | Functional: Digital marketing 4/3, Communication 3/3, Analytics &amp; BI 3/3, AI / GenAI 3/3, Product &amp; domain 2/3, Business acumen 3/3</t>
          </r>
        </is>
      </c>
      <c r="Z18" s="119" t="inlineStr">
        <is>
          <t>Marketing &amp; content</t>
        </is>
      </c>
      <c r="AA18" s="165" t="inlineStr">
        <is>
          <t>SEMRush certification course SEO Course</t>
        </is>
      </c>
      <c r="AB18" s="165" t="inlineStr">
        <is>
          <t>Data Analytics, BI &amp; Visualisation; Project, Program &amp; Agile Management</t>
        </is>
      </c>
      <c r="AC18" s="165" t="inlineStr">
        <is>
          <t>Marketing &amp; content</t>
        </is>
      </c>
      <c r="AD18" s="165" t="n"/>
      <c r="AE18" s="121" t="inlineStr">
        <is>
          <t>No strong match from survey evidence</t>
        </is>
      </c>
      <c r="AF18" s="122" t="inlineStr">
        <is>
          <t>Lalit Subhash Dhamale · Digital Marketing Specialist — 0.30: media, social, analytics, content</t>
        </is>
      </c>
      <c r="AG18" s="122" t="inlineStr">
        <is>
          <t>Alisha Sheikh · CARBON, Content Marketing Associate — 0.55; Muskan Jain · iDEAL, Content Marketing Associate — 0.54; Barsha Gloria Gomes · Corporate, Senior Content Marketing Specialist — 0.50</t>
        </is>
      </c>
      <c r="AH18" s="122" t="n"/>
      <c r="AI18" s="122" t="n"/>
      <c r="AJ18" s="122" t="n"/>
    </row>
    <row r="19" ht="132" customHeight="1">
      <c r="A19" s="109" t="inlineStr">
        <is>
          <t>IRISDTC006</t>
        </is>
      </c>
      <c r="B19" s="111" t="inlineStr">
        <is>
          <t>Vaishnavi Dhuri</t>
        </is>
      </c>
      <c r="C19" s="111" t="inlineStr">
        <is>
          <t>Marketing</t>
        </is>
      </c>
      <c r="D19" s="114" t="inlineStr">
        <is>
          <t>Graphic Designer and Video Editor</t>
        </is>
      </c>
      <c r="E19" s="114" t="inlineStr">
        <is>
          <t>Designer</t>
        </is>
      </c>
      <c r="F19" s="114" t="inlineStr">
        <is>
          <t>Not in current mapping files</t>
        </is>
      </c>
      <c r="G19" s="138" t="inlineStr">
        <is>
          <t>A2</t>
        </is>
      </c>
      <c r="H19" s="143" t="inlineStr">
        <is>
          <t>● Newly mapped</t>
        </is>
      </c>
      <c r="I19" s="111" t="inlineStr">
        <is>
          <t>IC</t>
        </is>
      </c>
      <c r="J19" s="142" t="inlineStr">
        <is>
          <t>Not rated · manager</t>
        </is>
      </c>
      <c r="K19" s="115" t="inlineStr">
        <is>
          <t>—</t>
        </is>
      </c>
      <c r="L19" s="115" t="inlineStr">
        <is>
          <t>Not placed · manager</t>
        </is>
      </c>
      <c r="M19" s="115" t="inlineStr">
        <is>
          <t>No rating data</t>
        </is>
      </c>
      <c r="N19" s="115" t="n"/>
      <c r="O19" s="115" t="inlineStr"/>
      <c r="P19" s="115" t="inlineStr"/>
      <c r="Q19" s="118" t="n">
        <v>66</v>
      </c>
      <c r="R19" s="164" t="inlineStr">
        <is>
          <t>Gap — development plan needed</t>
        </is>
      </c>
      <c r="S19" s="164" t="n">
        <v>67</v>
      </c>
      <c r="T19" s="164" t="n">
        <v>75</v>
      </c>
      <c r="U19" s="164" t="n">
        <v>62</v>
      </c>
      <c r="V19" s="164" t="n"/>
      <c r="W19" s="164" t="inlineStr">
        <is>
          <t>Product &amp; domain, Communication, Digital marketing</t>
        </is>
      </c>
      <c r="X19" s="164" t="inlineStr">
        <is>
          <r>
            <rPr>
              <rFont val="Calibri"/>
              <b val="1"/>
              <sz val="10"/>
            </rPr>
            <t>A3:</t>
          </r>
          <r>
            <rPr>
              <rFont val="Calibri"/>
              <sz val="10"/>
            </rPr>
            <t xml:space="preserve"> 57% of profile — not yet</t>
          </r>
        </is>
      </c>
      <c r="Y19" s="164" t="inlineStr">
        <is>
          <r>
            <rPr>
              <rFont val="Calibri"/>
              <b val="1"/>
              <sz val="10"/>
            </rPr>
            <t>Evidence:</t>
          </r>
          <r>
            <rPr>
              <rFont val="Calibri"/>
              <sz val="10"/>
            </rPr>
            <t xml:space="preserve"> Survey | Core: Ownership 2/2, Problem solving 1/2, Communication &amp; collaboration 1/2, Client &amp; quality focus 1/2, Learning agility 1/2, Integrity &amp; compliance 2/2 | Future-ready: AI literacy 2/2, Data literacy 1/2, Digital fluency 2/2, Innovation 1/2 | Functional: Product &amp; domain 1/2, Communication 1/2, Digital marketing 1/2, Quality &amp; process 1/2, AI / GenAI 3/2, Stakeholder mgmt 1/2</t>
          </r>
        </is>
      </c>
      <c r="Z19" s="119" t="inlineStr">
        <is>
          <t>Product &amp; tool knowledge · Marketing &amp; content</t>
        </is>
      </c>
      <c r="AA19" s="165" t="n"/>
      <c r="AB19" s="165" t="inlineStr">
        <is>
          <t>MK.BRD-F: visual design; video; brand systems; production workflow</t>
        </is>
      </c>
      <c r="AC19" s="165" t="inlineStr">
        <is>
          <t>Product &amp; tool knowledge · Marketing &amp; content</t>
        </is>
      </c>
      <c r="AD19" s="165" t="n"/>
      <c r="AE19" s="121" t="inlineStr">
        <is>
          <t>No strong match from survey evidence</t>
        </is>
      </c>
      <c r="AF19" s="122" t="inlineStr">
        <is>
          <t>Lalit Subhash Dhamale · Digital Marketing Specialist — 0.31: media, social, video, flow</t>
        </is>
      </c>
      <c r="AG19" s="122" t="inlineStr">
        <is>
          <t>Avidi Jeevitesh · CARBON, Senior Designer — 0.33</t>
        </is>
      </c>
      <c r="AH19" s="122" t="n"/>
      <c r="AI19" s="122" t="n"/>
      <c r="AJ19" s="122" t="n"/>
    </row>
    <row r="20" ht="67" customHeight="1">
      <c r="A20" s="109" t="inlineStr">
        <is>
          <t>No Emp ID · in-house consultant</t>
        </is>
      </c>
      <c r="B20" s="111" t="inlineStr">
        <is>
          <t>R Indumathi</t>
        </is>
      </c>
      <c r="C20" s="111" t="inlineStr">
        <is>
          <t>Marketing</t>
        </is>
      </c>
      <c r="D20" s="114" t="inlineStr">
        <is>
          <t>Consultant</t>
        </is>
      </c>
      <c r="E20" s="114" t="inlineStr">
        <is>
          <t>Associate Consultant – Demand Generation, Brand &amp; Events</t>
        </is>
      </c>
      <c r="F20" s="111" t="inlineStr">
        <is>
          <t>—</t>
        </is>
      </c>
      <c r="G20" s="45" t="inlineStr">
        <is>
          <t>X1</t>
        </is>
      </c>
      <c r="H20" s="117" t="inlineStr">
        <is>
          <t>• Same level</t>
        </is>
      </c>
      <c r="I20" s="111" t="inlineStr">
        <is>
          <t>Consultant</t>
        </is>
      </c>
      <c r="J20" s="142" t="inlineStr">
        <is>
          <t>Not rated · manager</t>
        </is>
      </c>
      <c r="K20" s="115" t="n"/>
      <c r="L20" s="115" t="n"/>
      <c r="M20" s="115" t="inlineStr">
        <is>
          <t>n/a · consultant</t>
        </is>
      </c>
      <c r="N20" s="115" t="n"/>
      <c r="O20" s="115" t="inlineStr"/>
      <c r="P20" s="115" t="inlineStr"/>
      <c r="Q20" s="118" t="n"/>
      <c r="R20" s="164" t="inlineStr">
        <is>
          <t>Consultant — assessed against statement-of-work deliverables</t>
        </is>
      </c>
      <c r="S20" s="164" t="n"/>
      <c r="T20" s="164" t="n"/>
      <c r="U20" s="164" t="n"/>
      <c r="V20" s="164" t="n"/>
      <c r="W20" s="164" t="n"/>
      <c r="X20" s="164" t="n"/>
      <c r="Y20" s="164" t="inlineStr">
        <is>
          <t>Not assessed on the employee competency profile.</t>
        </is>
      </c>
      <c r="Z20" s="119" t="inlineStr"/>
      <c r="AA20" s="165" t="n"/>
      <c r="AB20" s="165" t="n"/>
      <c r="AC20" s="165" t="inlineStr"/>
      <c r="AD20" s="165" t="n"/>
      <c r="AE20" s="121" t="n"/>
      <c r="AF20" s="122" t="inlineStr">
        <is>
          <t>No survey text</t>
        </is>
      </c>
      <c r="AG20" s="122" t="inlineStr">
        <is>
          <t>No survey text</t>
        </is>
      </c>
      <c r="AH20" s="122" t="n"/>
      <c r="AI20" s="122" t="n"/>
      <c r="AJ20" s="122" t="n"/>
    </row>
    <row r="21" ht="67" customHeight="1">
      <c r="A21" s="109" t="inlineStr">
        <is>
          <t>No Emp ID · external consultant</t>
        </is>
      </c>
      <c r="B21" s="111" t="inlineStr">
        <is>
          <t>Arindam Bose</t>
        </is>
      </c>
      <c r="C21" s="111" t="n"/>
      <c r="D21" s="114" t="inlineStr">
        <is>
          <t>Consultant</t>
        </is>
      </c>
      <c r="E21" s="114" t="inlineStr">
        <is>
          <t>Associate Consultant – Software Development</t>
        </is>
      </c>
      <c r="F21" s="111" t="inlineStr">
        <is>
          <t>—</t>
        </is>
      </c>
      <c r="G21" s="45" t="inlineStr">
        <is>
          <t>X1</t>
        </is>
      </c>
      <c r="H21" s="117" t="inlineStr">
        <is>
          <t>• Same level</t>
        </is>
      </c>
      <c r="I21" s="111" t="inlineStr">
        <is>
          <t>Consultant</t>
        </is>
      </c>
      <c r="J21" s="142" t="inlineStr">
        <is>
          <t>Not rated · manager</t>
        </is>
      </c>
      <c r="K21" s="115" t="n"/>
      <c r="L21" s="115" t="n"/>
      <c r="M21" s="115" t="inlineStr">
        <is>
          <t>n/a · consultant</t>
        </is>
      </c>
      <c r="N21" s="115" t="n"/>
      <c r="O21" s="115" t="inlineStr"/>
      <c r="P21" s="115" t="inlineStr"/>
      <c r="Q21" s="118" t="n"/>
      <c r="R21" s="164" t="inlineStr">
        <is>
          <t>Consultant — assessed against statement-of-work deliverables</t>
        </is>
      </c>
      <c r="S21" s="164" t="n"/>
      <c r="T21" s="164" t="n"/>
      <c r="U21" s="164" t="n"/>
      <c r="V21" s="164" t="n"/>
      <c r="W21" s="164" t="n"/>
      <c r="X21" s="164" t="n"/>
      <c r="Y21" s="164" t="inlineStr">
        <is>
          <t>Not assessed on the employee competency profile.</t>
        </is>
      </c>
      <c r="Z21" s="119" t="inlineStr"/>
      <c r="AA21" s="165" t="n"/>
      <c r="AB21" s="165" t="n"/>
      <c r="AC21" s="165" t="inlineStr"/>
      <c r="AD21" s="165" t="n"/>
      <c r="AE21" s="121" t="n"/>
      <c r="AF21" s="122" t="inlineStr">
        <is>
          <t>No survey text</t>
        </is>
      </c>
      <c r="AG21" s="122" t="inlineStr">
        <is>
          <t>No survey text</t>
        </is>
      </c>
      <c r="AH21" s="122" t="n"/>
      <c r="AI21" s="122" t="n"/>
      <c r="AJ21" s="122" t="n"/>
    </row>
    <row r="22" ht="67" customHeight="1">
      <c r="A22" s="109" t="inlineStr">
        <is>
          <t>No Emp ID · external consultant</t>
        </is>
      </c>
      <c r="B22" s="111" t="inlineStr">
        <is>
          <t>Shweta Vijay</t>
        </is>
      </c>
      <c r="C22" s="111" t="n"/>
      <c r="D22" s="114" t="inlineStr">
        <is>
          <t>Consultant</t>
        </is>
      </c>
      <c r="E22" s="114" t="inlineStr">
        <is>
          <t>Associate Consultant – Software Development</t>
        </is>
      </c>
      <c r="F22" s="111" t="inlineStr">
        <is>
          <t>—</t>
        </is>
      </c>
      <c r="G22" s="45" t="inlineStr">
        <is>
          <t>X1</t>
        </is>
      </c>
      <c r="H22" s="117" t="inlineStr">
        <is>
          <t>• Same level</t>
        </is>
      </c>
      <c r="I22" s="111" t="inlineStr">
        <is>
          <t>Consultant</t>
        </is>
      </c>
      <c r="J22" s="142" t="inlineStr">
        <is>
          <t>Not rated · manager</t>
        </is>
      </c>
      <c r="K22" s="115" t="n"/>
      <c r="L22" s="115" t="n"/>
      <c r="M22" s="115" t="inlineStr">
        <is>
          <t>n/a · consultant</t>
        </is>
      </c>
      <c r="N22" s="115" t="n"/>
      <c r="O22" s="115" t="inlineStr"/>
      <c r="P22" s="115" t="inlineStr"/>
      <c r="Q22" s="118" t="n"/>
      <c r="R22" s="164" t="inlineStr">
        <is>
          <t>Consultant — assessed against statement-of-work deliverables</t>
        </is>
      </c>
      <c r="S22" s="164" t="n"/>
      <c r="T22" s="164" t="n"/>
      <c r="U22" s="164" t="n"/>
      <c r="V22" s="164" t="n"/>
      <c r="W22" s="164" t="n"/>
      <c r="X22" s="164" t="n"/>
      <c r="Y22" s="164" t="inlineStr">
        <is>
          <t>Not assessed on the employee competency profile.</t>
        </is>
      </c>
      <c r="Z22" s="119" t="inlineStr"/>
      <c r="AA22" s="165" t="n"/>
      <c r="AB22" s="165" t="n"/>
      <c r="AC22" s="165" t="inlineStr"/>
      <c r="AD22" s="165" t="n"/>
      <c r="AE22" s="121" t="n"/>
      <c r="AF22" s="122" t="inlineStr">
        <is>
          <t>No survey text</t>
        </is>
      </c>
      <c r="AG22" s="122" t="inlineStr">
        <is>
          <t>No survey text</t>
        </is>
      </c>
      <c r="AH22" s="122" t="n"/>
      <c r="AI22" s="122" t="n"/>
      <c r="AJ22" s="122" t="n"/>
    </row>
    <row r="23" ht="158" customHeight="1">
      <c r="A23" s="109" t="inlineStr">
        <is>
          <t>IRISDT0008</t>
        </is>
      </c>
      <c r="B23" s="111" t="inlineStr">
        <is>
          <t>Nilesh Majumdar</t>
        </is>
      </c>
      <c r="C23" s="111" t="inlineStr">
        <is>
          <t>Product Management</t>
        </is>
      </c>
      <c r="D23" s="114" t="inlineStr">
        <is>
          <t>Senior Product Manager</t>
        </is>
      </c>
      <c r="E23" s="114" t="inlineStr">
        <is>
          <t>Product Manager</t>
        </is>
      </c>
      <c r="F23" s="111" t="inlineStr">
        <is>
          <t>L5 – Manager</t>
        </is>
      </c>
      <c r="G23" s="20" t="inlineStr">
        <is>
          <t>B2</t>
        </is>
      </c>
      <c r="H23" s="117" t="inlineStr">
        <is>
          <t>• Same level</t>
        </is>
      </c>
      <c r="I23" s="111" t="inlineStr">
        <is>
          <t>People Manager</t>
        </is>
      </c>
      <c r="J23" s="142" t="n">
        <v>3</v>
      </c>
      <c r="K23" s="115" t="inlineStr">
        <is>
          <t>—</t>
        </is>
      </c>
      <c r="L23" s="115" t="inlineStr">
        <is>
          <t>Future Leader</t>
        </is>
      </c>
      <c r="M23" s="115" t="inlineStr">
        <is>
          <t>Develop in role</t>
        </is>
      </c>
      <c r="N23" s="115" t="n"/>
      <c r="O23" s="115" t="inlineStr">
        <is>
          <t>Yes</t>
        </is>
      </c>
      <c r="P23" s="115" t="inlineStr"/>
      <c r="Q23" s="118" t="n">
        <v>103</v>
      </c>
      <c r="R23" s="164" t="inlineStr">
        <is>
          <t>Meets the level</t>
        </is>
      </c>
      <c r="S23" s="164" t="n">
        <v>107</v>
      </c>
      <c r="T23" s="164" t="n">
        <v>83</v>
      </c>
      <c r="U23" s="164" t="n">
        <v>98</v>
      </c>
      <c r="V23" s="164" t="n">
        <v>115</v>
      </c>
      <c r="W23" s="164" t="inlineStr">
        <is>
          <t>Requirements, Analytics &amp; BI, AI / GenAI</t>
        </is>
      </c>
      <c r="X23" s="164" t="inlineStr">
        <is>
          <r>
            <rPr>
              <rFont val="Calibri"/>
              <b val="1"/>
              <sz val="10"/>
            </rPr>
            <t>B3:</t>
          </r>
          <r>
            <rPr>
              <rFont val="Calibri"/>
              <sz val="10"/>
            </rPr>
            <t xml:space="preserve"> 91% of profile — ready on competencies</t>
          </r>
        </is>
      </c>
      <c r="Y23" s="164" t="inlineStr">
        <is>
          <r>
            <rPr>
              <rFont val="Calibri"/>
              <b val="1"/>
              <sz val="10"/>
            </rPr>
            <t>Evidence:</t>
          </r>
          <r>
            <rPr>
              <rFont val="Calibri"/>
              <sz val="10"/>
            </rPr>
            <t xml:space="preserve"> Survey | Core: Ownership 3/3, Problem solving 3/3, Communication &amp; collaboration 4/3, Client &amp; quality focus 4/3, Learning agility 3/3, Integrity &amp; compliance 3/3 | Future-ready: AI literacy 2/3, Data literacy 3/3, Digital fluency 3/3, Innovation 2/3 | Functional: Product &amp; domain 5/4, Requirements 3/4, Analytics &amp; BI 3/4, Business acumen 5/4, Stakeholder mgmt 5/4, AI / GenAI 3/4 | Leadership: Developing people 3/3, Decision making 4/3, Strategic acumen 4/3, Influence &amp; change 4/3</t>
          </r>
        </is>
      </c>
      <c r="Z23" s="119" t="inlineStr">
        <is>
          <t>Product &amp; tool knowledge · Broader exposure &amp; ownership</t>
        </is>
      </c>
      <c r="AA23" s="165" t="n"/>
      <c r="AB23" s="165" t="inlineStr">
        <is>
          <t>Strategic Thinking &amp; Business Acumen; AI, GenAI &amp; Prompt Engineering; People Leadership &amp; Mentoring</t>
        </is>
      </c>
      <c r="AC23" s="165" t="inlineStr">
        <is>
          <t>Product &amp; tool knowledge · Broader exposure &amp; ownership</t>
        </is>
      </c>
      <c r="AD23" s="165" t="n"/>
      <c r="AE23" s="121" t="inlineStr">
        <is>
          <t>No strong match from survey evidence</t>
        </is>
      </c>
      <c r="AF23" s="122" t="inlineStr">
        <is>
          <t>No material overlap found</t>
        </is>
      </c>
      <c r="AG23" s="122" t="inlineStr">
        <is>
          <t>Sumit Jain · iFile, Senior Product Manager — 0.28</t>
        </is>
      </c>
      <c r="AH23" s="122" t="n">
        <v>6</v>
      </c>
      <c r="AI23" s="122" t="inlineStr">
        <is>
          <t>Within norm</t>
        </is>
      </c>
      <c r="AJ23" s="122" t="n"/>
    </row>
    <row r="24" ht="158" customHeight="1">
      <c r="A24" s="109" t="inlineStr">
        <is>
          <t>IRISDT0010</t>
        </is>
      </c>
      <c r="B24" s="111" t="inlineStr">
        <is>
          <t>Piyush Raj</t>
        </is>
      </c>
      <c r="C24" s="111" t="inlineStr">
        <is>
          <t>Product Management</t>
        </is>
      </c>
      <c r="D24" s="111" t="inlineStr">
        <is>
          <t>Product Manager</t>
        </is>
      </c>
      <c r="E24" s="111" t="inlineStr">
        <is>
          <t>Product Manager</t>
        </is>
      </c>
      <c r="F24" s="111" t="inlineStr">
        <is>
          <t>L5 – Manager</t>
        </is>
      </c>
      <c r="G24" s="20" t="inlineStr">
        <is>
          <t>B2</t>
        </is>
      </c>
      <c r="H24" s="117" t="inlineStr">
        <is>
          <t>• Same level</t>
        </is>
      </c>
      <c r="I24" s="111" t="inlineStr">
        <is>
          <t>IC</t>
        </is>
      </c>
      <c r="J24" s="142" t="n">
        <v>4</v>
      </c>
      <c r="K24" s="115" t="inlineStr">
        <is>
          <t>High</t>
        </is>
      </c>
      <c r="L24" s="115" t="inlineStr">
        <is>
          <t>High Impact / Growth Talent</t>
        </is>
      </c>
      <c r="M24" s="115" t="inlineStr">
        <is>
          <t>Ready now</t>
        </is>
      </c>
      <c r="N24" s="115" t="inlineStr">
        <is>
          <t>Yes</t>
        </is>
      </c>
      <c r="O24" s="115" t="inlineStr">
        <is>
          <t>Yes</t>
        </is>
      </c>
      <c r="P24" s="115" t="inlineStr"/>
      <c r="Q24" s="118" t="n">
        <v>108</v>
      </c>
      <c r="R24" s="164" t="inlineStr">
        <is>
          <t>Exceeds — ready for stretch</t>
        </is>
      </c>
      <c r="S24" s="164" t="n">
        <v>110</v>
      </c>
      <c r="T24" s="164" t="n">
        <v>105</v>
      </c>
      <c r="U24" s="164" t="n">
        <v>110</v>
      </c>
      <c r="V24" s="164" t="n">
        <v>98</v>
      </c>
      <c r="W24" s="164" t="inlineStr">
        <is>
          <t>Developing people</t>
        </is>
      </c>
      <c r="X24" s="164" t="inlineStr">
        <is>
          <r>
            <rPr>
              <rFont val="Calibri"/>
              <b val="1"/>
              <sz val="10"/>
            </rPr>
            <t>B3:</t>
          </r>
          <r>
            <rPr>
              <rFont val="Calibri"/>
              <sz val="10"/>
            </rPr>
            <t xml:space="preserve"> 102% of profile — ready on competencies</t>
          </r>
        </is>
      </c>
      <c r="Y24" s="164"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3/3, Digital fluency 4/3, Innovation 3/3 | Functional: Product &amp; domain 5/4, Requirements 4/4, Analytics &amp; BI 4/4, Business acumen 5/4, Stakeholder mgmt 5/4, AI / GenAI 4/4 | Leadership: Developing people 1/2, Decision making 2/2, Strategic acumen 3/2, Influence &amp; change 3/2</t>
          </r>
        </is>
      </c>
      <c r="Z24" s="119" t="inlineStr">
        <is>
          <t>AI / automation · Product &amp; tool knowledge · Client, sales &amp; stakeholders · Strategy &amp; business acumen · Broader exposure &amp; ownership</t>
        </is>
      </c>
      <c r="AA24" s="165" t="inlineStr">
        <is>
          <t>Data Analysis</t>
        </is>
      </c>
      <c r="AB24" s="165" t="inlineStr">
        <is>
          <t>AI, GenAI &amp; Prompt Engineering; Product, Platform &amp; Domain Knowledge; Stakeholder &amp; Client Management</t>
        </is>
      </c>
      <c r="AC24" s="165" t="inlineStr">
        <is>
          <t>AI / automation · Product &amp; tool knowledge · Client, sales &amp; stakeholders · Strategy &amp; business acumen · Broader exposure &amp; ownership</t>
        </is>
      </c>
      <c r="AD24" s="165" t="n"/>
      <c r="AE24" s="121" t="inlineStr">
        <is>
          <t>No strong match from survey evidence</t>
        </is>
      </c>
      <c r="AF24" s="122" t="inlineStr">
        <is>
          <t>Gaurav Bansal · Associate Product Manager — 0.36: research, product, market, figma; Ayushi Maurya · Product Manager — 0.35: research, market, moengage, analysis</t>
        </is>
      </c>
      <c r="AG24" s="122" t="inlineStr">
        <is>
          <t>No close match in other businesses</t>
        </is>
      </c>
      <c r="AH24" s="122" t="n"/>
      <c r="AI24" s="122" t="n"/>
      <c r="AJ24" s="122" t="n"/>
    </row>
    <row r="25" ht="158" customHeight="1">
      <c r="A25" s="109" t="inlineStr">
        <is>
          <t>IRISDT0023</t>
        </is>
      </c>
      <c r="B25" s="111" t="inlineStr">
        <is>
          <t>Sachinam Sawant</t>
        </is>
      </c>
      <c r="C25" s="111" t="inlineStr">
        <is>
          <t>Product Management</t>
        </is>
      </c>
      <c r="D25" s="114" t="inlineStr">
        <is>
          <t>Regulatory &amp; Policy Lead</t>
        </is>
      </c>
      <c r="E25" s="114" t="inlineStr">
        <is>
          <t>Product Manager</t>
        </is>
      </c>
      <c r="F25" s="114" t="inlineStr">
        <is>
          <t>Not in current mapping files</t>
        </is>
      </c>
      <c r="G25" s="138" t="inlineStr">
        <is>
          <t>B2</t>
        </is>
      </c>
      <c r="H25" s="143" t="inlineStr">
        <is>
          <t>● Newly mapped</t>
        </is>
      </c>
      <c r="I25" s="111" t="inlineStr">
        <is>
          <t>IC</t>
        </is>
      </c>
      <c r="J25" s="142" t="inlineStr">
        <is>
          <t>Not rated · manager</t>
        </is>
      </c>
      <c r="K25" s="115" t="inlineStr">
        <is>
          <t>—</t>
        </is>
      </c>
      <c r="L25" s="115" t="inlineStr">
        <is>
          <t>Not placed · manager</t>
        </is>
      </c>
      <c r="M25" s="115" t="inlineStr">
        <is>
          <t>No rating data</t>
        </is>
      </c>
      <c r="N25" s="115" t="n"/>
      <c r="O25" s="115" t="inlineStr"/>
      <c r="P25" s="115" t="inlineStr"/>
      <c r="Q25" s="118" t="n">
        <v>86</v>
      </c>
      <c r="R25" s="164" t="inlineStr">
        <is>
          <t>Developing</t>
        </is>
      </c>
      <c r="S25" s="164" t="n">
        <v>94</v>
      </c>
      <c r="T25" s="164" t="n">
        <v>83</v>
      </c>
      <c r="U25" s="164" t="n">
        <v>83</v>
      </c>
      <c r="V25" s="164" t="n">
        <v>80</v>
      </c>
      <c r="W25" s="164" t="inlineStr">
        <is>
          <t>Requirements, Analytics &amp; BI, Business acumen</t>
        </is>
      </c>
      <c r="X25" s="164" t="inlineStr">
        <is>
          <r>
            <rPr>
              <rFont val="Calibri"/>
              <b val="1"/>
              <sz val="10"/>
            </rPr>
            <t>B3:</t>
          </r>
          <r>
            <rPr>
              <rFont val="Calibri"/>
              <sz val="10"/>
            </rPr>
            <t xml:space="preserve"> 78% of profile — close</t>
          </r>
        </is>
      </c>
      <c r="Y25" s="164" t="inlineStr">
        <is>
          <r>
            <rPr>
              <rFont val="Calibri"/>
              <b val="1"/>
              <sz val="10"/>
            </rPr>
            <t>Evidence:</t>
          </r>
          <r>
            <rPr>
              <rFont val="Calibri"/>
              <sz val="10"/>
            </rPr>
            <t xml:space="preserve"> Survey | Core: Ownership 2/3, Problem solving 3/3, Communication &amp; collaboration 3/3, Client &amp; quality focus 3/3, Learning agility 3/3, Integrity &amp; compliance 3/3 | Future-ready: AI literacy 3/3, Data literacy 2/3, Digital fluency 3/3, Innovation 2/3 | Functional: Product &amp; domain 4/4, Requirements 3/4, Analytics &amp; BI 3/4, Business acumen 3/4, Stakeholder mgmt 3/4, AI / GenAI 4/4 | Leadership: Developing people 2/2, Decision making 1/2, Strategic acumen 1/2, Influence &amp; change 3/2</t>
          </r>
        </is>
      </c>
      <c r="Z25" s="119" t="inlineStr">
        <is>
          <t>Broader exposure &amp; ownership</t>
        </is>
      </c>
      <c r="AA25" s="165" t="n"/>
      <c r="AB25" s="165" t="inlineStr">
        <is>
          <t>AI, GenAI &amp; Prompt Engineering; Product, Platform &amp; Domain Knowledge; People Leadership &amp; Mentoring</t>
        </is>
      </c>
      <c r="AC25" s="165" t="inlineStr">
        <is>
          <t>Broader exposure &amp; ownership</t>
        </is>
      </c>
      <c r="AD25" s="165" t="n"/>
      <c r="AE25" s="121" t="inlineStr">
        <is>
          <t>No strong match from survey evidence</t>
        </is>
      </c>
      <c r="AF25" s="122" t="inlineStr">
        <is>
          <t>No material overlap found</t>
        </is>
      </c>
      <c r="AG25" s="122" t="inlineStr">
        <is>
          <t>No close match in other businesses</t>
        </is>
      </c>
      <c r="AH25" s="122" t="n"/>
      <c r="AI25" s="122" t="n"/>
      <c r="AJ25" s="122" t="n"/>
    </row>
    <row r="26" ht="158" customHeight="1">
      <c r="A26" s="109" t="inlineStr">
        <is>
          <t>IRISDT0024</t>
        </is>
      </c>
      <c r="B26" s="111" t="inlineStr">
        <is>
          <t>Ayushi Maurya</t>
        </is>
      </c>
      <c r="C26" s="111" t="inlineStr">
        <is>
          <t>Product Management</t>
        </is>
      </c>
      <c r="D26" s="114" t="inlineStr">
        <is>
          <t>Product Manager</t>
        </is>
      </c>
      <c r="E26" s="114" t="inlineStr">
        <is>
          <t>Associate Product Manager</t>
        </is>
      </c>
      <c r="F26" s="114" t="inlineStr">
        <is>
          <t>Not in current mapping files</t>
        </is>
      </c>
      <c r="G26" s="138" t="inlineStr">
        <is>
          <t>B1</t>
        </is>
      </c>
      <c r="H26" s="143" t="inlineStr">
        <is>
          <t>● Newly mapped</t>
        </is>
      </c>
      <c r="I26" s="111" t="inlineStr">
        <is>
          <t>IC</t>
        </is>
      </c>
      <c r="J26" s="142" t="inlineStr">
        <is>
          <t>Not rated · manager</t>
        </is>
      </c>
      <c r="K26" s="115" t="inlineStr">
        <is>
          <t>—</t>
        </is>
      </c>
      <c r="L26" s="115" t="inlineStr">
        <is>
          <t>Not placed · manager</t>
        </is>
      </c>
      <c r="M26" s="115" t="inlineStr">
        <is>
          <t>No rating data</t>
        </is>
      </c>
      <c r="N26" s="115" t="n"/>
      <c r="O26" s="115" t="inlineStr"/>
      <c r="P26" s="115" t="inlineStr"/>
      <c r="Q26" s="118" t="n">
        <v>85</v>
      </c>
      <c r="R26" s="164" t="inlineStr">
        <is>
          <t>Developing</t>
        </is>
      </c>
      <c r="S26" s="164" t="n">
        <v>92</v>
      </c>
      <c r="T26" s="164" t="n">
        <v>75</v>
      </c>
      <c r="U26" s="164" t="n">
        <v>81</v>
      </c>
      <c r="V26" s="164" t="n">
        <v>105</v>
      </c>
      <c r="W26" s="164" t="inlineStr">
        <is>
          <t>Requirements, Analytics &amp; BI, Stakeholder mgmt</t>
        </is>
      </c>
      <c r="X26" s="164" t="inlineStr">
        <is>
          <r>
            <rPr>
              <rFont val="Calibri"/>
              <b val="1"/>
              <sz val="10"/>
            </rPr>
            <t>B2:</t>
          </r>
          <r>
            <rPr>
              <rFont val="Calibri"/>
              <sz val="10"/>
            </rPr>
            <t xml:space="preserve"> 72% of profile — not yet</t>
          </r>
        </is>
      </c>
      <c r="Y26" s="164" t="inlineStr">
        <is>
          <r>
            <rPr>
              <rFont val="Calibri"/>
              <b val="1"/>
              <sz val="10"/>
            </rPr>
            <t>Evidence:</t>
          </r>
          <r>
            <rPr>
              <rFont val="Calibri"/>
              <sz val="10"/>
            </rPr>
            <t xml:space="preserve"> Survey | Core: Ownership 2/3, Problem solving 3/3, Communication &amp; collaboration 4/3, Client &amp; quality focus 2/3, Learning agility 3/3, Integrity &amp; compliance 3/3 | Future-ready: AI literacy 2/3, Data literacy 2/3, Digital fluency 3/3, Innovation 2/3 | Functional: Product &amp; domain 3/3, Requirements 2/3, Analytics &amp; BI 2/3, Business acumen 4/3, Stakeholder mgmt 2/3, AI / GenAI 2/3 | Leadership: Developing people 1/1, Decision making 1/1, Strategic acumen 2/1, Influence &amp; change 1/1</t>
          </r>
        </is>
      </c>
      <c r="Z26" s="119" t="inlineStr">
        <is>
          <t>Broader exposure &amp; ownership</t>
        </is>
      </c>
      <c r="AA26" s="165" t="n"/>
      <c r="AB26" s="165" t="inlineStr">
        <is>
          <t>Product, Platform &amp; Domain Knowledge; People Leadership &amp; Mentoring; Stakeholder &amp; Client Management</t>
        </is>
      </c>
      <c r="AC26" s="165" t="inlineStr">
        <is>
          <t>Broader exposure &amp; ownership</t>
        </is>
      </c>
      <c r="AD26" s="165" t="n"/>
      <c r="AE26" s="121" t="inlineStr">
        <is>
          <t>No strong match from survey evidence</t>
        </is>
      </c>
      <c r="AF26" s="122" t="inlineStr">
        <is>
          <t>Gaurav Bansal · Associate Product Manager — 0.39: research, mixpanel, market, analysis; Piyush Raj · Product Manager — 0.35: research, market, moengage, analysis</t>
        </is>
      </c>
      <c r="AG26" s="122" t="inlineStr">
        <is>
          <t>No close match in other businesses</t>
        </is>
      </c>
      <c r="AH26" s="122" t="n"/>
      <c r="AI26" s="122" t="n"/>
      <c r="AJ26" s="122" t="n"/>
    </row>
    <row r="27" ht="158" customHeight="1">
      <c r="A27" s="109" t="inlineStr">
        <is>
          <t>IRISDT0021</t>
        </is>
      </c>
      <c r="B27" s="111" t="inlineStr">
        <is>
          <t>Gaurav Bansal</t>
        </is>
      </c>
      <c r="C27" s="111" t="inlineStr">
        <is>
          <t>Product Management</t>
        </is>
      </c>
      <c r="D27" s="114" t="inlineStr">
        <is>
          <t>Product Manager</t>
        </is>
      </c>
      <c r="E27" s="114" t="inlineStr">
        <is>
          <t>Associate Product Manager</t>
        </is>
      </c>
      <c r="F27" s="114" t="inlineStr">
        <is>
          <t>Not in current mapping files</t>
        </is>
      </c>
      <c r="G27" s="138" t="inlineStr">
        <is>
          <t>B1</t>
        </is>
      </c>
      <c r="H27" s="143" t="inlineStr">
        <is>
          <t>● Newly mapped</t>
        </is>
      </c>
      <c r="I27" s="111" t="inlineStr">
        <is>
          <t>IC</t>
        </is>
      </c>
      <c r="J27" s="142" t="inlineStr">
        <is>
          <t>Not rated · manager</t>
        </is>
      </c>
      <c r="K27" s="115" t="inlineStr">
        <is>
          <t>—</t>
        </is>
      </c>
      <c r="L27" s="115" t="inlineStr">
        <is>
          <t>Not placed · manager</t>
        </is>
      </c>
      <c r="M27" s="115" t="inlineStr">
        <is>
          <t>No rating data</t>
        </is>
      </c>
      <c r="N27" s="115" t="n"/>
      <c r="O27" s="115" t="inlineStr"/>
      <c r="P27" s="115" t="inlineStr"/>
      <c r="Q27" s="118" t="n">
        <v>97</v>
      </c>
      <c r="R27" s="164" t="inlineStr">
        <is>
          <t>Meets the level</t>
        </is>
      </c>
      <c r="S27" s="164" t="n">
        <v>104</v>
      </c>
      <c r="T27" s="164" t="n">
        <v>83</v>
      </c>
      <c r="U27" s="164" t="n">
        <v>98</v>
      </c>
      <c r="V27" s="164" t="n">
        <v>100</v>
      </c>
      <c r="W27" s="164" t="inlineStr">
        <is>
          <t>Requirements, Learning agility, Digital fluency</t>
        </is>
      </c>
      <c r="X27" s="164" t="inlineStr">
        <is>
          <r>
            <rPr>
              <rFont val="Calibri"/>
              <b val="1"/>
              <sz val="10"/>
            </rPr>
            <t>B2:</t>
          </r>
          <r>
            <rPr>
              <rFont val="Calibri"/>
              <sz val="10"/>
            </rPr>
            <t xml:space="preserve"> 82% of profile — close</t>
          </r>
        </is>
      </c>
      <c r="Y27" s="164" t="inlineStr">
        <is>
          <r>
            <rPr>
              <rFont val="Calibri"/>
              <b val="1"/>
              <sz val="10"/>
            </rPr>
            <t>Evidence:</t>
          </r>
          <r>
            <rPr>
              <rFont val="Calibri"/>
              <sz val="10"/>
            </rPr>
            <t xml:space="preserve"> Survey | Core: Ownership 3/3, Problem solving 4/3, Communication &amp; collaboration 4/3, Client &amp; quality focus 4/3, Learning agility 2/3, Integrity &amp; compliance 3/3 | Future-ready: AI literacy 3/3, Data literacy 3/3, Digital fluency 2/3, Innovation 2/3 | Functional: Product &amp; domain 4/3, Requirements 2/3, Analytics &amp; BI 3/3, Business acumen 3/3, Stakeholder mgmt 3/3, AI / GenAI 3/3 | Leadership: Developing people 1/1, Decision making 1/1, Strategic acumen 1/1, Influence &amp; change 1/1</t>
          </r>
        </is>
      </c>
      <c r="Z27" s="119" t="inlineStr">
        <is>
          <t>Answered · no common topic</t>
        </is>
      </c>
      <c r="AA27" s="165" t="n"/>
      <c r="AB27" s="165" t="inlineStr">
        <is>
          <t>AI, GenAI &amp; Prompt Engineering; Programming &amp; Tech-Stack Depth; People Leadership &amp; Mentoring</t>
        </is>
      </c>
      <c r="AC27" s="165" t="inlineStr">
        <is>
          <t>Answered · no common topic</t>
        </is>
      </c>
      <c r="AD27" s="165" t="n"/>
      <c r="AE27" s="121" t="inlineStr">
        <is>
          <t>No strong match from survey evidence</t>
        </is>
      </c>
      <c r="AF27" s="122" t="inlineStr">
        <is>
          <t>Ayushi Maurya · Product Manager — 0.39: research, mixpanel, market, analysis; Piyush Raj · Product Manager — 0.36: research, product, market, figma</t>
        </is>
      </c>
      <c r="AG27" s="122" t="inlineStr">
        <is>
          <t>Biswajit Biswal · CARBON, Senior Product Associate — 0.31; Dnyaneshwar Daund · iDEAL, Product Manager — 0.29; Sumit Jain · iFile, Senior Product Manager — 0.27</t>
        </is>
      </c>
      <c r="AH27" s="122" t="n"/>
      <c r="AI27" s="122" t="n"/>
      <c r="AJ27" s="122" t="n"/>
    </row>
    <row r="28" ht="132" customHeight="1">
      <c r="A28" s="109" t="inlineStr">
        <is>
          <t>IRISDTC005</t>
        </is>
      </c>
      <c r="B28" s="111" t="inlineStr">
        <is>
          <t>Smita Londhe</t>
        </is>
      </c>
      <c r="C28" s="111" t="inlineStr">
        <is>
          <t>Quality Assurance</t>
        </is>
      </c>
      <c r="D28" s="114" t="inlineStr">
        <is>
          <t>QA Engineer</t>
        </is>
      </c>
      <c r="E28" s="114" t="inlineStr">
        <is>
          <t>Senior QA Automation Engineer</t>
        </is>
      </c>
      <c r="F28" s="114" t="inlineStr">
        <is>
          <t>Not in current mapping files</t>
        </is>
      </c>
      <c r="G28" s="138" t="inlineStr">
        <is>
          <t>A3</t>
        </is>
      </c>
      <c r="H28" s="143" t="inlineStr">
        <is>
          <t>● Newly mapped</t>
        </is>
      </c>
      <c r="I28" s="111" t="inlineStr">
        <is>
          <t>IC</t>
        </is>
      </c>
      <c r="J28" s="142" t="inlineStr">
        <is>
          <t>Not rated · manager</t>
        </is>
      </c>
      <c r="K28" s="115" t="inlineStr">
        <is>
          <t>—</t>
        </is>
      </c>
      <c r="L28" s="115" t="inlineStr">
        <is>
          <t>Not placed · manager</t>
        </is>
      </c>
      <c r="M28" s="115" t="inlineStr">
        <is>
          <t>No rating data</t>
        </is>
      </c>
      <c r="N28" s="115" t="n"/>
      <c r="O28" s="115" t="inlineStr"/>
      <c r="P28" s="115" t="inlineStr"/>
      <c r="Q28" s="118" t="n">
        <v>96</v>
      </c>
      <c r="R28" s="164" t="inlineStr">
        <is>
          <t>Meets the level</t>
        </is>
      </c>
      <c r="S28" s="164" t="n">
        <v>87</v>
      </c>
      <c r="T28" s="164" t="n">
        <v>98</v>
      </c>
      <c r="U28" s="164" t="n">
        <v>101</v>
      </c>
      <c r="V28" s="164" t="n"/>
      <c r="W28" s="164" t="inlineStr">
        <is>
          <t>AI / GenAI, Problem solving, Learning agility</t>
        </is>
      </c>
      <c r="X28" s="164" t="inlineStr">
        <is>
          <r>
            <rPr>
              <rFont val="Calibri"/>
              <b val="1"/>
              <sz val="10"/>
            </rPr>
            <t>B1:</t>
          </r>
          <r>
            <rPr>
              <rFont val="Calibri"/>
              <sz val="10"/>
            </rPr>
            <t xml:space="preserve"> 86% of profile — close</t>
          </r>
        </is>
      </c>
      <c r="Y28" s="164" t="inlineStr">
        <is>
          <r>
            <rPr>
              <rFont val="Calibri"/>
              <b val="1"/>
              <sz val="10"/>
            </rPr>
            <t>Evidence:</t>
          </r>
          <r>
            <rPr>
              <rFont val="Calibri"/>
              <sz val="10"/>
            </rPr>
            <t xml:space="preserve"> Survey | Core: Ownership 2/2, Problem solving 1/2, Communication &amp; collaboration 2/2, Client &amp; quality focus 3/2, Learning agility 1/2, Integrity &amp; compliance 2/2 | Future-ready: AI literacy 1/2, Data literacy 2/2, Digital fluency 3/2, Innovation 3/2 | Functional: Testing &amp; automation 4/3, Product &amp; domain 3/3, SQL &amp; data 3/3, AI / GenAI 2/3, Quality &amp; process 4/3, Communication 3/3</t>
          </r>
        </is>
      </c>
      <c r="Z28" s="119" t="inlineStr">
        <is>
          <t>AI / automation · Technical depth &amp; architecture · Data, SQL &amp; analytics · Product &amp; tool knowledge · Broader exposure &amp; ownership</t>
        </is>
      </c>
      <c r="AA28" s="165" t="n"/>
      <c r="AB28" s="165" t="inlineStr">
        <is>
          <t>Database, SQL &amp; Data Engineering; Test Automation &amp; QA Engineering; Project, Program &amp; Agile Management</t>
        </is>
      </c>
      <c r="AC28" s="165" t="inlineStr">
        <is>
          <t>AI / automation · Technical depth &amp; architecture · Testing &amp; quality · Data, SQL &amp; analytics · Product &amp; tool knowledge · Broader exposure &amp; ownership</t>
        </is>
      </c>
      <c r="AD28" s="165" t="n"/>
      <c r="AE28" s="121" t="inlineStr">
        <is>
          <t>No strong match from survey evidence</t>
        </is>
      </c>
      <c r="AF28" s="122" t="inlineStr">
        <is>
          <t>Supriya Patil · QA Engineer — 0.66: testing, functional, non, mobile</t>
        </is>
      </c>
      <c r="AG28" s="122" t="inlineStr">
        <is>
          <t>Tulasiram Chand · iDEAL, Senior QA Automation Engineer — 0.48; Tasmiyah Patni · CARBON, QA Engineer — 0.47; Mahesh Dhokale · iFile, Trainee QA Automation Engineer — 0.46</t>
        </is>
      </c>
      <c r="AH28" s="122" t="n"/>
      <c r="AI28" s="122" t="n"/>
      <c r="AJ28" s="122" t="n"/>
    </row>
    <row r="29" ht="132" customHeight="1">
      <c r="A29" s="109" t="inlineStr">
        <is>
          <t>IRISDT0014</t>
        </is>
      </c>
      <c r="B29" s="111" t="inlineStr">
        <is>
          <t>Supriya Patil</t>
        </is>
      </c>
      <c r="C29" s="111" t="inlineStr">
        <is>
          <t>Quality Assurance</t>
        </is>
      </c>
      <c r="D29" s="114" t="inlineStr">
        <is>
          <t>QA Engineer</t>
        </is>
      </c>
      <c r="E29" s="114" t="inlineStr">
        <is>
          <t>Senior QA Engineer</t>
        </is>
      </c>
      <c r="F29" s="114" t="inlineStr">
        <is>
          <t>L3 – Professional / Associate</t>
        </is>
      </c>
      <c r="G29" s="138" t="inlineStr">
        <is>
          <t>A3</t>
        </is>
      </c>
      <c r="H29" s="141" t="inlineStr">
        <is>
          <t>▲ Up</t>
        </is>
      </c>
      <c r="I29" s="111" t="inlineStr">
        <is>
          <t>IC</t>
        </is>
      </c>
      <c r="J29" s="142" t="n">
        <v>3</v>
      </c>
      <c r="K29" s="115" t="inlineStr">
        <is>
          <t>Medium</t>
        </is>
      </c>
      <c r="L29" s="115" t="inlineStr">
        <is>
          <t>Core Contributor</t>
        </is>
      </c>
      <c r="M29" s="115" t="inlineStr">
        <is>
          <t>Develop in role</t>
        </is>
      </c>
      <c r="N29" s="115" t="n"/>
      <c r="O29" s="115" t="inlineStr">
        <is>
          <t>Yes</t>
        </is>
      </c>
      <c r="P29" s="115" t="inlineStr"/>
      <c r="Q29" s="118" t="n">
        <v>91</v>
      </c>
      <c r="R29" s="164" t="inlineStr">
        <is>
          <t>Meets the level</t>
        </is>
      </c>
      <c r="S29" s="164" t="n">
        <v>95</v>
      </c>
      <c r="T29" s="164" t="n">
        <v>80</v>
      </c>
      <c r="U29" s="164" t="n">
        <v>93</v>
      </c>
      <c r="V29" s="164" t="n"/>
      <c r="W29" s="164" t="inlineStr">
        <is>
          <t>SQL &amp; data, AI / GenAI, Communication</t>
        </is>
      </c>
      <c r="X29" s="164" t="inlineStr">
        <is>
          <r>
            <rPr>
              <rFont val="Calibri"/>
              <b val="1"/>
              <sz val="10"/>
            </rPr>
            <t>B1:</t>
          </r>
          <r>
            <rPr>
              <rFont val="Calibri"/>
              <sz val="10"/>
            </rPr>
            <t xml:space="preserve"> 80% of profile — close</t>
          </r>
        </is>
      </c>
      <c r="Y29" s="164" t="inlineStr">
        <is>
          <r>
            <rPr>
              <rFont val="Calibri"/>
              <b val="1"/>
              <sz val="10"/>
            </rPr>
            <t>Evidence:</t>
          </r>
          <r>
            <rPr>
              <rFont val="Calibri"/>
              <sz val="10"/>
            </rPr>
            <t xml:space="preserve"> Survey + KRAs | Core: Ownership 2/2, Problem solving 2/2, Communication &amp; collaboration 2/2, Client &amp; quality focus 3/2, Learning agility 1/2, Integrity &amp; compliance 2/2 | Future-ready: AI literacy 1/2, Data literacy 1/2, Digital fluency 3/2, Innovation 2/2 | Functional: Testing &amp; automation 4/3, Product &amp; domain 4/3, SQL &amp; data 2/3, AI / GenAI 2/3, Quality &amp; process 4/3, Communication 2/3</t>
          </r>
        </is>
      </c>
      <c r="Z29" s="119" t="inlineStr">
        <is>
          <t>AI / automation · Leadership &amp; people management · Technical depth &amp; architecture · Testing &amp; quality · Strategy &amp; business acumen · Broader exposure &amp; ownership</t>
        </is>
      </c>
      <c r="AA29" s="165" t="inlineStr">
        <is>
          <t>AI for testing and automation</t>
        </is>
      </c>
      <c r="AB29" s="165" t="inlineStr">
        <is>
          <t>Cloud, DevOps &amp; CI/CD; Test Automation &amp; QA Engineering; AI, GenAI &amp; Prompt Engineering</t>
        </is>
      </c>
      <c r="AC29" s="165" t="inlineStr">
        <is>
          <t>AI / automation · Leadership &amp; people management · Technical depth &amp; architecture · Testing &amp; quality · Strategy &amp; business acumen · Broader exposure &amp; ownership</t>
        </is>
      </c>
      <c r="AD29" s="165" t="n"/>
      <c r="AE29" s="121" t="inlineStr">
        <is>
          <t>No strong match from survey evidence</t>
        </is>
      </c>
      <c r="AF29" s="122" t="inlineStr">
        <is>
          <t>Smita Londhe · QA Automation Engineer — 0.66: testing, functional, non, mobile</t>
        </is>
      </c>
      <c r="AG29" s="122" t="inlineStr">
        <is>
          <t>Vishal Khare · iFile, QA Engineer — 0.56; Tulasiram Chand · iDEAL, Senior QA Automation Engineer — 0.52; Mahesh Dhokale · iFile, Trainee QA Automation Engineer — 0.41</t>
        </is>
      </c>
      <c r="AH29" s="122" t="n"/>
      <c r="AI29" s="122" t="n"/>
      <c r="AJ29" s="122" t="n"/>
    </row>
    <row r="30" ht="80" customHeight="1">
      <c r="A30" s="109" t="inlineStr">
        <is>
          <t>IRISDT0019</t>
        </is>
      </c>
      <c r="B30" s="111" t="inlineStr">
        <is>
          <t>Abhishek Gite</t>
        </is>
      </c>
      <c r="C30" s="111" t="inlineStr">
        <is>
          <t>Sales</t>
        </is>
      </c>
      <c r="D30" s="114" t="inlineStr">
        <is>
          <t>Head - Sales and Alliances</t>
        </is>
      </c>
      <c r="E30" s="114" t="inlineStr">
        <is>
          <t>Principal – Sales</t>
        </is>
      </c>
      <c r="F30" s="114" t="inlineStr">
        <is>
          <t>Not in current mapping files</t>
        </is>
      </c>
      <c r="G30" s="138" t="inlineStr">
        <is>
          <t>C1</t>
        </is>
      </c>
      <c r="H30" s="143" t="inlineStr">
        <is>
          <t>● Newly mapped</t>
        </is>
      </c>
      <c r="I30" s="111" t="inlineStr">
        <is>
          <t>IC</t>
        </is>
      </c>
      <c r="J30" s="142" t="n">
        <v>3</v>
      </c>
      <c r="K30" s="115" t="inlineStr">
        <is>
          <t>—</t>
        </is>
      </c>
      <c r="L30" s="115" t="inlineStr">
        <is>
          <t>Core Contributor</t>
        </is>
      </c>
      <c r="M30" s="115" t="inlineStr">
        <is>
          <t>Develop in role</t>
        </is>
      </c>
      <c r="N30" s="115" t="n"/>
      <c r="O30" s="115" t="inlineStr"/>
      <c r="P30" s="115" t="inlineStr"/>
      <c r="Q30" s="118" t="n"/>
      <c r="R30" s="164" t="inlineStr">
        <is>
          <t>Not assessed — no survey or KRA evidence</t>
        </is>
      </c>
      <c r="S30" s="164" t="n"/>
      <c r="T30" s="164" t="n"/>
      <c r="U30" s="164" t="n"/>
      <c r="V30" s="164" t="n"/>
      <c r="W30" s="164" t="n"/>
      <c r="X30" s="164" t="n"/>
      <c r="Y30" s="164" t="inlineStr">
        <is>
          <r>
            <rPr>
              <rFont val="Calibri"/>
              <b val="1"/>
              <sz val="10"/>
            </rPr>
            <t>Required at C1:</t>
          </r>
          <r>
            <rPr>
              <rFont val="Calibri"/>
              <sz val="10"/>
            </rPr>
            <t xml:space="preserve"> Core 4 · Future-ready 4 · Functional Sales &amp; negotiation 4 · Digital marketing 4 · Stakeholder mgmt 4 · Communication 4 · Product &amp; domain 4 · Business acumen 4 · Leadership 4 — rate in manager validation using sheet 4.</t>
          </r>
        </is>
      </c>
      <c r="Z30" s="119" t="inlineStr"/>
      <c r="AA30" s="165" t="n"/>
      <c r="AB30" s="165" t="inlineStr">
        <is>
          <t>People Leadership &amp; Mentoring; Strategic Thinking &amp; Business Acumen</t>
        </is>
      </c>
      <c r="AC30" s="165" t="inlineStr"/>
      <c r="AD30" s="165" t="n"/>
      <c r="AE30" s="121" t="n"/>
      <c r="AF30" s="122" t="inlineStr">
        <is>
          <t>No survey text</t>
        </is>
      </c>
      <c r="AG30" s="122" t="inlineStr">
        <is>
          <t>No survey text</t>
        </is>
      </c>
      <c r="AH30" s="122" t="n"/>
      <c r="AI30" s="122" t="n"/>
      <c r="AJ30" s="122" t="n"/>
    </row>
    <row r="31" ht="80" customHeight="1">
      <c r="A31" s="109" t="inlineStr">
        <is>
          <t>IRISDT0006</t>
        </is>
      </c>
      <c r="B31" s="111" t="inlineStr">
        <is>
          <t>Sanghamitra Saxena</t>
        </is>
      </c>
      <c r="C31" s="111" t="inlineStr">
        <is>
          <t>Technology</t>
        </is>
      </c>
      <c r="D31" s="111" t="inlineStr">
        <is>
          <t>Solution Architect</t>
        </is>
      </c>
      <c r="E31" s="111" t="inlineStr">
        <is>
          <t>Solution Architect</t>
        </is>
      </c>
      <c r="F31" s="114" t="inlineStr">
        <is>
          <t>L3 – Professional / Associate</t>
        </is>
      </c>
      <c r="G31" s="138" t="inlineStr">
        <is>
          <t>C1</t>
        </is>
      </c>
      <c r="H31" s="141" t="inlineStr">
        <is>
          <t>▲ Up</t>
        </is>
      </c>
      <c r="I31" s="111" t="inlineStr">
        <is>
          <t>IC</t>
        </is>
      </c>
      <c r="J31" s="142" t="n">
        <v>3</v>
      </c>
      <c r="K31" s="115" t="inlineStr">
        <is>
          <t>—</t>
        </is>
      </c>
      <c r="L31" s="115" t="inlineStr">
        <is>
          <t>Future Leader</t>
        </is>
      </c>
      <c r="M31" s="115" t="inlineStr">
        <is>
          <t>Develop in role</t>
        </is>
      </c>
      <c r="N31" s="115" t="n"/>
      <c r="O31" s="115" t="inlineStr">
        <is>
          <t>Yes</t>
        </is>
      </c>
      <c r="P31" s="115" t="inlineStr"/>
      <c r="Q31" s="118" t="n"/>
      <c r="R31" s="164" t="inlineStr">
        <is>
          <t>Not assessed — no survey or KRA evidence</t>
        </is>
      </c>
      <c r="S31" s="164" t="n"/>
      <c r="T31" s="164" t="n"/>
      <c r="U31" s="164" t="n"/>
      <c r="V31" s="164" t="n"/>
      <c r="W31" s="164" t="n"/>
      <c r="X31" s="164" t="n"/>
      <c r="Y31" s="164" t="inlineStr">
        <is>
          <r>
            <rPr>
              <rFont val="Calibri"/>
              <b val="1"/>
              <sz val="10"/>
            </rPr>
            <t>Required at C1:</t>
          </r>
          <r>
            <rPr>
              <rFont val="Calibri"/>
              <sz val="10"/>
            </rPr>
            <t xml:space="preserve"> Core 4 · Future-ready 4 · Functional System design 4 · Programming &amp; stack 4 · Cloud &amp; DevOps 4 · Infra &amp; security 4 · Stakeholder mgmt 4 · Business acumen 4 · Leadership 4 — rate in manager validation using sheet 4.</t>
          </r>
        </is>
      </c>
      <c r="Z31" s="119" t="inlineStr"/>
      <c r="AA31" s="165" t="n"/>
      <c r="AB31" s="165" t="inlineStr">
        <is>
          <t>People Leadership &amp; Mentoring; Stakeholder &amp; Client Management; Strategic Thinking &amp; Business Acumen</t>
        </is>
      </c>
      <c r="AC31" s="165" t="inlineStr"/>
      <c r="AD31" s="165" t="n"/>
      <c r="AE31" s="121" t="n"/>
      <c r="AF31" s="122" t="inlineStr">
        <is>
          <t>No survey text</t>
        </is>
      </c>
      <c r="AG31" s="122" t="inlineStr">
        <is>
          <t>No survey text</t>
        </is>
      </c>
      <c r="AH31" s="122" t="n"/>
      <c r="AI31" s="122" t="n"/>
      <c r="AJ31" s="122" t="n"/>
    </row>
    <row r="32" ht="158" customHeight="1">
      <c r="A32" s="109" t="inlineStr">
        <is>
          <t>IRISDTC002</t>
        </is>
      </c>
      <c r="B32" s="111" t="inlineStr">
        <is>
          <t>Akshay Shetty</t>
        </is>
      </c>
      <c r="C32" s="111" t="inlineStr">
        <is>
          <t>Technology</t>
        </is>
      </c>
      <c r="D32" s="114" t="inlineStr">
        <is>
          <t>Consultant -Lead Developer</t>
        </is>
      </c>
      <c r="E32" s="114" t="inlineStr">
        <is>
          <t>Senior Technical Specialist – POD Lead</t>
        </is>
      </c>
      <c r="F32" s="114" t="inlineStr">
        <is>
          <t>L5 – Lead · IC</t>
        </is>
      </c>
      <c r="G32" s="138" t="inlineStr">
        <is>
          <t>B2</t>
        </is>
      </c>
      <c r="H32" s="139" t="inlineStr">
        <is>
          <t>▼ Down · protected</t>
        </is>
      </c>
      <c r="I32" s="111" t="inlineStr">
        <is>
          <t>POD Lead</t>
        </is>
      </c>
      <c r="J32" s="142" t="n">
        <v>2</v>
      </c>
      <c r="K32" s="115" t="inlineStr">
        <is>
          <t>Low</t>
        </is>
      </c>
      <c r="L32" s="115" t="inlineStr">
        <is>
          <t>Performance Risk</t>
        </is>
      </c>
      <c r="M32" s="115" t="inlineStr">
        <is>
          <t>Performance first</t>
        </is>
      </c>
      <c r="N32" s="115" t="n"/>
      <c r="O32" s="115" t="inlineStr"/>
      <c r="P32" s="115" t="inlineStr"/>
      <c r="Q32" s="118" t="n">
        <v>82</v>
      </c>
      <c r="R32" s="164" t="inlineStr">
        <is>
          <t>Developing</t>
        </is>
      </c>
      <c r="S32" s="164" t="n">
        <v>78</v>
      </c>
      <c r="T32" s="164" t="n">
        <v>75</v>
      </c>
      <c r="U32" s="164" t="n">
        <v>83</v>
      </c>
      <c r="V32" s="164" t="n">
        <v>92</v>
      </c>
      <c r="W32" s="164" t="inlineStr">
        <is>
          <t>Programming &amp; stack, System design, SQL &amp; data</t>
        </is>
      </c>
      <c r="X32" s="164" t="inlineStr">
        <is>
          <r>
            <rPr>
              <rFont val="Calibri"/>
              <b val="1"/>
              <sz val="10"/>
            </rPr>
            <t>B3:</t>
          </r>
          <r>
            <rPr>
              <rFont val="Calibri"/>
              <sz val="10"/>
            </rPr>
            <t xml:space="preserve"> 73% of profile — not yet</t>
          </r>
        </is>
      </c>
      <c r="Y32" s="164" t="inlineStr">
        <is>
          <r>
            <rPr>
              <rFont val="Calibri"/>
              <b val="1"/>
              <sz val="10"/>
            </rPr>
            <t>Evidence:</t>
          </r>
          <r>
            <rPr>
              <rFont val="Calibri"/>
              <sz val="10"/>
            </rPr>
            <t xml:space="preserve"> KRAs only | Core: Ownership 2/3, Problem solving 2/3, Communication &amp; collaboration 3/3, Client &amp; quality focus 2/3, Learning agility 2/3, Integrity &amp; compliance 3/3 | Future-ready: AI literacy 2/3, Data literacy 2/3, Digital fluency 2/3, Innovation 3/3 | Functional: Programming &amp; stack 3/4, System design 3/4, SQL &amp; data 3/4, Cloud &amp; DevOps 4/4, AI / GenAI 3/4, Product &amp; domain 4/4 | Leadership: Developing people 3/3, Decision making 3/3, Strategic acumen 2/3, Influence &amp; change 3/3</t>
          </r>
        </is>
      </c>
      <c r="Z32" s="119" t="inlineStr"/>
      <c r="AA32" s="165" t="inlineStr">
        <is>
          <t>Optimal use of AI System Design Thinking Flutter Product Knowledge</t>
        </is>
      </c>
      <c r="AB32" s="165" t="inlineStr">
        <is>
          <t>People Leadership &amp; Mentoring; Project, Program &amp; Agile Management</t>
        </is>
      </c>
      <c r="AC32" s="165" t="inlineStr"/>
      <c r="AD32" s="165" t="n"/>
      <c r="AE32" s="121" t="inlineStr">
        <is>
          <t>No strong match from survey evidence</t>
        </is>
      </c>
      <c r="AF32" s="122" t="inlineStr">
        <is>
          <t>No survey text</t>
        </is>
      </c>
      <c r="AG32" s="122" t="inlineStr">
        <is>
          <t>No survey text</t>
        </is>
      </c>
      <c r="AH32" s="122" t="n">
        <v>2</v>
      </c>
      <c r="AI32" s="122" t="inlineStr">
        <is>
          <t>POD Lead</t>
        </is>
      </c>
      <c r="AJ32" s="122" t="n"/>
    </row>
    <row r="33" ht="132" customHeight="1">
      <c r="A33" s="109" t="inlineStr">
        <is>
          <t>IRISDT0020</t>
        </is>
      </c>
      <c r="B33" s="111" t="inlineStr">
        <is>
          <t>Utkarsh Sagar Bafana</t>
        </is>
      </c>
      <c r="C33" s="111" t="inlineStr">
        <is>
          <t>Technology</t>
        </is>
      </c>
      <c r="D33" s="114" t="inlineStr">
        <is>
          <t>UX Designer</t>
        </is>
      </c>
      <c r="E33" s="114" t="inlineStr">
        <is>
          <t>Senior Product Designer</t>
        </is>
      </c>
      <c r="F33" s="114" t="inlineStr">
        <is>
          <t>Not in current mapping files</t>
        </is>
      </c>
      <c r="G33" s="138" t="inlineStr">
        <is>
          <t>A3</t>
        </is>
      </c>
      <c r="H33" s="143" t="inlineStr">
        <is>
          <t>● Newly mapped</t>
        </is>
      </c>
      <c r="I33" s="111" t="inlineStr">
        <is>
          <t>IC</t>
        </is>
      </c>
      <c r="J33" s="142" t="inlineStr">
        <is>
          <t>Not rated · manager</t>
        </is>
      </c>
      <c r="K33" s="115" t="inlineStr">
        <is>
          <t>—</t>
        </is>
      </c>
      <c r="L33" s="115" t="inlineStr">
        <is>
          <t>Not placed · manager</t>
        </is>
      </c>
      <c r="M33" s="115" t="inlineStr">
        <is>
          <t>No rating data</t>
        </is>
      </c>
      <c r="N33" s="115" t="n"/>
      <c r="O33" s="115" t="inlineStr"/>
      <c r="P33" s="115" t="inlineStr"/>
      <c r="Q33" s="118" t="n">
        <v>74</v>
      </c>
      <c r="R33" s="164" t="inlineStr">
        <is>
          <t>Gap — development plan needed</t>
        </is>
      </c>
      <c r="S33" s="164" t="n">
        <v>92</v>
      </c>
      <c r="T33" s="164" t="n">
        <v>50</v>
      </c>
      <c r="U33" s="164" t="n">
        <v>72</v>
      </c>
      <c r="V33" s="164" t="n"/>
      <c r="W33" s="164" t="inlineStr">
        <is>
          <t>Product &amp; domain, Communication, Digital marketing</t>
        </is>
      </c>
      <c r="X33" s="164" t="inlineStr">
        <is>
          <r>
            <rPr>
              <rFont val="Calibri"/>
              <b val="1"/>
              <sz val="10"/>
            </rPr>
            <t>B1:</t>
          </r>
          <r>
            <rPr>
              <rFont val="Calibri"/>
              <sz val="10"/>
            </rPr>
            <t xml:space="preserve"> 64% of profile — not yet</t>
          </r>
        </is>
      </c>
      <c r="Y33" s="164" t="inlineStr">
        <is>
          <r>
            <rPr>
              <rFont val="Calibri"/>
              <b val="1"/>
              <sz val="10"/>
            </rPr>
            <t>Evidence:</t>
          </r>
          <r>
            <rPr>
              <rFont val="Calibri"/>
              <sz val="10"/>
            </rPr>
            <t xml:space="preserve"> Survey | Core: Ownership 2/2, Problem solving 2/2, Communication &amp; collaboration 2/2, Client &amp; quality focus 2/2, Learning agility 1/2, Integrity &amp; compliance 2/2 | Future-ready: AI literacy 1/2, Data literacy 1/2, Digital fluency 1/2, Innovation 1/2 | Functional: Product &amp; domain 2/3, Communication 2/3, Digital marketing 2/3, Quality &amp; process 3/3, AI / GenAI 2/3, Stakeholder mgmt 2/3</t>
          </r>
        </is>
      </c>
      <c r="Z33" s="119" t="inlineStr">
        <is>
          <t>Product &amp; tool knowledge</t>
        </is>
      </c>
      <c r="AA33" s="165" t="n"/>
      <c r="AB33" s="165" t="inlineStr">
        <is>
          <t>AI, GenAI &amp; Prompt Engineering</t>
        </is>
      </c>
      <c r="AC33" s="165" t="inlineStr">
        <is>
          <t>Product &amp; tool knowledge</t>
        </is>
      </c>
      <c r="AD33" s="165" t="n"/>
      <c r="AE33" s="121" t="inlineStr">
        <is>
          <t>No strong match from survey evidence</t>
        </is>
      </c>
      <c r="AF33" s="122" t="inlineStr">
        <is>
          <t>No material overlap found</t>
        </is>
      </c>
      <c r="AG33" s="122" t="inlineStr">
        <is>
          <t>Ritik Wadje · CARBON, Product Designer — 0.32</t>
        </is>
      </c>
      <c r="AH33" s="122" t="n"/>
      <c r="AI33" s="122" t="n"/>
      <c r="AJ33" s="122" t="n"/>
    </row>
    <row r="34" ht="132" customHeight="1">
      <c r="A34" s="109" t="inlineStr">
        <is>
          <t>IRISDT0002</t>
        </is>
      </c>
      <c r="B34" s="111" t="inlineStr">
        <is>
          <t>Niraj Santosh Patil</t>
        </is>
      </c>
      <c r="C34" s="111" t="inlineStr">
        <is>
          <t>Technology</t>
        </is>
      </c>
      <c r="D34" s="114" t="inlineStr">
        <is>
          <t>Junior Software Engineer</t>
        </is>
      </c>
      <c r="E34" s="114" t="inlineStr">
        <is>
          <t>Senior Software Engineer</t>
        </is>
      </c>
      <c r="F34" s="114" t="inlineStr">
        <is>
          <t>L2 – Trainee</t>
        </is>
      </c>
      <c r="G34" s="138" t="inlineStr">
        <is>
          <t>A3</t>
        </is>
      </c>
      <c r="H34" s="141" t="inlineStr">
        <is>
          <t>▲ Up</t>
        </is>
      </c>
      <c r="I34" s="111" t="inlineStr">
        <is>
          <t>IC</t>
        </is>
      </c>
      <c r="J34" s="142" t="n">
        <v>2</v>
      </c>
      <c r="K34" s="115" t="inlineStr">
        <is>
          <t>Low</t>
        </is>
      </c>
      <c r="L34" s="115" t="inlineStr">
        <is>
          <t>Performance Risk</t>
        </is>
      </c>
      <c r="M34" s="115" t="inlineStr">
        <is>
          <t>Performance first</t>
        </is>
      </c>
      <c r="N34" s="115" t="n"/>
      <c r="O34" s="115" t="inlineStr">
        <is>
          <t>Yes</t>
        </is>
      </c>
      <c r="P34" s="115" t="inlineStr"/>
      <c r="Q34" s="118" t="n">
        <v>94</v>
      </c>
      <c r="R34" s="164" t="inlineStr">
        <is>
          <t>Meets the level</t>
        </is>
      </c>
      <c r="S34" s="164" t="n">
        <v>87</v>
      </c>
      <c r="T34" s="164" t="n">
        <v>105</v>
      </c>
      <c r="U34" s="164" t="n">
        <v>94</v>
      </c>
      <c r="V34" s="164" t="n"/>
      <c r="W34" s="164" t="inlineStr">
        <is>
          <t>System design, Ownership, Learning agility</t>
        </is>
      </c>
      <c r="X34" s="164" t="inlineStr">
        <is>
          <r>
            <rPr>
              <rFont val="Calibri"/>
              <b val="1"/>
              <sz val="10"/>
            </rPr>
            <t>B1:</t>
          </r>
          <r>
            <rPr>
              <rFont val="Calibri"/>
              <sz val="10"/>
            </rPr>
            <t xml:space="preserve"> 83% of profile — close</t>
          </r>
        </is>
      </c>
      <c r="Y34" s="164" t="inlineStr">
        <is>
          <r>
            <rPr>
              <rFont val="Calibri"/>
              <b val="1"/>
              <sz val="10"/>
            </rPr>
            <t>Evidence:</t>
          </r>
          <r>
            <rPr>
              <rFont val="Calibri"/>
              <sz val="10"/>
            </rPr>
            <t xml:space="preserve"> Survey + KRAs | Core: Ownership 1/2, Problem solving 2/2, Communication &amp; collaboration 3/2, Client &amp; quality focus 2/2, Learning agility 1/2, Integrity &amp; compliance 2/2 | Future-ready: AI literacy 2/2, Data literacy 2/2, Digital fluency 3/2, Innovation 2/2 | Functional: Programming &amp; stack 3/3, System design 2/3, SQL &amp; data 3/3, Cloud &amp; DevOps 3/3, AI / GenAI 3/3, Product &amp; domain 3/3</t>
          </r>
        </is>
      </c>
      <c r="Z34" s="119" t="inlineStr">
        <is>
          <t>Technical depth &amp; architecture</t>
        </is>
      </c>
      <c r="AA34" s="165" t="inlineStr">
        <is>
          <t>Optimal use of AI System Design Thinking Flutter, Django Product Knowledge</t>
        </is>
      </c>
      <c r="AB34" s="165" t="inlineStr">
        <is>
          <t>Programming &amp; Tech-Stack Depth; Product, Platform &amp; Domain Knowledge; Project, Program &amp; Agile Management</t>
        </is>
      </c>
      <c r="AC34" s="165" t="inlineStr">
        <is>
          <t>Technical depth &amp; architecture</t>
        </is>
      </c>
      <c r="AD34" s="165" t="n"/>
      <c r="AE34" s="121" t="inlineStr">
        <is>
          <t>No strong match from survey evidence</t>
        </is>
      </c>
      <c r="AF34" s="122" t="inlineStr">
        <is>
          <t>Krishnadev Arya · Software Engineer — 0.35: software, fix, code, quality</t>
        </is>
      </c>
      <c r="AG34" s="122" t="inlineStr">
        <is>
          <t>Hemalatha Visamsetti · iFile, Senior Software Engineer — 0.34; Ayush Sharma · CARBON, Trainee Software Engineer — 0.33; Mayuresh Raghunath Mahale · iFile, Trainee Software Engineer — 0.32</t>
        </is>
      </c>
      <c r="AH34" s="122" t="n"/>
      <c r="AI34" s="122" t="n"/>
      <c r="AJ34" s="122" t="n"/>
    </row>
    <row r="35" ht="132" customHeight="1">
      <c r="A35" s="109" t="inlineStr">
        <is>
          <t>IRISDT0018</t>
        </is>
      </c>
      <c r="B35" s="111" t="inlineStr">
        <is>
          <t>Shivam Dhumal</t>
        </is>
      </c>
      <c r="C35" s="111" t="inlineStr">
        <is>
          <t>Technology</t>
        </is>
      </c>
      <c r="D35" s="114" t="inlineStr">
        <is>
          <t>Software Engineer</t>
        </is>
      </c>
      <c r="E35" s="114" t="inlineStr">
        <is>
          <t>Senior Software Engineer</t>
        </is>
      </c>
      <c r="F35" s="114" t="inlineStr">
        <is>
          <t>L3 – Professional / Associate</t>
        </is>
      </c>
      <c r="G35" s="138" t="inlineStr">
        <is>
          <t>A3</t>
        </is>
      </c>
      <c r="H35" s="141" t="inlineStr">
        <is>
          <t>▲ Up</t>
        </is>
      </c>
      <c r="I35" s="111" t="inlineStr">
        <is>
          <t>IC</t>
        </is>
      </c>
      <c r="J35" s="142" t="n">
        <v>3</v>
      </c>
      <c r="K35" s="115" t="inlineStr">
        <is>
          <t>Medium</t>
        </is>
      </c>
      <c r="L35" s="115" t="inlineStr">
        <is>
          <t>Emerging Talent</t>
        </is>
      </c>
      <c r="M35" s="115" t="inlineStr">
        <is>
          <t>Develop in role</t>
        </is>
      </c>
      <c r="N35" s="115" t="n"/>
      <c r="O35" s="115" t="inlineStr">
        <is>
          <t>Yes</t>
        </is>
      </c>
      <c r="P35" s="115" t="inlineStr"/>
      <c r="Q35" s="118" t="n">
        <v>90</v>
      </c>
      <c r="R35" s="164" t="inlineStr">
        <is>
          <t>Developing</t>
        </is>
      </c>
      <c r="S35" s="164" t="n">
        <v>98</v>
      </c>
      <c r="T35" s="164" t="n">
        <v>80</v>
      </c>
      <c r="U35" s="164" t="n">
        <v>89</v>
      </c>
      <c r="V35" s="164" t="n"/>
      <c r="W35" s="164" t="inlineStr">
        <is>
          <t>SQL &amp; data, AI / GenAI, Learning agility</t>
        </is>
      </c>
      <c r="X35" s="164" t="inlineStr">
        <is>
          <r>
            <rPr>
              <rFont val="Calibri"/>
              <b val="1"/>
              <sz val="10"/>
            </rPr>
            <t>B1:</t>
          </r>
          <r>
            <rPr>
              <rFont val="Calibri"/>
              <sz val="10"/>
            </rPr>
            <t xml:space="preserve"> 80% of profile — close</t>
          </r>
        </is>
      </c>
      <c r="Y35" s="164" t="inlineStr">
        <is>
          <r>
            <rPr>
              <rFont val="Calibri"/>
              <b val="1"/>
              <sz val="10"/>
            </rPr>
            <t>Evidence:</t>
          </r>
          <r>
            <rPr>
              <rFont val="Calibri"/>
              <sz val="10"/>
            </rPr>
            <t xml:space="preserve"> Survey + KRAs | Core: Ownership 3/2, Problem solving 2/2, Communication &amp; collaboration 3/2, Client &amp; quality focus 2/2, Learning agility 1/2, Integrity &amp; compliance 2/2 | Future-ready: AI literacy 1/2, Data literacy 1/2, Digital fluency 3/2, Innovation 2/2 | Functional: Programming &amp; stack 3/3, System design 3/3, SQL &amp; data 2/3, Cloud &amp; DevOps 3/3, AI / GenAI 2/3, Product &amp; domain 3/3</t>
          </r>
        </is>
      </c>
      <c r="Z35" s="119" t="inlineStr">
        <is>
          <t>Leadership &amp; people management · Project / programme management · Technical depth &amp; architecture · Broader exposure &amp; ownership</t>
        </is>
      </c>
      <c r="AA35" s="165" t="inlineStr">
        <is>
          <t>Solution Architecture and System Design</t>
        </is>
      </c>
      <c r="AB35" s="165" t="inlineStr">
        <is>
          <t>Cloud, DevOps &amp; CI/CD; AI, GenAI &amp; Prompt Engineering; Programming &amp; Tech-Stack Depth</t>
        </is>
      </c>
      <c r="AC35" s="165" t="inlineStr">
        <is>
          <t>Leadership &amp; people management · Project / programme management · Technical depth &amp; architecture · Broader exposure &amp; ownership</t>
        </is>
      </c>
      <c r="AD35" s="165" t="n"/>
      <c r="AE35" s="121" t="inlineStr">
        <is>
          <t>No strong match from survey evidence</t>
        </is>
      </c>
      <c r="AF35" s="122" t="inlineStr">
        <is>
          <t>No material overlap found</t>
        </is>
      </c>
      <c r="AG35" s="122" t="inlineStr">
        <is>
          <t>Chetna Vijay Nile · iFile, Software Engineer — 0.62; Atharv Sameer Shevade · iDEAL, Trainee Software Engineer — 0.31; Pratik Ekhande · iDEAL, Software Engineer — 0.29</t>
        </is>
      </c>
      <c r="AH35" s="122" t="n"/>
      <c r="AI35" s="122" t="n"/>
      <c r="AJ35" s="122" t="n"/>
    </row>
    <row r="36" ht="132" customHeight="1">
      <c r="A36" s="109" t="inlineStr">
        <is>
          <t>IRISDT0004</t>
        </is>
      </c>
      <c r="B36" s="111" t="inlineStr">
        <is>
          <t>Krishnadev Arya</t>
        </is>
      </c>
      <c r="C36" s="111" t="inlineStr">
        <is>
          <t>Technology</t>
        </is>
      </c>
      <c r="D36" s="114" t="inlineStr">
        <is>
          <t>Junior Software Engineer</t>
        </is>
      </c>
      <c r="E36" s="114" t="inlineStr">
        <is>
          <t>Software Engineer</t>
        </is>
      </c>
      <c r="F36" s="111" t="inlineStr">
        <is>
          <t>L3 – Professional / Associate</t>
        </is>
      </c>
      <c r="G36" s="26" t="inlineStr">
        <is>
          <t>A2</t>
        </is>
      </c>
      <c r="H36" s="117" t="inlineStr">
        <is>
          <t>• Same level</t>
        </is>
      </c>
      <c r="I36" s="111" t="inlineStr">
        <is>
          <t>IC</t>
        </is>
      </c>
      <c r="J36" s="142" t="n">
        <v>2</v>
      </c>
      <c r="K36" s="115" t="inlineStr">
        <is>
          <t>Low</t>
        </is>
      </c>
      <c r="L36" s="115" t="inlineStr">
        <is>
          <t>Performance Risk</t>
        </is>
      </c>
      <c r="M36" s="115" t="inlineStr">
        <is>
          <t>Performance first</t>
        </is>
      </c>
      <c r="N36" s="115" t="n"/>
      <c r="O36" s="115" t="inlineStr">
        <is>
          <t>Yes</t>
        </is>
      </c>
      <c r="P36" s="115" t="inlineStr"/>
      <c r="Q36" s="118" t="n">
        <v>84</v>
      </c>
      <c r="R36" s="164" t="inlineStr">
        <is>
          <t>Developing</t>
        </is>
      </c>
      <c r="S36" s="164" t="n">
        <v>75</v>
      </c>
      <c r="T36" s="164" t="n">
        <v>80</v>
      </c>
      <c r="U36" s="164" t="n">
        <v>92</v>
      </c>
      <c r="V36" s="164" t="n"/>
      <c r="W36" s="164" t="inlineStr">
        <is>
          <t>SQL &amp; data, Ownership, Client &amp; quality focus</t>
        </is>
      </c>
      <c r="X36" s="164" t="inlineStr">
        <is>
          <r>
            <rPr>
              <rFont val="Calibri"/>
              <b val="1"/>
              <sz val="10"/>
            </rPr>
            <t>A3:</t>
          </r>
          <r>
            <rPr>
              <rFont val="Calibri"/>
              <sz val="10"/>
            </rPr>
            <t xml:space="preserve"> 69% of profile — not yet</t>
          </r>
        </is>
      </c>
      <c r="Y36" s="164" t="inlineStr">
        <is>
          <r>
            <rPr>
              <rFont val="Calibri"/>
              <b val="1"/>
              <sz val="10"/>
            </rPr>
            <t>Evidence:</t>
          </r>
          <r>
            <rPr>
              <rFont val="Calibri"/>
              <sz val="10"/>
            </rPr>
            <t xml:space="preserve"> Survey + KRAs | Core: Ownership 1/2, Problem solving 2/2, Communication &amp; collaboration 2/2, Client &amp; quality focus 1/2, Learning agility 1/2, Integrity &amp; compliance 2/2 | Future-ready: AI literacy 2/2, Data literacy 1/2, Digital fluency 3/2, Innovation 1/2 | Functional: Programming &amp; stack 2/2, System design 2/2, SQL &amp; data 1/2, Cloud &amp; DevOps 2/2, AI / GenAI 2/2, Product &amp; domain 2/2</t>
          </r>
        </is>
      </c>
      <c r="Z36" s="119" t="inlineStr">
        <is>
          <t>Project / programme management · Broader exposure &amp; ownership</t>
        </is>
      </c>
      <c r="AA36" s="165" t="inlineStr">
        <is>
          <t>Optimal use of AI System Design Thinking Flutter, Django Product Knowledge</t>
        </is>
      </c>
      <c r="AB36" s="165" t="inlineStr">
        <is>
          <t>Broader Ownership &amp; Cross-functional Exposure</t>
        </is>
      </c>
      <c r="AC36" s="165" t="inlineStr">
        <is>
          <t>Project / programme management · Broader exposure &amp; ownership</t>
        </is>
      </c>
      <c r="AD36" s="165" t="n"/>
      <c r="AE36" s="121" t="inlineStr">
        <is>
          <t>No strong match from survey evidence</t>
        </is>
      </c>
      <c r="AF36" s="122" t="inlineStr">
        <is>
          <t>Niraj Santosh Patil · Software Engineer — 0.35: software, fix, code, quality</t>
        </is>
      </c>
      <c r="AG36" s="122" t="inlineStr">
        <is>
          <t>Ayush Sharma · CARBON, Trainee Software Engineer — 0.51; Sagar Jadhav · iFile, Engineering Manager — 0.33; Swati Patil · iFile, Senior Software Engineer — 0.33</t>
        </is>
      </c>
      <c r="AH36" s="122" t="n"/>
      <c r="AI36" s="122" t="n"/>
      <c r="AJ36" s="122" t="n"/>
    </row>
    <row r="37" ht="132" customHeight="1">
      <c r="A37" s="109" t="inlineStr">
        <is>
          <t>IRISDTN001</t>
        </is>
      </c>
      <c r="B37" s="111" t="inlineStr">
        <is>
          <t>Riyanka Dey</t>
        </is>
      </c>
      <c r="C37" s="111" t="inlineStr">
        <is>
          <t>Technology</t>
        </is>
      </c>
      <c r="D37" s="114" t="inlineStr">
        <is>
          <t>Intern</t>
        </is>
      </c>
      <c r="E37" s="114" t="inlineStr">
        <is>
          <t>Intern – Product Operations &amp; Research</t>
        </is>
      </c>
      <c r="F37" s="114" t="inlineStr">
        <is>
          <t>Not in current mapping files</t>
        </is>
      </c>
      <c r="G37" s="138" t="inlineStr">
        <is>
          <t>A1</t>
        </is>
      </c>
      <c r="H37" s="143" t="inlineStr">
        <is>
          <t>● Newly mapped</t>
        </is>
      </c>
      <c r="I37" s="111" t="inlineStr">
        <is>
          <t>IC</t>
        </is>
      </c>
      <c r="J37" s="142" t="inlineStr">
        <is>
          <t>Not rated · manager</t>
        </is>
      </c>
      <c r="K37" s="115" t="inlineStr">
        <is>
          <t>—</t>
        </is>
      </c>
      <c r="L37" s="115" t="inlineStr">
        <is>
          <t>Not placed · manager</t>
        </is>
      </c>
      <c r="M37" s="115" t="inlineStr">
        <is>
          <t>No rating data</t>
        </is>
      </c>
      <c r="N37" s="115" t="n"/>
      <c r="O37" s="115" t="inlineStr"/>
      <c r="P37" s="115" t="inlineStr"/>
      <c r="Q37" s="118" t="n">
        <v>112</v>
      </c>
      <c r="R37" s="164" t="inlineStr">
        <is>
          <t>Exceeds — ready for stretch</t>
        </is>
      </c>
      <c r="S37" s="164" t="n">
        <v>110</v>
      </c>
      <c r="T37" s="164" t="n">
        <v>110</v>
      </c>
      <c r="U37" s="164" t="n">
        <v>113</v>
      </c>
      <c r="V37" s="164" t="n"/>
      <c r="W37" s="164" t="inlineStr">
        <is>
          <t>None — maintain and stretch</t>
        </is>
      </c>
      <c r="X37" s="164" t="inlineStr">
        <is>
          <r>
            <rPr>
              <rFont val="Calibri"/>
              <b val="1"/>
              <sz val="10"/>
            </rPr>
            <t>A2:</t>
          </r>
          <r>
            <rPr>
              <rFont val="Calibri"/>
              <sz val="10"/>
            </rPr>
            <t xml:space="preserve"> 79% of profile — close</t>
          </r>
        </is>
      </c>
      <c r="Y37" s="164" t="inlineStr">
        <is>
          <r>
            <rPr>
              <rFont val="Calibri"/>
              <b val="1"/>
              <sz val="10"/>
            </rPr>
            <t>Evidence:</t>
          </r>
          <r>
            <rPr>
              <rFont val="Calibri"/>
              <sz val="10"/>
            </rPr>
            <t xml:space="preserve"> Survey | Core: Ownership 1/1, Problem solving 2/1, Communication &amp; collaboration 2/1, Client &amp; quality focus 2/1, Learning agility 1/1, Integrity &amp; compliance 1/1 | Future-ready: AI literacy 1/1, Data literacy 2/1, Digital fluency 2/1, Innovation 1/1 | Functional: Product &amp; domain 2/1, Requirements 1/1, Analytics &amp; BI 2/1, Business acumen 2/1, Stakeholder mgmt 2/1, AI / GenAI 1/1</t>
          </r>
        </is>
      </c>
      <c r="Z37" s="119" t="inlineStr">
        <is>
          <t>Domain, regulatory &amp; XBRL · Product &amp; tool knowledge · Strategy &amp; business acumen · Broader exposure &amp; ownership</t>
        </is>
      </c>
      <c r="AA37" s="165" t="n"/>
      <c r="AB37" s="165" t="inlineStr">
        <is>
          <t>AI, GenAI &amp; Prompt Engineering; Programming &amp; Tech-Stack Depth; Data Analytics, BI &amp; Visualisation</t>
        </is>
      </c>
      <c r="AC37" s="165" t="inlineStr">
        <is>
          <t>Domain, regulatory &amp; XBRL · Product &amp; tool knowledge · Strategy &amp; business acumen · Broader exposure &amp; ownership</t>
        </is>
      </c>
      <c r="AD37" s="165" t="n"/>
      <c r="AE37" s="121" t="inlineStr">
        <is>
          <t>No strong match from survey evidence</t>
        </is>
      </c>
      <c r="AF37" s="122" t="inlineStr">
        <is>
          <t>No material overlap found</t>
        </is>
      </c>
      <c r="AG37" s="122" t="inlineStr">
        <is>
          <t>No close match in other businesses</t>
        </is>
      </c>
      <c r="AH37" s="122" t="n"/>
      <c r="AI37" s="122" t="n"/>
      <c r="AJ37" s="122" t="n"/>
    </row>
    <row r="38" ht="67" customHeight="1">
      <c r="A38" s="109" t="inlineStr">
        <is>
          <t>No Emp ID · external consultant</t>
        </is>
      </c>
      <c r="B38" s="111" t="inlineStr">
        <is>
          <t>Sadhan Kumar</t>
        </is>
      </c>
      <c r="C38" s="111" t="inlineStr">
        <is>
          <t>Technology</t>
        </is>
      </c>
      <c r="D38" s="114" t="inlineStr">
        <is>
          <t>Consultant</t>
        </is>
      </c>
      <c r="E38" s="114" t="inlineStr">
        <is>
          <t>Associate Consultant – Software Development</t>
        </is>
      </c>
      <c r="F38" s="111" t="inlineStr">
        <is>
          <t>—</t>
        </is>
      </c>
      <c r="G38" s="45" t="inlineStr">
        <is>
          <t>X1</t>
        </is>
      </c>
      <c r="H38" s="117" t="inlineStr">
        <is>
          <t>• Same level</t>
        </is>
      </c>
      <c r="I38" s="111" t="inlineStr">
        <is>
          <t>Consultant</t>
        </is>
      </c>
      <c r="J38" s="142" t="inlineStr">
        <is>
          <t>Not rated · manager</t>
        </is>
      </c>
      <c r="K38" s="115" t="n"/>
      <c r="L38" s="115" t="n"/>
      <c r="M38" s="115" t="inlineStr">
        <is>
          <t>n/a · consultant</t>
        </is>
      </c>
      <c r="N38" s="115" t="n"/>
      <c r="O38" s="115" t="inlineStr"/>
      <c r="P38" s="115" t="inlineStr"/>
      <c r="Q38" s="118" t="n"/>
      <c r="R38" s="164" t="inlineStr">
        <is>
          <t>Consultant — assessed against statement-of-work deliverables</t>
        </is>
      </c>
      <c r="S38" s="164" t="n"/>
      <c r="T38" s="164" t="n"/>
      <c r="U38" s="164" t="n"/>
      <c r="V38" s="164" t="n"/>
      <c r="W38" s="164" t="n"/>
      <c r="X38" s="164" t="n"/>
      <c r="Y38" s="164" t="inlineStr">
        <is>
          <t>Not assessed on the employee competency profile.</t>
        </is>
      </c>
      <c r="Z38" s="119" t="inlineStr"/>
      <c r="AA38" s="165" t="n"/>
      <c r="AB38" s="165" t="n"/>
      <c r="AC38" s="165" t="inlineStr"/>
      <c r="AD38" s="165" t="n"/>
      <c r="AE38" s="121" t="n"/>
      <c r="AF38" s="122" t="inlineStr">
        <is>
          <t>No survey text</t>
        </is>
      </c>
      <c r="AG38" s="122" t="inlineStr">
        <is>
          <t>No survey text</t>
        </is>
      </c>
      <c r="AH38" s="122" t="n"/>
      <c r="AI38" s="122" t="n"/>
      <c r="AJ38" s="122" t="n"/>
    </row>
    <row r="39" ht="67" customHeight="1">
      <c r="A39" s="109" t="inlineStr">
        <is>
          <t>No Emp ID · external consultant</t>
        </is>
      </c>
      <c r="B39" s="111" t="inlineStr">
        <is>
          <t>Sohel Yadav</t>
        </is>
      </c>
      <c r="C39" s="111" t="inlineStr">
        <is>
          <t>Technology</t>
        </is>
      </c>
      <c r="D39" s="114" t="inlineStr">
        <is>
          <t>Consultant</t>
        </is>
      </c>
      <c r="E39" s="114" t="inlineStr">
        <is>
          <t>Associate Consultant – Software Development</t>
        </is>
      </c>
      <c r="F39" s="111" t="inlineStr">
        <is>
          <t>—</t>
        </is>
      </c>
      <c r="G39" s="45" t="inlineStr">
        <is>
          <t>X1</t>
        </is>
      </c>
      <c r="H39" s="117" t="inlineStr">
        <is>
          <t>• Same level</t>
        </is>
      </c>
      <c r="I39" s="111" t="inlineStr">
        <is>
          <t>Consultant</t>
        </is>
      </c>
      <c r="J39" s="142" t="inlineStr">
        <is>
          <t>Not rated · manager</t>
        </is>
      </c>
      <c r="K39" s="115" t="n"/>
      <c r="L39" s="115" t="n"/>
      <c r="M39" s="115" t="inlineStr">
        <is>
          <t>n/a · consultant</t>
        </is>
      </c>
      <c r="N39" s="115" t="n"/>
      <c r="O39" s="115" t="inlineStr"/>
      <c r="P39" s="115" t="inlineStr"/>
      <c r="Q39" s="118" t="n"/>
      <c r="R39" s="164" t="inlineStr">
        <is>
          <t>Consultant — assessed against statement-of-work deliverables</t>
        </is>
      </c>
      <c r="S39" s="164" t="n"/>
      <c r="T39" s="164" t="n"/>
      <c r="U39" s="164" t="n"/>
      <c r="V39" s="164" t="n"/>
      <c r="W39" s="164" t="n"/>
      <c r="X39" s="164" t="n"/>
      <c r="Y39" s="164" t="inlineStr">
        <is>
          <t>Not assessed on the employee competency profile.</t>
        </is>
      </c>
      <c r="Z39" s="119" t="inlineStr"/>
      <c r="AA39" s="165" t="n"/>
      <c r="AB39" s="165" t="n"/>
      <c r="AC39" s="165" t="inlineStr"/>
      <c r="AD39" s="165" t="n"/>
      <c r="AE39" s="121" t="n"/>
      <c r="AF39" s="122" t="inlineStr">
        <is>
          <t>No survey text</t>
        </is>
      </c>
      <c r="AG39" s="122" t="inlineStr">
        <is>
          <t>No survey text</t>
        </is>
      </c>
      <c r="AH39" s="122" t="n"/>
      <c r="AI39" s="122" t="n"/>
      <c r="AJ39" s="122" t="n"/>
    </row>
    <row r="40" ht="67" customHeight="1">
      <c r="A40" s="109" t="inlineStr">
        <is>
          <t>No Emp ID · in-house consultant</t>
        </is>
      </c>
      <c r="B40" s="111" t="inlineStr">
        <is>
          <t>Vivek Kumar</t>
        </is>
      </c>
      <c r="C40" s="111" t="inlineStr">
        <is>
          <t>Technology</t>
        </is>
      </c>
      <c r="D40" s="114" t="inlineStr">
        <is>
          <t>Consultant</t>
        </is>
      </c>
      <c r="E40" s="114" t="inlineStr">
        <is>
          <t>Associate Consultant – Software Development</t>
        </is>
      </c>
      <c r="F40" s="111" t="inlineStr">
        <is>
          <t>Not in current mapping files</t>
        </is>
      </c>
      <c r="G40" s="45" t="inlineStr">
        <is>
          <t>X1</t>
        </is>
      </c>
      <c r="H40" s="117" t="inlineStr">
        <is>
          <t>• Same level</t>
        </is>
      </c>
      <c r="I40" s="111" t="inlineStr">
        <is>
          <t>Consultant</t>
        </is>
      </c>
      <c r="J40" s="142" t="inlineStr">
        <is>
          <t>Not rated · manager</t>
        </is>
      </c>
      <c r="K40" s="115" t="n"/>
      <c r="L40" s="115" t="n"/>
      <c r="M40" s="115" t="inlineStr">
        <is>
          <t>n/a · consultant</t>
        </is>
      </c>
      <c r="N40" s="115" t="n"/>
      <c r="O40" s="115" t="inlineStr"/>
      <c r="P40" s="115" t="inlineStr"/>
      <c r="Q40" s="118" t="n"/>
      <c r="R40" s="164" t="inlineStr">
        <is>
          <t>Consultant — assessed against statement-of-work deliverables</t>
        </is>
      </c>
      <c r="S40" s="164" t="n"/>
      <c r="T40" s="164" t="n"/>
      <c r="U40" s="164" t="n"/>
      <c r="V40" s="164" t="n"/>
      <c r="W40" s="164" t="n"/>
      <c r="X40" s="164" t="n"/>
      <c r="Y40" s="164" t="inlineStr">
        <is>
          <t>Not assessed on the employee competency profile.</t>
        </is>
      </c>
      <c r="Z40" s="119" t="inlineStr"/>
      <c r="AA40" s="165" t="n"/>
      <c r="AB40" s="165" t="n"/>
      <c r="AC40" s="165" t="inlineStr"/>
      <c r="AD40" s="165" t="n"/>
      <c r="AE40" s="121" t="n"/>
      <c r="AF40" s="122" t="inlineStr">
        <is>
          <t>No survey text</t>
        </is>
      </c>
      <c r="AG40" s="122" t="inlineStr">
        <is>
          <t>No survey text</t>
        </is>
      </c>
      <c r="AH40" s="122" t="n"/>
      <c r="AI40" s="122" t="n"/>
      <c r="AJ40" s="122" t="n"/>
    </row>
  </sheetData>
  <mergeCells count="16">
    <mergeCell ref="A1:T1"/>
    <mergeCell ref="G4:H4"/>
    <mergeCell ref="E4:F4"/>
    <mergeCell ref="V4:W4"/>
    <mergeCell ref="Q5:Y5"/>
    <mergeCell ref="L4:M4"/>
    <mergeCell ref="A5:I5"/>
    <mergeCell ref="AE5:AJ5"/>
    <mergeCell ref="A4:D4"/>
    <mergeCell ref="A3:T3"/>
    <mergeCell ref="A2:T2"/>
    <mergeCell ref="I4:K4"/>
    <mergeCell ref="N4:P4"/>
    <mergeCell ref="Z5:AD5"/>
    <mergeCell ref="Q4:U4"/>
    <mergeCell ref="J5:P5"/>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5.xml><?xml version="1.0" encoding="utf-8"?>
<worksheet xmlns="http://schemas.openxmlformats.org/spreadsheetml/2006/main">
  <sheetPr>
    <tabColor rgb="00C00000"/>
    <outlinePr summaryBelow="1" summaryRight="1"/>
    <pageSetUpPr fitToPage="1"/>
  </sheetPr>
  <dimension ref="A1:G84"/>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9" customWidth="1" min="3" max="3"/>
    <col width="9" customWidth="1" min="4" max="4"/>
    <col width="30" customWidth="1" min="5" max="5"/>
    <col width="62" customWidth="1" min="6" max="6"/>
    <col width="13" customWidth="1" min="7" max="7"/>
  </cols>
  <sheetData>
    <row r="1" ht="34" customHeight="1">
      <c r="A1" s="1" t="inlineStr">
        <is>
          <t>Calibration &amp; Decisions — what the panel and managers need to decide</t>
        </is>
      </c>
      <c r="G1" s="241" t="inlineStr">
        <is>
          <t>◂ Contents</t>
        </is>
      </c>
    </row>
    <row r="2" ht="46" customHeight="1">
      <c r="A2" s="3" t="inlineStr">
        <is>
          <t>Sheet 9 · Every placement that needs a human decision, with the reason: Player-Coach transition steps and candidates, close calls, moves down, changes from the earlier proposal, provisional cases, title checks, long-tenure A3 cases, senior titles without teams — then the open decisions and the quality checks run on this workbook.</t>
        </is>
      </c>
    </row>
    <row r="3">
      <c r="A3" s="4" t="inlineStr">
        <is>
          <t>IRIS · Job Architecture &amp; Job Design · Final v1.12 · October 2026 · Internal — Confidential</t>
        </is>
      </c>
    </row>
    <row r="4" ht="15" customHeight="1"/>
    <row r="5" ht="20" customHeight="1">
      <c r="A5" s="6" t="inlineStr">
        <is>
          <t>A. Player-Coach transition steps placed — 0</t>
        </is>
      </c>
    </row>
    <row r="6" ht="15" customHeight="1">
      <c r="A6" s="11" t="inlineStr">
        <is>
          <t>Confirm the person still spends the stated share of time on hands-on work.</t>
        </is>
      </c>
    </row>
    <row r="7" ht="15" customHeight="1">
      <c r="A7" s="11" t="inlineStr">
        <is>
          <t>No cases.</t>
        </is>
      </c>
    </row>
    <row r="8" ht="20" customHeight="1">
      <c r="A8" s="6" t="inlineStr">
        <is>
          <t>B. Player-Coach candidates and watch list — 0</t>
        </is>
      </c>
    </row>
    <row r="9" ht="15" customHeight="1">
      <c r="A9" s="11" t="inlineStr">
        <is>
          <t>Manager to confirm hands-on delivery, or watch for the role growing into the Player-Coach transition step. Red = input needed.</t>
        </is>
      </c>
    </row>
    <row r="10" ht="15" customHeight="1">
      <c r="A10" s="11" t="inlineStr">
        <is>
          <t>No cases.</t>
        </is>
      </c>
    </row>
    <row r="11" ht="20" customHeight="1">
      <c r="A11" s="6" t="inlineStr">
        <is>
          <t>C. Close calls · score within ±0.05 of a rounding point, and the score decided the level — 0</t>
        </is>
      </c>
    </row>
    <row r="12" ht="28" customHeight="1">
      <c r="A12" s="11" t="inlineStr">
        <is>
          <t>Calibrate against peers before confirming. Where a rule set the level, the rounding point does not matter, so those people are listed in C2 instead.</t>
        </is>
      </c>
    </row>
    <row r="13" ht="15" customHeight="1">
      <c r="A13" s="11" t="inlineStr">
        <is>
          <t>No cases.</t>
        </is>
      </c>
    </row>
    <row r="14" ht="20" customHeight="1">
      <c r="A14" s="6" t="inlineStr">
        <is>
          <t>C2. Near a gate · a rule set the level, and the number behind it is within a quarter-point of flipping — 0</t>
        </is>
      </c>
    </row>
    <row r="15" ht="15" customHeight="1">
      <c r="A15" s="11" t="inlineStr">
        <is>
          <r>
            <rPr>
              <rFont val="Calibri"/>
              <b val="1"/>
              <i val="1"/>
              <color rgb="00595959"/>
              <sz val="10"/>
            </rPr>
            <t>Calibrate before confirming:</t>
          </r>
          <r>
            <rPr>
              <rFont val="Calibri"/>
              <i val="1"/>
              <color rgb="00595959"/>
              <sz val="10"/>
            </rPr>
            <t xml:space="preserve"> a small change in one rating would move these people.</t>
          </r>
        </is>
      </c>
    </row>
    <row r="16" ht="15" customHeight="1">
      <c r="A16" s="11" t="inlineStr">
        <is>
          <t>No cases.</t>
        </is>
      </c>
    </row>
    <row r="17" ht="20" customHeight="1">
      <c r="A17" s="6" t="inlineStr">
        <is>
          <t>D. Moves down vs current level · pay and title protected for one cycle, V4 — 3</t>
        </is>
      </c>
    </row>
    <row r="18" ht="15" customHeight="1">
      <c r="A18" s="12" t="inlineStr">
        <is>
          <t>Person</t>
        </is>
      </c>
      <c r="B18" s="12" t="inlineStr">
        <is>
          <t>Department</t>
        </is>
      </c>
      <c r="C18" s="12" t="inlineStr">
        <is>
          <t>Level</t>
        </is>
      </c>
      <c r="D18" s="12" t="inlineStr">
        <is>
          <t>Score</t>
        </is>
      </c>
      <c r="E18" s="12" t="inlineStr">
        <is>
          <t>Designation</t>
        </is>
      </c>
      <c r="F18" s="12" t="inlineStr">
        <is>
          <t>Reason / rule</t>
        </is>
      </c>
    </row>
    <row r="19" ht="28" customHeight="1">
      <c r="A19" s="13" t="inlineStr">
        <is>
          <t>Raghin Nair</t>
        </is>
      </c>
      <c r="B19" s="16" t="inlineStr">
        <is>
          <t>Datatech - Outreach</t>
        </is>
      </c>
      <c r="C19" s="15" t="inlineStr">
        <is>
          <t>B2</t>
        </is>
      </c>
      <c r="D19" s="15" t="n">
        <v>5.25</v>
      </c>
      <c r="E19" s="16" t="inlineStr">
        <is>
          <t>Program Manager – Outreach</t>
        </is>
      </c>
      <c r="F19" s="16" t="inlineStr">
        <is>
          <t>Current L5 – Lead · IC → B2. No rule changed the level: the score decides.</t>
        </is>
      </c>
    </row>
    <row r="20" ht="28" customHeight="1">
      <c r="A20" s="13" t="inlineStr">
        <is>
          <t>Ankita Pathak</t>
        </is>
      </c>
      <c r="B20" s="16" t="inlineStr">
        <is>
          <t>Marketing</t>
        </is>
      </c>
      <c r="C20" s="15" t="inlineStr">
        <is>
          <t>B2</t>
        </is>
      </c>
      <c r="D20" s="15" t="n">
        <v>4.68</v>
      </c>
      <c r="E20" s="16" t="inlineStr">
        <is>
          <t>Marketing Specialist – POD Lead</t>
        </is>
      </c>
      <c r="F20" s="16" t="inlineStr">
        <is>
          <t>Current L5 – Manager → B2. No rule changed the level: the score decides.</t>
        </is>
      </c>
    </row>
    <row r="21" ht="28" customHeight="1">
      <c r="A21" s="13" t="inlineStr">
        <is>
          <t>Akshay Shetty</t>
        </is>
      </c>
      <c r="B21" s="16" t="inlineStr">
        <is>
          <t>Technology</t>
        </is>
      </c>
      <c r="C21" s="15" t="inlineStr">
        <is>
          <t>B2</t>
        </is>
      </c>
      <c r="D21" s="15" t="n">
        <v>4.59</v>
      </c>
      <c r="E21" s="16" t="inlineStr">
        <is>
          <t>Senior Technical Specialist – POD Lead</t>
        </is>
      </c>
      <c r="F21" s="16" t="inlineStr">
        <is>
          <t>Current L5 – Lead · IC → B2. No rule changed the level: the score decides.</t>
        </is>
      </c>
    </row>
    <row r="22" ht="15" customHeight="1"/>
    <row r="23" ht="20" customHeight="1">
      <c r="A23" s="6" t="inlineStr">
        <is>
          <t>E. Changed from the earlier proposal — 2</t>
        </is>
      </c>
    </row>
    <row r="24" ht="15" customHeight="1">
      <c r="A24" s="11" t="inlineStr">
        <is>
          <t>Derived weight model and the Player-Coach transition steps.</t>
        </is>
      </c>
    </row>
    <row r="25" ht="15" customHeight="1">
      <c r="A25" s="12" t="inlineStr">
        <is>
          <t>Person</t>
        </is>
      </c>
      <c r="B25" s="12" t="inlineStr">
        <is>
          <t>Department</t>
        </is>
      </c>
      <c r="C25" s="12" t="inlineStr">
        <is>
          <t>Level</t>
        </is>
      </c>
      <c r="D25" s="12" t="inlineStr">
        <is>
          <t>Score</t>
        </is>
      </c>
      <c r="E25" s="12" t="inlineStr">
        <is>
          <t>Designation</t>
        </is>
      </c>
      <c r="F25" s="12" t="inlineStr">
        <is>
          <t>Reason / rule</t>
        </is>
      </c>
    </row>
    <row r="26" ht="41" customHeight="1">
      <c r="A26" s="13" t="inlineStr">
        <is>
          <t>Shilpa Dhobale</t>
        </is>
      </c>
      <c r="B26" s="16" t="inlineStr">
        <is>
          <t>Datatech Business Head</t>
        </is>
      </c>
      <c r="C26" s="15" t="inlineStr">
        <is>
          <t>D2</t>
        </is>
      </c>
      <c r="D26" s="15" t="n">
        <v>8.81</v>
      </c>
      <c r="E26" s="16" t="inlineStr">
        <is>
          <t>Business Head – DataTech</t>
        </is>
      </c>
      <c r="F26" s="16" t="inlineStr">
        <is>
          <t>Earlier D1 → D2. Set at D2 by leadership decision · the model indicated D1: Leadership structure: Datatech Business Head at D2.</t>
        </is>
      </c>
    </row>
    <row r="27" ht="28" customHeight="1">
      <c r="A27" s="13" t="inlineStr">
        <is>
          <t>Ankita Pathak</t>
        </is>
      </c>
      <c r="B27" s="16" t="inlineStr">
        <is>
          <t>Marketing</t>
        </is>
      </c>
      <c r="C27" s="15" t="inlineStr">
        <is>
          <t>B2</t>
        </is>
      </c>
      <c r="D27" s="15" t="n">
        <v>4.68</v>
      </c>
      <c r="E27" s="16" t="inlineStr">
        <is>
          <t>Marketing Specialist – POD Lead</t>
        </is>
      </c>
      <c r="F27" s="16" t="inlineStr">
        <is>
          <t>Earlier B1 → B2. No rule changed the level: the score decides.</t>
        </is>
      </c>
    </row>
    <row r="28" ht="15" customHeight="1"/>
    <row r="29" ht="20" customHeight="1">
      <c r="A29" s="6" t="inlineStr">
        <is>
          <t>F. Provisional placements — HR to confirm experience — 3</t>
        </is>
      </c>
    </row>
    <row r="30" ht="15" customHeight="1">
      <c r="A30" s="11" t="inlineStr">
        <is>
          <t>Red = input needed from HR.</t>
        </is>
      </c>
    </row>
    <row r="31" ht="15" customHeight="1">
      <c r="A31" s="12" t="inlineStr">
        <is>
          <t>Person</t>
        </is>
      </c>
      <c r="B31" s="12" t="inlineStr">
        <is>
          <t>Department</t>
        </is>
      </c>
      <c r="C31" s="12" t="inlineStr">
        <is>
          <t>Level</t>
        </is>
      </c>
      <c r="D31" s="12" t="inlineStr">
        <is>
          <t>Score</t>
        </is>
      </c>
      <c r="E31" s="12" t="inlineStr">
        <is>
          <t>Designation</t>
        </is>
      </c>
      <c r="F31" s="12" t="inlineStr">
        <is>
          <t>Reason / rule</t>
        </is>
      </c>
    </row>
    <row r="32" ht="28" customHeight="1">
      <c r="A32" s="13" t="inlineStr">
        <is>
          <t>Vaishnavi Dhuri</t>
        </is>
      </c>
      <c r="B32" s="16" t="inlineStr">
        <is>
          <t>Marketing</t>
        </is>
      </c>
      <c r="C32" s="15" t="inlineStr">
        <is>
          <t>A2</t>
        </is>
      </c>
      <c r="D32" s="15" t="n">
        <v>1.9</v>
      </c>
      <c r="E32" s="16" t="inlineStr">
        <is>
          <t>Designer</t>
        </is>
      </c>
      <c r="F32" s="145" t="inlineStr">
        <is>
          <t>• Total experience is not on record · new joiner — level is provisional until HR adds it</t>
        </is>
      </c>
    </row>
    <row r="33" ht="28" customHeight="1">
      <c r="A33" s="13" t="inlineStr">
        <is>
          <t>Ayushi Maurya</t>
        </is>
      </c>
      <c r="B33" s="16" t="inlineStr">
        <is>
          <t>Product Management</t>
        </is>
      </c>
      <c r="C33" s="15" t="inlineStr">
        <is>
          <t>B1</t>
        </is>
      </c>
      <c r="D33" s="15" t="n">
        <v>4</v>
      </c>
      <c r="E33" s="16" t="inlineStr">
        <is>
          <t>Associate Product Manager</t>
        </is>
      </c>
      <c r="F33" s="145" t="inlineStr">
        <is>
          <t>• Total experience is not on record · new joiner — level is provisional until HR adds it</t>
        </is>
      </c>
    </row>
    <row r="34" ht="28" customHeight="1">
      <c r="A34" s="13" t="inlineStr">
        <is>
          <t>Sachinam Sawant</t>
        </is>
      </c>
      <c r="B34" s="16" t="inlineStr">
        <is>
          <t>Product Management</t>
        </is>
      </c>
      <c r="C34" s="15" t="inlineStr">
        <is>
          <t>B2</t>
        </is>
      </c>
      <c r="D34" s="15" t="n">
        <v>4.55</v>
      </c>
      <c r="E34" s="16" t="inlineStr">
        <is>
          <t>Product Manager</t>
        </is>
      </c>
      <c r="F34" s="145" t="inlineStr">
        <is>
          <t>• Total experience is not on record · new joiner — level is provisional until HR adds it</t>
        </is>
      </c>
    </row>
    <row r="35" ht="15" customHeight="1"/>
    <row r="36" ht="20" customHeight="1">
      <c r="A36" s="6" t="inlineStr">
        <is>
          <t>G. Titles to review · N3 market titles / checks — 6</t>
        </is>
      </c>
    </row>
    <row r="37" ht="15" customHeight="1">
      <c r="A37" s="11" t="inlineStr">
        <is>
          <t>Market-standard role titles are kept by rule N3; the grade shows the level.</t>
        </is>
      </c>
    </row>
    <row r="38" ht="15" customHeight="1">
      <c r="A38" s="12" t="inlineStr">
        <is>
          <t>Person</t>
        </is>
      </c>
      <c r="B38" s="12" t="inlineStr">
        <is>
          <t>Department</t>
        </is>
      </c>
      <c r="C38" s="12" t="inlineStr">
        <is>
          <t>Level</t>
        </is>
      </c>
      <c r="D38" s="12" t="inlineStr">
        <is>
          <t>Score</t>
        </is>
      </c>
      <c r="E38" s="12" t="inlineStr">
        <is>
          <t>Designation</t>
        </is>
      </c>
      <c r="F38" s="12" t="inlineStr">
        <is>
          <t>Reason / rule</t>
        </is>
      </c>
    </row>
    <row r="39" ht="28" customHeight="1">
      <c r="A39" s="13" t="inlineStr">
        <is>
          <t>Shilpa Dhobale</t>
        </is>
      </c>
      <c r="B39" s="16" t="inlineStr">
        <is>
          <t>Datatech Business Head</t>
        </is>
      </c>
      <c r="C39" s="15" t="inlineStr">
        <is>
          <t>D2</t>
        </is>
      </c>
      <c r="D39" s="15" t="n">
        <v>8.81</v>
      </c>
      <c r="E39" s="16" t="inlineStr">
        <is>
          <t>Business Head – DataTech</t>
        </is>
      </c>
      <c r="F39" s="16" t="inlineStr">
        <is>
          <t>Check title against ladder</t>
        </is>
      </c>
    </row>
    <row r="40" ht="28" customHeight="1">
      <c r="A40" s="13" t="inlineStr">
        <is>
          <t>Ankita Pathak</t>
        </is>
      </c>
      <c r="B40" s="16" t="inlineStr">
        <is>
          <t>Marketing</t>
        </is>
      </c>
      <c r="C40" s="15" t="inlineStr">
        <is>
          <t>B2</t>
        </is>
      </c>
      <c r="D40" s="15" t="n">
        <v>4.68</v>
      </c>
      <c r="E40" s="16" t="inlineStr">
        <is>
          <t>Marketing Specialist – POD Lead</t>
        </is>
      </c>
      <c r="F40" s="16" t="inlineStr">
        <is>
          <t>Check title against ladder</t>
        </is>
      </c>
    </row>
    <row r="41" ht="28" customHeight="1">
      <c r="A41" s="13" t="inlineStr">
        <is>
          <t>Ayushi Maurya</t>
        </is>
      </c>
      <c r="B41" s="16" t="inlineStr">
        <is>
          <t>Product Management</t>
        </is>
      </c>
      <c r="C41" s="15" t="inlineStr">
        <is>
          <t>B1</t>
        </is>
      </c>
      <c r="D41" s="15" t="n">
        <v>4</v>
      </c>
      <c r="E41" s="16" t="inlineStr">
        <is>
          <t>Associate Product Manager</t>
        </is>
      </c>
      <c r="F41" s="16" t="inlineStr">
        <is>
          <t>Market-standard role title</t>
        </is>
      </c>
    </row>
    <row r="42" ht="28" customHeight="1">
      <c r="A42" s="13" t="inlineStr">
        <is>
          <t>Piyush Raj</t>
        </is>
      </c>
      <c r="B42" s="16" t="inlineStr">
        <is>
          <t>Product Management</t>
        </is>
      </c>
      <c r="C42" s="15" t="inlineStr">
        <is>
          <t>B2</t>
        </is>
      </c>
      <c r="D42" s="15" t="n">
        <v>4.67</v>
      </c>
      <c r="E42" s="16" t="inlineStr">
        <is>
          <t>Product Manager</t>
        </is>
      </c>
      <c r="F42" s="16" t="inlineStr">
        <is>
          <t>Market-standard role title</t>
        </is>
      </c>
    </row>
    <row r="43" ht="28" customHeight="1">
      <c r="A43" s="13" t="inlineStr">
        <is>
          <t>Sachinam Sawant</t>
        </is>
      </c>
      <c r="B43" s="16" t="inlineStr">
        <is>
          <t>Product Management</t>
        </is>
      </c>
      <c r="C43" s="15" t="inlineStr">
        <is>
          <t>B2</t>
        </is>
      </c>
      <c r="D43" s="15" t="n">
        <v>4.55</v>
      </c>
      <c r="E43" s="16" t="inlineStr">
        <is>
          <t>Product Manager</t>
        </is>
      </c>
      <c r="F43" s="16" t="inlineStr">
        <is>
          <t>Market-standard role title</t>
        </is>
      </c>
    </row>
    <row r="44" ht="28" customHeight="1">
      <c r="A44" s="13" t="inlineStr">
        <is>
          <t>Gaurav Bansal</t>
        </is>
      </c>
      <c r="B44" s="16" t="inlineStr">
        <is>
          <t>Product Management</t>
        </is>
      </c>
      <c r="C44" s="15" t="inlineStr">
        <is>
          <t>B1</t>
        </is>
      </c>
      <c r="D44" s="15" t="n">
        <v>4.25</v>
      </c>
      <c r="E44" s="16" t="inlineStr">
        <is>
          <t>Associate Product Manager</t>
        </is>
      </c>
      <c r="F44" s="16" t="inlineStr">
        <is>
          <t>Market-standard role title</t>
        </is>
      </c>
    </row>
    <row r="45" ht="15" customHeight="1"/>
    <row r="46" ht="20" customHeight="1">
      <c r="A46" s="6" t="inlineStr">
        <is>
          <t>H. Long-tenure people at A3 · 8+ yrs — role-widening review — 0</t>
        </is>
      </c>
    </row>
    <row r="47" ht="15" customHeight="1">
      <c r="A47" s="11" t="inlineStr">
        <is>
          <t>Their role shows Band A work. Use the top of the A3 range for proven experts; widen roles where real B1 work exists.</t>
        </is>
      </c>
    </row>
    <row r="48" ht="15" customHeight="1">
      <c r="A48" s="11" t="inlineStr">
        <is>
          <t>No cases.</t>
        </is>
      </c>
    </row>
    <row r="49" ht="20" customHeight="1">
      <c r="A49" s="6" t="inlineStr">
        <is>
          <t>I. Senior titles held by the structural gate — 2</t>
        </is>
      </c>
    </row>
    <row r="50" ht="15" customHeight="1">
      <c r="A50" s="11" t="inlineStr">
        <is>
          <t>Business head to confirm scope; title protected for one cycle. Red = input needed.</t>
        </is>
      </c>
    </row>
    <row r="51" ht="15" customHeight="1">
      <c r="A51" s="12" t="inlineStr">
        <is>
          <t>Person</t>
        </is>
      </c>
      <c r="B51" s="12" t="inlineStr">
        <is>
          <t>Department</t>
        </is>
      </c>
      <c r="C51" s="12" t="inlineStr">
        <is>
          <t>Level</t>
        </is>
      </c>
      <c r="D51" s="12" t="inlineStr">
        <is>
          <t>Score</t>
        </is>
      </c>
      <c r="E51" s="12" t="inlineStr">
        <is>
          <t>Designation</t>
        </is>
      </c>
      <c r="F51" s="12" t="inlineStr">
        <is>
          <t>Reason / rule</t>
        </is>
      </c>
    </row>
    <row r="52" ht="41" customHeight="1">
      <c r="A52" s="13" t="inlineStr">
        <is>
          <t>Nilesh Majumdar</t>
        </is>
      </c>
      <c r="B52" s="16" t="inlineStr">
        <is>
          <t>Product Management</t>
        </is>
      </c>
      <c r="C52" s="15" t="inlineStr">
        <is>
          <t>B2</t>
        </is>
      </c>
      <c r="D52" s="15" t="n">
        <v>5.84</v>
      </c>
      <c r="E52" s="16" t="inlineStr">
        <is>
          <t>Senior Product Manager → Product Manager</t>
        </is>
      </c>
      <c r="F52" s="145" t="inlineStr">
        <is>
          <r>
            <rPr>
              <rFont val="Calibri"/>
              <b val="1"/>
              <color rgb="009C0006"/>
              <sz val="10"/>
            </rPr>
            <t>Held at B2 instead of B3:</t>
          </r>
          <r>
            <rPr>
              <rFont val="Calibri"/>
              <color rgb="009C0006"/>
              <sz val="10"/>
            </rPr>
            <t xml:space="preserve"> a B3 manager needs team leads reporting in, or 10+ people in the team, and the org chart does not show this yet.</t>
          </r>
        </is>
      </c>
    </row>
    <row r="53" ht="41" customHeight="1">
      <c r="A53" s="13" t="inlineStr">
        <is>
          <t>Abhishek Gite</t>
        </is>
      </c>
      <c r="B53" s="16" t="inlineStr">
        <is>
          <t>Sales</t>
        </is>
      </c>
      <c r="C53" s="15" t="inlineStr">
        <is>
          <t>C1</t>
        </is>
      </c>
      <c r="D53" s="15" t="n">
        <v>8.119999999999999</v>
      </c>
      <c r="E53" s="16" t="inlineStr">
        <is>
          <t>Head - Sales and Alliances → Principal – Sales</t>
        </is>
      </c>
      <c r="F53" s="145" t="inlineStr">
        <is>
          <r>
            <rPr>
              <rFont val="Calibri"/>
              <b val="1"/>
              <color rgb="009C0006"/>
              <sz val="10"/>
            </rPr>
            <t>Held at C1 instead of C2:</t>
          </r>
          <r>
            <rPr>
              <rFont val="Calibri"/>
              <color rgb="009C0006"/>
              <sz val="10"/>
            </rPr>
            <t xml:space="preserve"> C2 needs a whole function or a company-wide discipline, and the org chart does not show this yet.</t>
          </r>
        </is>
      </c>
    </row>
    <row r="54" ht="15" customHeight="1"/>
    <row r="55" ht="20" customHeight="1">
      <c r="A55" s="6" t="inlineStr">
        <is>
          <t>J. Additional inputs needed — by person · the red cells on sheets 2, 3 and 8 — 10</t>
        </is>
      </c>
    </row>
    <row r="56" ht="15" customHeight="1">
      <c r="A56" s="11" t="inlineStr">
        <is>
          <t>Who must supply what before the placement can be confirmed. Pay is needed for everyone and is not repeated here.</t>
        </is>
      </c>
    </row>
    <row r="57" ht="15" customHeight="1">
      <c r="A57" s="12" t="inlineStr">
        <is>
          <t>Person</t>
        </is>
      </c>
      <c r="B57" s="12" t="inlineStr">
        <is>
          <t>Department</t>
        </is>
      </c>
      <c r="C57" s="12" t="inlineStr">
        <is>
          <t>Level</t>
        </is>
      </c>
      <c r="D57" s="12" t="inlineStr">
        <is>
          <t>Score</t>
        </is>
      </c>
      <c r="E57" s="12" t="inlineStr">
        <is>
          <t>Designation</t>
        </is>
      </c>
      <c r="F57" s="12" t="inlineStr">
        <is>
          <t>Input needed — who provides it</t>
        </is>
      </c>
    </row>
    <row r="58" ht="41" customHeight="1">
      <c r="A58" s="13" t="inlineStr">
        <is>
          <t>Shilpa Dhobale</t>
        </is>
      </c>
      <c r="B58" s="16" t="inlineStr">
        <is>
          <t>Datatech Business Head</t>
        </is>
      </c>
      <c r="C58" s="15" t="inlineStr">
        <is>
          <t>D2</t>
        </is>
      </c>
      <c r="D58" s="15" t="n">
        <v>8.81</v>
      </c>
      <c r="E58" s="16" t="inlineStr">
        <is>
          <t>Business Head – DataTech</t>
        </is>
      </c>
      <c r="F58" s="145" t="inlineStr">
        <is>
          <t>• Survey response or KRAs describing the work · nothing on file — Employee + manager
• Correct the experience record — HR</t>
        </is>
      </c>
    </row>
    <row r="59" ht="28" customHeight="1">
      <c r="A59" s="13" t="inlineStr">
        <is>
          <t>Vaishnavi Dhuri</t>
        </is>
      </c>
      <c r="B59" s="16" t="inlineStr">
        <is>
          <t>Marketing</t>
        </is>
      </c>
      <c r="C59" s="15" t="inlineStr">
        <is>
          <t>A2</t>
        </is>
      </c>
      <c r="D59" s="15" t="n">
        <v>1.9</v>
      </c>
      <c r="E59" s="16" t="inlineStr">
        <is>
          <t>Designer</t>
        </is>
      </c>
      <c r="F59" s="145" t="inlineStr">
        <is>
          <t>• Total experience · outside + at IRIS — HR — HRIS
• Confirm prior experience · provisional placement — HR</t>
        </is>
      </c>
    </row>
    <row r="60" ht="28" customHeight="1">
      <c r="A60" s="13" t="inlineStr">
        <is>
          <t>Arindam Bose</t>
        </is>
      </c>
      <c r="B60" s="16" t="inlineStr">
        <is>
          <t>Not provided · HRIS</t>
        </is>
      </c>
      <c r="C60" s="15" t="inlineStr">
        <is>
          <t>X1</t>
        </is>
      </c>
      <c r="D60" s="15" t="inlineStr">
        <is>
          <t>—</t>
        </is>
      </c>
      <c r="E60" s="16" t="inlineStr">
        <is>
          <t>Associate Consultant – Software Development</t>
        </is>
      </c>
      <c r="F60" s="145" t="inlineStr">
        <is>
          <t>• Role and department on record — Business head</t>
        </is>
      </c>
    </row>
    <row r="61" ht="28" customHeight="1">
      <c r="A61" s="13" t="inlineStr">
        <is>
          <t>Shweta Vijay</t>
        </is>
      </c>
      <c r="B61" s="16" t="inlineStr">
        <is>
          <t>Not provided · HRIS</t>
        </is>
      </c>
      <c r="C61" s="15" t="inlineStr">
        <is>
          <t>X1</t>
        </is>
      </c>
      <c r="D61" s="15" t="inlineStr">
        <is>
          <t>—</t>
        </is>
      </c>
      <c r="E61" s="16" t="inlineStr">
        <is>
          <t>Associate Consultant – Software Development</t>
        </is>
      </c>
      <c r="F61" s="145" t="inlineStr">
        <is>
          <t>• Role and department on record — Business head</t>
        </is>
      </c>
    </row>
    <row r="62" ht="28" customHeight="1">
      <c r="A62" s="13" t="inlineStr">
        <is>
          <t>Nilesh Majumdar</t>
        </is>
      </c>
      <c r="B62" s="16" t="inlineStr">
        <is>
          <t>Product Management</t>
        </is>
      </c>
      <c r="C62" s="15" t="inlineStr">
        <is>
          <t>B2</t>
        </is>
      </c>
      <c r="D62" s="15" t="n">
        <v>5.84</v>
      </c>
      <c r="E62" s="16" t="inlineStr">
        <is>
          <t>Product Manager</t>
        </is>
      </c>
      <c r="F62" s="145" t="inlineStr">
        <is>
          <t>• Confirm structure behind the senior title · org chart — Business head</t>
        </is>
      </c>
    </row>
    <row r="63" ht="28" customHeight="1">
      <c r="A63" s="13" t="inlineStr">
        <is>
          <t>Ayushi Maurya</t>
        </is>
      </c>
      <c r="B63" s="16" t="inlineStr">
        <is>
          <t>Product Management</t>
        </is>
      </c>
      <c r="C63" s="15" t="inlineStr">
        <is>
          <t>B1</t>
        </is>
      </c>
      <c r="D63" s="15" t="n">
        <v>4</v>
      </c>
      <c r="E63" s="16" t="inlineStr">
        <is>
          <t>Associate Product Manager</t>
        </is>
      </c>
      <c r="F63" s="145" t="inlineStr">
        <is>
          <t>• Total experience · outside + at IRIS — HR — HRIS
• Confirm prior experience · provisional placement — HR</t>
        </is>
      </c>
    </row>
    <row r="64" ht="28" customHeight="1">
      <c r="A64" s="13" t="inlineStr">
        <is>
          <t>Sachinam Sawant</t>
        </is>
      </c>
      <c r="B64" s="16" t="inlineStr">
        <is>
          <t>Product Management</t>
        </is>
      </c>
      <c r="C64" s="15" t="inlineStr">
        <is>
          <t>B2</t>
        </is>
      </c>
      <c r="D64" s="15" t="n">
        <v>4.55</v>
      </c>
      <c r="E64" s="16" t="inlineStr">
        <is>
          <t>Product Manager</t>
        </is>
      </c>
      <c r="F64" s="145" t="inlineStr">
        <is>
          <t>• Total experience · outside + at IRIS — HR — HRIS
• Confirm prior experience · provisional placement — HR</t>
        </is>
      </c>
    </row>
    <row r="65" ht="28" customHeight="1">
      <c r="A65" s="13" t="inlineStr">
        <is>
          <t>Smita Londhe</t>
        </is>
      </c>
      <c r="B65" s="16" t="inlineStr">
        <is>
          <t>Quality Assurance</t>
        </is>
      </c>
      <c r="C65" s="15" t="inlineStr">
        <is>
          <t>A3</t>
        </is>
      </c>
      <c r="D65" s="15" t="n">
        <v>2.25</v>
      </c>
      <c r="E65" s="16" t="inlineStr">
        <is>
          <t>Senior QA Automation Engineer</t>
        </is>
      </c>
      <c r="F65" s="145" t="inlineStr">
        <is>
          <t>• Correct the experience record — HR</t>
        </is>
      </c>
    </row>
    <row r="66" ht="54" customHeight="1">
      <c r="A66" s="13" t="inlineStr">
        <is>
          <t>Abhishek Gite</t>
        </is>
      </c>
      <c r="B66" s="16" t="inlineStr">
        <is>
          <t>Sales</t>
        </is>
      </c>
      <c r="C66" s="15" t="inlineStr">
        <is>
          <t>C1</t>
        </is>
      </c>
      <c r="D66" s="15" t="n">
        <v>8.119999999999999</v>
      </c>
      <c r="E66" s="16" t="inlineStr">
        <is>
          <t>Principal – Sales</t>
        </is>
      </c>
      <c r="F66" s="145" t="inlineStr">
        <is>
          <t>• Survey response or KRAs describing the work · nothing on file — Employee + manager
• Confirm structure behind the senior title · org chart — Business head</t>
        </is>
      </c>
    </row>
    <row r="67" ht="28" customHeight="1">
      <c r="A67" s="13" t="inlineStr">
        <is>
          <t>Sanghamitra Saxena</t>
        </is>
      </c>
      <c r="B67" s="16" t="inlineStr">
        <is>
          <t>Technology</t>
        </is>
      </c>
      <c r="C67" s="15" t="inlineStr">
        <is>
          <t>C1</t>
        </is>
      </c>
      <c r="D67" s="15" t="n">
        <v>7.01</v>
      </c>
      <c r="E67" s="16" t="inlineStr">
        <is>
          <t>Solution Architect</t>
        </is>
      </c>
      <c r="F67" s="145" t="inlineStr">
        <is>
          <t>• Survey response or KRAs describing the work · nothing on file — Employee + manager</t>
        </is>
      </c>
    </row>
    <row r="68" ht="15" customHeight="1"/>
    <row r="69" ht="20" customHeight="1">
      <c r="A69" s="6" t="inlineStr">
        <is>
          <t>K. Open decisions</t>
        </is>
      </c>
    </row>
    <row r="70" ht="15" customHeight="1">
      <c r="A70" s="12" t="inlineStr">
        <is>
          <t>Decision</t>
        </is>
      </c>
      <c r="B70" s="12" t="inlineStr">
        <is>
          <t>Facts</t>
        </is>
      </c>
      <c r="C70" s="209" t="n"/>
      <c r="D70" s="12" t="inlineStr">
        <is>
          <t>Recommendation</t>
        </is>
      </c>
      <c r="E70" s="210" t="n"/>
      <c r="F70" s="209" t="n"/>
    </row>
    <row r="71" ht="28" customHeight="1">
      <c r="A71" s="13" t="inlineStr">
        <is>
          <t>Player-Coach transition steps</t>
        </is>
      </c>
      <c r="B71" s="16" t="inlineStr">
        <is>
          <t>0 placed; 0 candidates / watch.</t>
        </is>
      </c>
      <c r="C71" s="209" t="n"/>
      <c r="D71" s="16" t="inlineStr">
        <is>
          <t>Confirm hands-on share for each; review the watch list at the next cycle.</t>
        </is>
      </c>
      <c r="E71" s="210" t="n"/>
      <c r="F71" s="209" t="n"/>
    </row>
    <row r="72" ht="28" customHeight="1">
      <c r="A72" s="13" t="inlineStr">
        <is>
          <t>Long-tenure A3</t>
        </is>
      </c>
      <c r="B72" s="16" t="inlineStr">
        <is>
          <t>0 people with 8+ yrs at A3.</t>
        </is>
      </c>
      <c r="C72" s="209" t="n"/>
      <c r="D72" s="16" t="inlineStr">
        <is>
          <t>Keep the gate; pay at the top of the A3 range; widen roles where real B1 work exists.</t>
        </is>
      </c>
      <c r="E72" s="210" t="n"/>
      <c r="F72" s="209" t="n"/>
    </row>
    <row r="73" ht="41" customHeight="1">
      <c r="A73" s="13" t="inlineStr">
        <is>
          <t>Pay</t>
        </is>
      </c>
      <c r="B73" s="16" t="inlineStr">
        <is>
          <t>No pay data supplied; pay columns on sheet 2 are blank.</t>
        </is>
      </c>
      <c r="C73" s="209" t="n"/>
      <c r="D73" s="16" t="inlineStr">
        <is>
          <t>Buy one India survey and price each level · Master M14.</t>
        </is>
      </c>
      <c r="E73" s="210" t="n"/>
      <c r="F73" s="209" t="n"/>
    </row>
    <row r="74" ht="41" customHeight="1">
      <c r="A74" s="13" t="inlineStr">
        <is>
          <t>Weights</t>
        </is>
      </c>
      <c r="B74" s="16" t="inlineStr">
        <is>
          <t>Derived from Hay / Mercer principles; one formula for every set.</t>
        </is>
      </c>
      <c r="C74" s="209" t="n"/>
      <c r="D74" s="16" t="inlineStr">
        <is>
          <t>Test on 20–30 benchmark roles in calibration, then freeze for the cycle.</t>
        </is>
      </c>
      <c r="E74" s="210" t="n"/>
      <c r="F74" s="209" t="n"/>
    </row>
    <row r="75" ht="15" customHeight="1"/>
    <row r="76" ht="20" customHeight="1">
      <c r="A76" s="6" t="inlineStr">
        <is>
          <t>L. Quality checks run on this workbook</t>
        </is>
      </c>
    </row>
    <row r="77" ht="15" customHeight="1">
      <c r="A77" s="12" t="inlineStr">
        <is>
          <t>Check</t>
        </is>
      </c>
      <c r="B77" s="12" t="inlineStr">
        <is>
          <t>Result</t>
        </is>
      </c>
      <c r="C77" s="210" t="n"/>
      <c r="D77" s="210" t="n"/>
      <c r="E77" s="210" t="n"/>
      <c r="F77" s="209" t="n"/>
    </row>
    <row r="78" ht="28" customHeight="1">
      <c r="A78" s="13" t="inlineStr">
        <is>
          <t>Reproduction</t>
        </is>
      </c>
      <c r="B78" s="16" t="inlineStr">
        <is>
          <t>With the v1 weights the engine reproduces all 587 earlier placements — the rules are the earlier rules made explicit.</t>
        </is>
      </c>
      <c r="C78" s="210" t="n"/>
      <c r="D78" s="210" t="n"/>
      <c r="E78" s="210" t="n"/>
      <c r="F78" s="209" t="n"/>
    </row>
    <row r="79" ht="28" customHeight="1">
      <c r="A79" s="13" t="inlineStr">
        <is>
          <t>Traceability</t>
        </is>
      </c>
      <c r="B79" s="16" t="inlineStr">
        <is>
          <t>Every person whose final level differs from the score-indicated level has the rule that moved them recorded, with numbers.</t>
        </is>
      </c>
      <c r="C79" s="210" t="n"/>
      <c r="D79" s="210" t="n"/>
      <c r="E79" s="210" t="n"/>
      <c r="F79" s="209" t="n"/>
    </row>
    <row r="80" ht="28" customHeight="1">
      <c r="A80" s="13" t="inlineStr">
        <is>
          <t>Formulas</t>
        </is>
      </c>
      <c r="B80" s="16" t="inlineStr">
        <is>
          <t>Points, weighted score and indicated level recalculate live; their results are also stored in the file, so previews that do not calculate still show them.</t>
        </is>
      </c>
      <c r="C80" s="210" t="n"/>
      <c r="D80" s="210" t="n"/>
      <c r="E80" s="210" t="n"/>
      <c r="F80" s="209" t="n"/>
    </row>
    <row r="81" ht="41" customHeight="1">
      <c r="A81" s="13" t="inlineStr">
        <is>
          <t>Market data</t>
        </is>
      </c>
      <c r="B81" s="16" t="inlineStr">
        <is>
          <t>Company ladders cite a posting, a Levels.fyi page or a published standard; ladders IRIS assembled itself are labelled 'IRIS composite'. October 2026 source check: 42 sources and ladders read — 19 support the claim, 20 corrected, 1 dropped · DFIN ladder, 2 marked unverified · Zoho, ClearTax.</t>
        </is>
      </c>
      <c r="C81" s="210" t="n"/>
      <c r="D81" s="210" t="n"/>
      <c r="E81" s="210" t="n"/>
      <c r="F81" s="209" t="n"/>
    </row>
    <row r="82" ht="15" customHeight="1">
      <c r="A82" s="13" t="inlineStr">
        <is>
          <t>Pay</t>
        </is>
      </c>
      <c r="B82" s="16" t="inlineStr">
        <is>
          <t>All pay columns are blank by design.</t>
        </is>
      </c>
      <c r="C82" s="210" t="n"/>
      <c r="D82" s="210" t="n"/>
      <c r="E82" s="210" t="n"/>
      <c r="F82" s="209" t="n"/>
    </row>
    <row r="83" ht="28" customHeight="1">
      <c r="A83" s="13" t="inlineStr">
        <is>
          <t>Personal data</t>
        </is>
      </c>
      <c r="B83" s="16" t="inlineStr">
        <is>
          <t>Gender, age, date of birth, e-mail, mobile and resignation dates are excluded from every sheet · checked on every header by verify.py.</t>
        </is>
      </c>
      <c r="C83" s="210" t="n"/>
      <c r="D83" s="210" t="n"/>
      <c r="E83" s="210" t="n"/>
      <c r="F83" s="209" t="n"/>
    </row>
    <row r="84" ht="41" customHeight="1">
      <c r="A84" s="13" t="inlineStr">
        <is>
          <t>Survey answers</t>
        </is>
      </c>
      <c r="B84" s="16" t="inlineStr">
        <is>
          <r>
            <rPr>
              <rFont val="Calibri"/>
              <b val="1"/>
              <sz val="10"/>
            </rPr>
            <t>Used as evidence but never quoted against a name:</t>
          </r>
          <r>
            <rPr>
              <rFont val="Calibri"/>
              <sz val="10"/>
            </rPr>
            <t xml:space="preserve"> sheet 3 shows the number of questions answered; sheet 8 shows learning topics; the role catalogue shows holders' inputs only where 3+ answered · the role, else its sub-family, and views of the role only as counted themes.</t>
          </r>
        </is>
      </c>
      <c r="C84" s="210" t="n"/>
      <c r="D84" s="210" t="n"/>
      <c r="E84" s="210" t="n"/>
      <c r="F84" s="209" t="n"/>
    </row>
  </sheetData>
  <mergeCells count="49">
    <mergeCell ref="A16:F16"/>
    <mergeCell ref="A46:F46"/>
    <mergeCell ref="B72:C72"/>
    <mergeCell ref="B81:F81"/>
    <mergeCell ref="A37:F37"/>
    <mergeCell ref="D70:F70"/>
    <mergeCell ref="A12:F12"/>
    <mergeCell ref="A50:F50"/>
    <mergeCell ref="A56:F56"/>
    <mergeCell ref="A3:F3"/>
    <mergeCell ref="B71:C71"/>
    <mergeCell ref="A55:F55"/>
    <mergeCell ref="D72:F72"/>
    <mergeCell ref="A2:F2"/>
    <mergeCell ref="B70:C70"/>
    <mergeCell ref="A47:F47"/>
    <mergeCell ref="B77:F77"/>
    <mergeCell ref="A76:F76"/>
    <mergeCell ref="A14:F14"/>
    <mergeCell ref="D71:F71"/>
    <mergeCell ref="A5:F5"/>
    <mergeCell ref="A23:F23"/>
    <mergeCell ref="A8:F8"/>
    <mergeCell ref="A17:F17"/>
    <mergeCell ref="D74:F74"/>
    <mergeCell ref="A29:F29"/>
    <mergeCell ref="D73:F73"/>
    <mergeCell ref="B73:C73"/>
    <mergeCell ref="B82:F82"/>
    <mergeCell ref="A10:F10"/>
    <mergeCell ref="A13:F13"/>
    <mergeCell ref="B78:F78"/>
    <mergeCell ref="A9:F9"/>
    <mergeCell ref="A48:F48"/>
    <mergeCell ref="B84:F84"/>
    <mergeCell ref="A30:F30"/>
    <mergeCell ref="A15:F15"/>
    <mergeCell ref="A24:F24"/>
    <mergeCell ref="B74:C74"/>
    <mergeCell ref="A11:F11"/>
    <mergeCell ref="A49:F49"/>
    <mergeCell ref="B83:F83"/>
    <mergeCell ref="A36:F36"/>
    <mergeCell ref="A1:F1"/>
    <mergeCell ref="B80:F80"/>
    <mergeCell ref="A6:F6"/>
    <mergeCell ref="B79:F79"/>
    <mergeCell ref="A69:F69"/>
    <mergeCell ref="A7:F7"/>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6.xml><?xml version="1.0" encoding="utf-8"?>
<worksheet xmlns="http://schemas.openxmlformats.org/spreadsheetml/2006/main">
  <sheetPr>
    <tabColor rgb="001F3864"/>
    <outlinePr summaryBelow="1" summaryRight="1"/>
    <pageSetUpPr fitToPage="1"/>
  </sheetPr>
  <dimension ref="A1:P269"/>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3" customWidth="1" min="15" max="15"/>
    <col width="13" customWidth="1" min="16" max="16"/>
  </cols>
  <sheetData>
    <row r="1" ht="34" customHeight="1">
      <c r="A1" s="1" t="inlineStr">
        <is>
          <t>Job Architecture — Datatech: Framework &amp; Logic</t>
        </is>
      </c>
      <c r="O1" s="241" t="inlineStr">
        <is>
          <t>◂ Contents</t>
        </is>
      </c>
    </row>
    <row r="2" ht="32" customHeight="1">
      <c r="A2" s="3" t="inlineStr">
        <is>
          <t>Sheet 10 · How the Master Framework is applied to Datatech, step by step: classification, tracks, factors and weights, rules, levels, market benchmarks, capability, validation, data and sources.</t>
        </is>
      </c>
    </row>
    <row r="3">
      <c r="A3" s="4" t="inlineStr">
        <is>
          <t>IRIS · Job Architecture &amp; Job Design · Final v1.12 · October 2026 · Internal — Confidential</t>
        </is>
      </c>
    </row>
    <row r="4" ht="15" customHeight="1"/>
    <row r="5" ht="20" customHeight="1">
      <c r="A5" s="6" t="inlineStr">
        <is>
          <t>0. How this workbook works — the 12-step model · Master M2 and where each step lives</t>
        </is>
      </c>
    </row>
    <row r="6" ht="15" customHeight="1">
      <c r="A6" s="12" t="inlineStr">
        <is>
          <t>Step</t>
        </is>
      </c>
      <c r="B6" s="12" t="inlineStr">
        <is>
          <t>What happens</t>
        </is>
      </c>
      <c r="C6" s="210" t="n"/>
      <c r="D6" s="210" t="n"/>
      <c r="E6" s="209" t="n"/>
      <c r="F6" s="12" t="inlineStr">
        <is>
          <t>Rules · Master</t>
        </is>
      </c>
      <c r="G6" s="210" t="n"/>
      <c r="H6" s="210" t="n"/>
      <c r="I6" s="209" t="n"/>
      <c r="J6" s="12" t="inlineStr">
        <is>
          <t>Where in this workbook</t>
        </is>
      </c>
      <c r="K6" s="210" t="n"/>
      <c r="L6" s="210" t="n"/>
      <c r="M6" s="210" t="n"/>
      <c r="N6" s="209" t="n"/>
    </row>
    <row r="7" ht="15" customHeight="1">
      <c r="A7" s="170" t="inlineStr">
        <is>
          <t>1</t>
        </is>
      </c>
      <c r="B7" s="16" t="inlineStr">
        <is>
          <t>Collect inputs</t>
        </is>
      </c>
      <c r="C7" s="210" t="n"/>
      <c r="D7" s="210" t="n"/>
      <c r="E7" s="209" t="n"/>
      <c r="F7" s="16" t="inlineStr">
        <is>
          <t>Data rules D1–D3</t>
        </is>
      </c>
      <c r="G7" s="210" t="n"/>
      <c r="H7" s="210" t="n"/>
      <c r="I7" s="209" t="n"/>
      <c r="J7" s="16" t="inlineStr">
        <is>
          <t>Sheet 3 · raw data; Sheet 2 · person</t>
        </is>
      </c>
      <c r="K7" s="210" t="n"/>
      <c r="L7" s="210" t="n"/>
      <c r="M7" s="210" t="n"/>
      <c r="N7" s="209" t="n"/>
    </row>
    <row r="8" ht="15" customHeight="1">
      <c r="A8" s="170" t="inlineStr">
        <is>
          <t>2</t>
        </is>
      </c>
      <c r="B8" s="16" t="inlineStr">
        <is>
          <t>Classify the work</t>
        </is>
      </c>
      <c r="C8" s="210" t="n"/>
      <c r="D8" s="210" t="n"/>
      <c r="E8" s="209" t="n"/>
      <c r="F8" s="16" t="inlineStr">
        <is>
          <t>Taxonomy rules T1–T4</t>
        </is>
      </c>
      <c r="G8" s="210" t="n"/>
      <c r="H8" s="210" t="n"/>
      <c r="I8" s="209" t="n"/>
      <c r="J8" s="16" t="inlineStr">
        <is>
          <t>Sheet 1 · changes; Sheet 2</t>
        </is>
      </c>
      <c r="K8" s="210" t="n"/>
      <c r="L8" s="210" t="n"/>
      <c r="M8" s="210" t="n"/>
      <c r="N8" s="209" t="n"/>
    </row>
    <row r="9" ht="15" customHeight="1">
      <c r="A9" s="170" t="inlineStr">
        <is>
          <t>3</t>
        </is>
      </c>
      <c r="B9" s="16" t="inlineStr">
        <is>
          <t>Set the track</t>
        </is>
      </c>
      <c r="C9" s="210" t="n"/>
      <c r="D9" s="210" t="n"/>
      <c r="E9" s="209" t="n"/>
      <c r="F9" s="16" t="inlineStr">
        <is>
          <t>Track rules K1–K6</t>
        </is>
      </c>
      <c r="G9" s="210" t="n"/>
      <c r="H9" s="210" t="n"/>
      <c r="I9" s="209" t="n"/>
      <c r="J9" s="16" t="inlineStr">
        <is>
          <t>Sheet 2 · track</t>
        </is>
      </c>
      <c r="K9" s="210" t="n"/>
      <c r="L9" s="210" t="n"/>
      <c r="M9" s="210" t="n"/>
      <c r="N9" s="209" t="n"/>
    </row>
    <row r="10" ht="15" customHeight="1">
      <c r="A10" s="170" t="inlineStr">
        <is>
          <t>4</t>
        </is>
      </c>
      <c r="B10" s="16" t="inlineStr">
        <is>
          <t>Rate the six factors</t>
        </is>
      </c>
      <c r="C10" s="210" t="n"/>
      <c r="D10" s="210" t="n"/>
      <c r="E10" s="209" t="n"/>
      <c r="F10" s="16" t="inlineStr">
        <is>
          <t>Factor scales F1–F5; evidence rules E1–E3</t>
        </is>
      </c>
      <c r="G10" s="210" t="n"/>
      <c r="H10" s="210" t="n"/>
      <c r="I10" s="209" t="n"/>
      <c r="J10" s="16" t="inlineStr">
        <is>
          <t>Sheet 2 · ratings + justification</t>
        </is>
      </c>
      <c r="K10" s="210" t="n"/>
      <c r="L10" s="210" t="n"/>
      <c r="M10" s="210" t="n"/>
      <c r="N10" s="209" t="n"/>
    </row>
    <row r="11" ht="15" customHeight="1">
      <c r="A11" s="170" t="inlineStr">
        <is>
          <t>5</t>
        </is>
      </c>
      <c r="B11" s="16" t="inlineStr">
        <is>
          <t>Pick the weights</t>
        </is>
      </c>
      <c r="C11" s="210" t="n"/>
      <c r="D11" s="210" t="n"/>
      <c r="E11" s="209" t="n"/>
      <c r="F11" s="16" t="inlineStr">
        <is>
          <t>Weight model W1–W4</t>
        </is>
      </c>
      <c r="G11" s="210" t="n"/>
      <c r="H11" s="210" t="n"/>
      <c r="I11" s="209" t="n"/>
      <c r="J11" s="16" t="inlineStr">
        <is>
          <t>Sheet 2 · weights</t>
        </is>
      </c>
      <c r="K11" s="210" t="n"/>
      <c r="L11" s="210" t="n"/>
      <c r="M11" s="210" t="n"/>
      <c r="N11" s="209" t="n"/>
    </row>
    <row r="12" ht="15" customHeight="1">
      <c r="A12" s="170" t="inlineStr">
        <is>
          <t>6</t>
        </is>
      </c>
      <c r="B12" s="16" t="inlineStr">
        <is>
          <t>Score</t>
        </is>
      </c>
      <c r="C12" s="210" t="n"/>
      <c r="D12" s="210" t="n"/>
      <c r="E12" s="209" t="n"/>
      <c r="F12" s="16" t="inlineStr">
        <is>
          <t>R3</t>
        </is>
      </c>
      <c r="G12" s="210" t="n"/>
      <c r="H12" s="210" t="n"/>
      <c r="I12" s="209" t="n"/>
      <c r="J12" s="16" t="inlineStr">
        <is>
          <t>Sheet 2 · score formula</t>
        </is>
      </c>
      <c r="K12" s="210" t="n"/>
      <c r="L12" s="210" t="n"/>
      <c r="M12" s="210" t="n"/>
      <c r="N12" s="209" t="n"/>
    </row>
    <row r="13" ht="28" customHeight="1">
      <c r="A13" s="170" t="inlineStr">
        <is>
          <t>7</t>
        </is>
      </c>
      <c r="B13" s="16" t="inlineStr">
        <is>
          <t>Apply limits, gates and Player-Coach transition steps</t>
        </is>
      </c>
      <c r="C13" s="210" t="n"/>
      <c r="D13" s="210" t="n"/>
      <c r="E13" s="209" t="n"/>
      <c r="F13" s="16" t="inlineStr">
        <is>
          <t>R1–R10 in order</t>
        </is>
      </c>
      <c r="G13" s="210" t="n"/>
      <c r="H13" s="210" t="n"/>
      <c r="I13" s="209" t="n"/>
      <c r="J13" s="16" t="inlineStr">
        <is>
          <t>Sheet 2 · gates &amp; limits; Sheet 9</t>
        </is>
      </c>
      <c r="K13" s="210" t="n"/>
      <c r="L13" s="210" t="n"/>
      <c r="M13" s="210" t="n"/>
      <c r="N13" s="209" t="n"/>
    </row>
    <row r="14" ht="15" customHeight="1">
      <c r="A14" s="170" t="inlineStr">
        <is>
          <t>8</t>
        </is>
      </c>
      <c r="B14" s="16" t="inlineStr">
        <is>
          <t>Place level and title</t>
        </is>
      </c>
      <c r="C14" s="210" t="n"/>
      <c r="D14" s="210" t="n"/>
      <c r="E14" s="209" t="n"/>
      <c r="F14" s="16" t="inlineStr">
        <is>
          <t>Title rules N1–N5</t>
        </is>
      </c>
      <c r="G14" s="210" t="n"/>
      <c r="H14" s="210" t="n"/>
      <c r="I14" s="209" t="n"/>
      <c r="J14" s="16" t="inlineStr">
        <is>
          <t>Sheet 2; Sheet 7</t>
        </is>
      </c>
      <c r="K14" s="210" t="n"/>
      <c r="L14" s="210" t="n"/>
      <c r="M14" s="210" t="n"/>
      <c r="N14" s="209" t="n"/>
    </row>
    <row r="15" ht="15" customHeight="1">
      <c r="A15" s="170" t="inlineStr">
        <is>
          <t>9</t>
        </is>
      </c>
      <c r="B15" s="16" t="inlineStr">
        <is>
          <t>Benchmark to market</t>
        </is>
      </c>
      <c r="C15" s="210" t="n"/>
      <c r="D15" s="210" t="n"/>
      <c r="E15" s="209" t="n"/>
      <c r="F15" s="16" t="inlineStr">
        <is>
          <t>Crosswalk</t>
        </is>
      </c>
      <c r="G15" s="210" t="n"/>
      <c r="H15" s="210" t="n"/>
      <c r="I15" s="209" t="n"/>
      <c r="J15" s="16" t="inlineStr">
        <is>
          <t>Sheet 3 · market standards; Sheet 7; Sheet 11</t>
        </is>
      </c>
      <c r="K15" s="210" t="n"/>
      <c r="L15" s="210" t="n"/>
      <c r="M15" s="210" t="n"/>
      <c r="N15" s="209" t="n"/>
    </row>
    <row r="16" ht="15" customHeight="1">
      <c r="A16" s="170" t="inlineStr">
        <is>
          <t>10</t>
        </is>
      </c>
      <c r="B16" s="16" t="inlineStr">
        <is>
          <t>Set the capability profile</t>
        </is>
      </c>
      <c r="C16" s="210" t="n"/>
      <c r="D16" s="210" t="n"/>
      <c r="E16" s="209" t="n"/>
      <c r="F16" s="16" t="inlineStr">
        <is>
          <t>Competency model C1–C5</t>
        </is>
      </c>
      <c r="G16" s="210" t="n"/>
      <c r="H16" s="210" t="n"/>
      <c r="I16" s="209" t="n"/>
      <c r="J16" s="16" t="inlineStr">
        <is>
          <t>Sheet 4 · role competencies; Sheet 5</t>
        </is>
      </c>
      <c r="K16" s="210" t="n"/>
      <c r="L16" s="210" t="n"/>
      <c r="M16" s="210" t="n"/>
      <c r="N16" s="209" t="n"/>
    </row>
    <row r="17" ht="15" customHeight="1">
      <c r="A17" s="170" t="inlineStr">
        <is>
          <t>11</t>
        </is>
      </c>
      <c r="B17" s="16" t="inlineStr">
        <is>
          <t>Develop, retain and move</t>
        </is>
      </c>
      <c r="C17" s="210" t="n"/>
      <c r="D17" s="210" t="n"/>
      <c r="E17" s="209" t="n"/>
      <c r="F17" s="16" t="inlineStr">
        <is>
          <t>Career rules G1–G6</t>
        </is>
      </c>
      <c r="G17" s="210" t="n"/>
      <c r="H17" s="210" t="n"/>
      <c r="I17" s="209" t="n"/>
      <c r="J17" s="16" t="inlineStr">
        <is>
          <t>Sheet 6 · role profiles; Sheet 8</t>
        </is>
      </c>
      <c r="K17" s="210" t="n"/>
      <c r="L17" s="210" t="n"/>
      <c r="M17" s="210" t="n"/>
      <c r="N17" s="209" t="n"/>
    </row>
    <row r="18" ht="15" customHeight="1">
      <c r="A18" s="170" t="inlineStr">
        <is>
          <t>12</t>
        </is>
      </c>
      <c r="B18" s="16" t="inlineStr">
        <is>
          <t>Validate and govern</t>
        </is>
      </c>
      <c r="C18" s="210" t="n"/>
      <c r="D18" s="210" t="n"/>
      <c r="E18" s="209" t="n"/>
      <c r="F18" s="16" t="inlineStr">
        <is>
          <t>Governance V1–V6</t>
        </is>
      </c>
      <c r="G18" s="210" t="n"/>
      <c r="H18" s="210" t="n"/>
      <c r="I18" s="209" t="n"/>
      <c r="J18" s="16" t="inlineStr">
        <is>
          <t>Sheet 2 · validation; Sheet 9</t>
        </is>
      </c>
      <c r="K18" s="210" t="n"/>
      <c r="L18" s="210" t="n"/>
      <c r="M18" s="210" t="n"/>
      <c r="N18" s="209" t="n"/>
    </row>
    <row r="19" ht="15" customHeight="1">
      <c r="A19" s="170" t="inlineStr">
        <is>
          <t>—</t>
        </is>
      </c>
      <c r="B19" s="16" t="inlineStr">
        <is>
          <t>Overview</t>
        </is>
      </c>
      <c r="C19" s="210" t="n"/>
      <c r="D19" s="210" t="n"/>
      <c r="E19" s="209" t="n"/>
      <c r="F19" s="16" t="inlineStr">
        <is>
          <t>Counts, changes, distribution</t>
        </is>
      </c>
      <c r="G19" s="210" t="n"/>
      <c r="H19" s="210" t="n"/>
      <c r="I19" s="209" t="n"/>
      <c r="J19" s="16" t="inlineStr">
        <is>
          <t>Sheet 1</t>
        </is>
      </c>
      <c r="K19" s="210" t="n"/>
      <c r="L19" s="210" t="n"/>
      <c r="M19" s="210" t="n"/>
      <c r="N19" s="209" t="n"/>
    </row>
    <row r="20" ht="15" customHeight="1">
      <c r="A20" s="170" t="inlineStr">
        <is>
          <t>—</t>
        </is>
      </c>
      <c r="B20" s="16" t="inlineStr">
        <is>
          <t>Role competencies</t>
        </is>
      </c>
      <c r="C20" s="210" t="n"/>
      <c r="D20" s="210" t="n"/>
      <c r="E20" s="209" t="n"/>
      <c r="F20" s="16" t="inlineStr">
        <is>
          <t>C1–C5 per band / role / sub-family</t>
        </is>
      </c>
      <c r="G20" s="210" t="n"/>
      <c r="H20" s="210" t="n"/>
      <c r="I20" s="209" t="n"/>
      <c r="J20" s="16" t="inlineStr">
        <is>
          <t>Sheet 4</t>
        </is>
      </c>
      <c r="K20" s="210" t="n"/>
      <c r="L20" s="210" t="n"/>
      <c r="M20" s="210" t="n"/>
      <c r="N20" s="209" t="n"/>
    </row>
    <row r="21" ht="15" customHeight="1">
      <c r="A21" s="170" t="inlineStr">
        <is>
          <t>—</t>
        </is>
      </c>
      <c r="B21" s="16" t="inlineStr">
        <is>
          <t>Role catalogue · job design</t>
        </is>
      </c>
      <c r="C21" s="210" t="n"/>
      <c r="D21" s="210" t="n"/>
      <c r="E21" s="209" t="n"/>
      <c r="F21" s="16" t="inlineStr">
        <is>
          <t>All steps combined per role, IRIS-wide</t>
        </is>
      </c>
      <c r="G21" s="210" t="n"/>
      <c r="H21" s="210" t="n"/>
      <c r="I21" s="209" t="n"/>
      <c r="J21" s="16" t="inlineStr">
        <is>
          <t>Sheet 6</t>
        </is>
      </c>
      <c r="K21" s="210" t="n"/>
      <c r="L21" s="210" t="n"/>
      <c r="M21" s="210" t="n"/>
      <c r="N21" s="209" t="n"/>
    </row>
    <row r="22" ht="15" customHeight="1">
      <c r="A22" s="170" t="inlineStr">
        <is>
          <t>—</t>
        </is>
      </c>
      <c r="B22" s="16" t="inlineStr">
        <is>
          <t>Raw data &amp; market standards</t>
        </is>
      </c>
      <c r="C22" s="210" t="n"/>
      <c r="D22" s="210" t="n"/>
      <c r="E22" s="209" t="n"/>
      <c r="F22" s="16" t="inlineStr">
        <is>
          <t>D1–D3; M13</t>
        </is>
      </c>
      <c r="G22" s="210" t="n"/>
      <c r="H22" s="210" t="n"/>
      <c r="I22" s="209" t="n"/>
      <c r="J22" s="16" t="inlineStr">
        <is>
          <t>Sheet 3</t>
        </is>
      </c>
      <c r="K22" s="210" t="n"/>
      <c r="L22" s="210" t="n"/>
      <c r="M22" s="210" t="n"/>
      <c r="N22" s="209" t="n"/>
    </row>
    <row r="23" ht="28" customHeight="1">
      <c r="A23" s="170" t="inlineStr">
        <is>
          <t>—</t>
        </is>
      </c>
      <c r="B23" s="16" t="inlineStr">
        <is>
          <t>References &amp; benchmarks</t>
        </is>
      </c>
      <c r="C23" s="210" t="n"/>
      <c r="D23" s="210" t="n"/>
      <c r="E23" s="209" t="n"/>
      <c r="F23" s="16" t="inlineStr">
        <is>
          <t>Competitors, regtech / SaaS leaders, standards, databases, sites</t>
        </is>
      </c>
      <c r="G23" s="210" t="n"/>
      <c r="H23" s="210" t="n"/>
      <c r="I23" s="209" t="n"/>
      <c r="J23" s="16" t="inlineStr">
        <is>
          <t>Sheet 11</t>
        </is>
      </c>
      <c r="K23" s="210" t="n"/>
      <c r="L23" s="210" t="n"/>
      <c r="M23" s="210" t="n"/>
      <c r="N23" s="209" t="n"/>
    </row>
    <row r="24" ht="15" customHeight="1"/>
    <row r="25" ht="20" customHeight="1">
      <c r="A25" s="6" t="inlineStr">
        <is>
          <t>1. At a glance</t>
        </is>
      </c>
    </row>
    <row r="26" ht="15" customHeight="1">
      <c r="A26" s="12" t="inlineStr">
        <is>
          <t>Measure</t>
        </is>
      </c>
      <c r="B26" s="210" t="n"/>
      <c r="C26" s="210" t="n"/>
      <c r="D26" s="210" t="n"/>
      <c r="E26" s="209" t="n"/>
      <c r="F26" s="12" t="inlineStr">
        <is>
          <t>Value</t>
        </is>
      </c>
      <c r="G26" s="210" t="n"/>
      <c r="H26" s="209" t="n"/>
      <c r="I26" s="12" t="inlineStr">
        <is>
          <t>Note</t>
        </is>
      </c>
      <c r="J26" s="210" t="n"/>
      <c r="K26" s="210" t="n"/>
      <c r="L26" s="210" t="n"/>
      <c r="M26" s="210" t="n"/>
      <c r="N26" s="209" t="n"/>
    </row>
    <row r="27" ht="15" customHeight="1">
      <c r="A27" s="13" t="inlineStr">
        <is>
          <t>People in scope</t>
        </is>
      </c>
      <c r="B27" s="210" t="n"/>
      <c r="C27" s="210" t="n"/>
      <c r="D27" s="210" t="n"/>
      <c r="E27" s="209" t="n"/>
      <c r="F27" s="15" t="n">
        <v>34</v>
      </c>
      <c r="G27" s="210" t="n"/>
      <c r="H27" s="209" t="n"/>
      <c r="I27" s="16" t="inlineStr">
        <is>
          <t>All records, including consultants and interns</t>
        </is>
      </c>
      <c r="J27" s="210" t="n"/>
      <c r="K27" s="210" t="n"/>
      <c r="L27" s="210" t="n"/>
      <c r="M27" s="210" t="n"/>
      <c r="N27" s="209" t="n"/>
    </row>
    <row r="28" ht="15" customHeight="1">
      <c r="A28" s="13" t="inlineStr">
        <is>
          <t>On the employee ladder / consultants</t>
        </is>
      </c>
      <c r="B28" s="210" t="n"/>
      <c r="C28" s="210" t="n"/>
      <c r="D28" s="210" t="n"/>
      <c r="E28" s="209" t="n"/>
      <c r="F28" s="15" t="inlineStr">
        <is>
          <t>28 / 6</t>
        </is>
      </c>
      <c r="G28" s="210" t="n"/>
      <c r="H28" s="209" t="n"/>
      <c r="I28" s="16" t="inlineStr">
        <is>
          <t>Consultants sit outside the ladder</t>
        </is>
      </c>
      <c r="J28" s="210" t="n"/>
      <c r="K28" s="210" t="n"/>
      <c r="L28" s="210" t="n"/>
      <c r="M28" s="210" t="n"/>
      <c r="N28" s="209" t="n"/>
    </row>
    <row r="29" ht="41" customHeight="1">
      <c r="A29" s="13" t="inlineStr">
        <is>
          <t>Departments · job families · sub-families · roles</t>
        </is>
      </c>
      <c r="B29" s="210" t="n"/>
      <c r="C29" s="210" t="n"/>
      <c r="D29" s="210" t="n"/>
      <c r="E29" s="209" t="n"/>
      <c r="F29" s="15" t="inlineStr">
        <is>
          <t>8 · 9 · 16 · 25</t>
        </is>
      </c>
      <c r="G29" s="210" t="n"/>
      <c r="H29" s="209" t="n"/>
      <c r="I29" s="16" t="inlineStr">
        <is>
          <t>Role = the same designation at the same level, within a department, job family and track. Families exclude 'Unassigned' · consultants with no role on record</t>
        </is>
      </c>
      <c r="J29" s="210" t="n"/>
      <c r="K29" s="210" t="n"/>
      <c r="L29" s="210" t="n"/>
      <c r="M29" s="210" t="n"/>
      <c r="N29" s="209" t="n"/>
    </row>
    <row r="30" ht="15" customHeight="1">
      <c r="A30" s="13" t="inlineStr">
        <is>
          <t>IC / POD Lead / Player-Coach / People Manager</t>
        </is>
      </c>
      <c r="B30" s="210" t="n"/>
      <c r="C30" s="210" t="n"/>
      <c r="D30" s="210" t="n"/>
      <c r="E30" s="209" t="n"/>
      <c r="F30" s="15" t="inlineStr">
        <is>
          <t>22 / 3 / 0 / 3</t>
        </is>
      </c>
      <c r="G30" s="210" t="n"/>
      <c r="H30" s="209" t="n"/>
      <c r="I30" s="16" t="inlineStr">
        <is>
          <t>Track rules K1–K6</t>
        </is>
      </c>
      <c r="J30" s="210" t="n"/>
      <c r="K30" s="210" t="n"/>
      <c r="L30" s="210" t="n"/>
      <c r="M30" s="210" t="n"/>
      <c r="N30" s="209" t="n"/>
    </row>
    <row r="31" ht="15" customHeight="1">
      <c r="A31" s="13" t="inlineStr">
        <is>
          <t>Final level vs current: up / down / same / newly mapped</t>
        </is>
      </c>
      <c r="B31" s="210" t="n"/>
      <c r="C31" s="210" t="n"/>
      <c r="D31" s="210" t="n"/>
      <c r="E31" s="209" t="n"/>
      <c r="F31" s="15" t="inlineStr">
        <is>
          <t>9 / 3 / 12 / 10</t>
        </is>
      </c>
      <c r="G31" s="210" t="n"/>
      <c r="H31" s="209" t="n"/>
      <c r="I31" s="16" t="inlineStr">
        <is>
          <t>Moves down are pay- and title-protected</t>
        </is>
      </c>
      <c r="J31" s="210" t="n"/>
      <c r="K31" s="210" t="n"/>
      <c r="L31" s="210" t="n"/>
      <c r="M31" s="210" t="n"/>
      <c r="N31" s="209" t="n"/>
    </row>
    <row r="32" ht="15" customHeight="1">
      <c r="A32" s="13" t="inlineStr">
        <is>
          <t>Final level vs the earlier proposal</t>
        </is>
      </c>
      <c r="B32" s="210" t="n"/>
      <c r="C32" s="210" t="n"/>
      <c r="D32" s="210" t="n"/>
      <c r="E32" s="209" t="n"/>
      <c r="F32" s="15" t="inlineStr">
        <is>
          <t>2 changed</t>
        </is>
      </c>
      <c r="G32" s="210" t="n"/>
      <c r="H32" s="209" t="n"/>
      <c r="I32" s="16" t="inlineStr">
        <is>
          <t>Only from the derived weight model · Master M7</t>
        </is>
      </c>
      <c r="J32" s="210" t="n"/>
      <c r="K32" s="210" t="n"/>
      <c r="L32" s="210" t="n"/>
      <c r="M32" s="210" t="n"/>
      <c r="N32" s="209" t="n"/>
    </row>
    <row r="33" ht="28" customHeight="1">
      <c r="A33" s="13" t="inlineStr">
        <is>
          <t>Close calls for calibration · ±0.05 of a rounding point; the score decided the level</t>
        </is>
      </c>
      <c r="B33" s="210" t="n"/>
      <c r="C33" s="210" t="n"/>
      <c r="D33" s="210" t="n"/>
      <c r="E33" s="209" t="n"/>
      <c r="F33" s="15" t="n">
        <v>0</v>
      </c>
      <c r="G33" s="210" t="n"/>
      <c r="H33" s="209" t="n"/>
      <c r="I33" s="16" t="inlineStr">
        <is>
          <t>Governance V3</t>
        </is>
      </c>
      <c r="J33" s="210" t="n"/>
      <c r="K33" s="210" t="n"/>
      <c r="L33" s="210" t="n"/>
      <c r="M33" s="210" t="n"/>
      <c r="N33" s="209" t="n"/>
    </row>
    <row r="34" ht="28" customHeight="1">
      <c r="A34" s="13" t="inlineStr">
        <is>
          <t>Near a gate · a rule set the level; within a quarter-point of its threshold</t>
        </is>
      </c>
      <c r="B34" s="210" t="n"/>
      <c r="C34" s="210" t="n"/>
      <c r="D34" s="210" t="n"/>
      <c r="E34" s="209" t="n"/>
      <c r="F34" s="15" t="n">
        <v>0</v>
      </c>
      <c r="G34" s="210" t="n"/>
      <c r="H34" s="209" t="n"/>
      <c r="I34" s="16" t="inlineStr">
        <is>
          <t>Governance V3</t>
        </is>
      </c>
      <c r="J34" s="210" t="n"/>
      <c r="K34" s="210" t="n"/>
      <c r="L34" s="210" t="n"/>
      <c r="M34" s="210" t="n"/>
      <c r="N34" s="209" t="n"/>
    </row>
    <row r="35" ht="15" customHeight="1">
      <c r="A35" s="13" t="inlineStr">
        <is>
          <t>Titles needing a check</t>
        </is>
      </c>
      <c r="B35" s="210" t="n"/>
      <c r="C35" s="210" t="n"/>
      <c r="D35" s="210" t="n"/>
      <c r="E35" s="209" t="n"/>
      <c r="F35" s="15" t="n">
        <v>2</v>
      </c>
      <c r="G35" s="210" t="n"/>
      <c r="H35" s="209" t="n"/>
      <c r="I35" s="16" t="inlineStr">
        <is>
          <t>Title rules N1–N5</t>
        </is>
      </c>
      <c r="J35" s="210" t="n"/>
      <c r="K35" s="210" t="n"/>
      <c r="L35" s="210" t="n"/>
      <c r="M35" s="210" t="n"/>
      <c r="N35" s="209" t="n"/>
    </row>
    <row r="36" ht="15" customHeight="1"/>
    <row r="37" ht="20" customHeight="1">
      <c r="A37" s="6" t="inlineStr">
        <is>
          <t>2. STEP 2 · Classification — department → job family → sub-family</t>
        </is>
      </c>
    </row>
    <row r="38" ht="15" customHeight="1">
      <c r="A38" s="11" t="inlineStr">
        <is>
          <t>Families are disciplines anchored to ISCO-08 / NCO-2015; sub-families name the actual work; the department's type of work selects the weight tilt.</t>
        </is>
      </c>
    </row>
    <row r="39" ht="28" customHeight="1">
      <c r="A39" s="12" t="inlineStr">
        <is>
          <t>Department</t>
        </is>
      </c>
      <c r="B39" s="12" t="inlineStr">
        <is>
          <t>Type of work</t>
        </is>
      </c>
      <c r="C39" s="12" t="inlineStr">
        <is>
          <t>Job family</t>
        </is>
      </c>
      <c r="D39" s="209" t="n"/>
      <c r="E39" s="12" t="inlineStr">
        <is>
          <t>Sub-family</t>
        </is>
      </c>
      <c r="F39" s="209" t="n"/>
      <c r="G39" s="12" t="inlineStr">
        <is>
          <t>What they do</t>
        </is>
      </c>
      <c r="H39" s="210" t="n"/>
      <c r="I39" s="209" t="n"/>
      <c r="J39" s="12" t="inlineStr">
        <is>
          <t>ISCO-08 anchor</t>
        </is>
      </c>
      <c r="K39" s="209" t="n"/>
      <c r="L39" s="12" t="inlineStr">
        <is>
          <t>People</t>
        </is>
      </c>
      <c r="M39" s="12" t="inlineStr">
        <is>
          <t>Levels</t>
        </is>
      </c>
      <c r="N39" s="12" t="inlineStr">
        <is>
          <t>Tracks</t>
        </is>
      </c>
    </row>
    <row r="40" ht="54" customHeight="1">
      <c r="A40" s="16" t="inlineStr">
        <is>
          <t>Datatech - Outreach</t>
        </is>
      </c>
      <c r="B40" s="16" t="inlineStr">
        <is>
          <t>Sales &amp; marketing</t>
        </is>
      </c>
      <c r="C40" s="16" t="inlineStr">
        <is>
          <t>Sales &amp; Business Development</t>
        </is>
      </c>
      <c r="D40" s="209" t="n"/>
      <c r="E40" s="16" t="inlineStr">
        <is>
          <t>Field Outreach &amp; Programme Sales</t>
        </is>
      </c>
      <c r="F40" s="209" t="n"/>
      <c r="G40" s="16" t="inlineStr">
        <is>
          <t>Onboards MSMEs and partners in the field; generates programme leads and engagement.</t>
        </is>
      </c>
      <c r="H40" s="210" t="n"/>
      <c r="I40" s="209" t="n"/>
      <c r="J40" s="16" t="inlineStr">
        <is>
          <t>24 · 2433 Technical sales professionals · ICT; 33 · 3322 Commercial sales representatives</t>
        </is>
      </c>
      <c r="K40" s="209" t="n"/>
      <c r="L40" s="15" t="n">
        <v>7</v>
      </c>
      <c r="M40" s="15" t="inlineStr">
        <is>
          <t>A2–B2</t>
        </is>
      </c>
      <c r="N40" s="16" t="inlineStr">
        <is>
          <t>People Manager 1 · POD Lead 1 · IC 5</t>
        </is>
      </c>
    </row>
    <row r="41" ht="54" customHeight="1">
      <c r="A41" s="16" t="inlineStr"/>
      <c r="B41" s="16" t="inlineStr"/>
      <c r="C41" s="16" t="inlineStr">
        <is>
          <t>Data &amp; Analytics</t>
        </is>
      </c>
      <c r="D41" s="209" t="n"/>
      <c r="E41" s="16" t="inlineStr">
        <is>
          <t>MIS &amp; Business Reporting</t>
        </is>
      </c>
      <c r="F41" s="209" t="n"/>
      <c r="G41" s="16" t="inlineStr">
        <is>
          <t>Builds MIS, dashboards and revenue/ARR forecasts.</t>
        </is>
      </c>
      <c r="H41" s="210" t="n"/>
      <c r="I41" s="209" t="n"/>
      <c r="J41" s="16" t="inlineStr">
        <is>
          <t>25 ICT professionals · 2521 Database designers; 21 · 2120 Statisticians</t>
        </is>
      </c>
      <c r="K41" s="209" t="n"/>
      <c r="L41" s="15" t="n">
        <v>1</v>
      </c>
      <c r="M41" s="15" t="inlineStr">
        <is>
          <t>A2</t>
        </is>
      </c>
      <c r="N41" s="16" t="inlineStr">
        <is>
          <t>IC 1</t>
        </is>
      </c>
    </row>
    <row r="42" ht="54" customHeight="1">
      <c r="A42" s="16" t="inlineStr">
        <is>
          <t>Datatech Business Head</t>
        </is>
      </c>
      <c r="B42" s="16" t="inlineStr">
        <is>
          <t>General management</t>
        </is>
      </c>
      <c r="C42" s="16" t="inlineStr">
        <is>
          <t>Executive Leadership</t>
        </is>
      </c>
      <c r="D42" s="209" t="n"/>
      <c r="E42" s="16" t="inlineStr">
        <is>
          <t>Business &amp; Functional Leadership</t>
        </is>
      </c>
      <c r="F42" s="209" t="n"/>
      <c r="G42" s="16" t="inlineStr">
        <is>
          <t>Owns a business line or enterprise function end to end.</t>
        </is>
      </c>
      <c r="H42" s="210" t="n"/>
      <c r="I42" s="209" t="n"/>
      <c r="J42" s="16" t="inlineStr">
        <is>
          <t>11 · 1120 Managing directors &amp; chief executives; 12 Administrative &amp; commercial managers</t>
        </is>
      </c>
      <c r="K42" s="209" t="n"/>
      <c r="L42" s="15" t="n">
        <v>1</v>
      </c>
      <c r="M42" s="15" t="inlineStr">
        <is>
          <t>D2</t>
        </is>
      </c>
      <c r="N42" s="16" t="inlineStr">
        <is>
          <t>People Manager 1</t>
        </is>
      </c>
    </row>
    <row r="43" ht="54" customHeight="1">
      <c r="A43" s="16" t="inlineStr">
        <is>
          <t>Marketing</t>
        </is>
      </c>
      <c r="B43" s="16" t="inlineStr">
        <is>
          <t>Sales &amp; marketing</t>
        </is>
      </c>
      <c r="C43" s="16" t="inlineStr">
        <is>
          <t>Marketing &amp; Communications</t>
        </is>
      </c>
      <c r="D43" s="209" t="n"/>
      <c r="E43" s="16" t="inlineStr">
        <is>
          <t>Marketing · role not recorded</t>
        </is>
      </c>
      <c r="F43" s="209" t="n"/>
      <c r="G43" s="16" t="inlineStr">
        <is>
          <t>Consultant — work not captured.</t>
        </is>
      </c>
      <c r="H43" s="210" t="n"/>
      <c r="I43" s="209" t="n"/>
      <c r="J43" s="16" t="inlineStr">
        <is>
          <t>24 · 2431 Advertising &amp; marketing professionals; 2432 Public relations professionals</t>
        </is>
      </c>
      <c r="K43" s="209" t="n"/>
      <c r="L43" s="15" t="n">
        <v>1</v>
      </c>
      <c r="M43" s="15" t="inlineStr">
        <is>
          <t>X1</t>
        </is>
      </c>
      <c r="N43" s="16" t="inlineStr">
        <is>
          <t>Consultant 1</t>
        </is>
      </c>
    </row>
    <row r="44" ht="54" customHeight="1">
      <c r="A44" s="16" t="inlineStr"/>
      <c r="B44" s="16" t="inlineStr"/>
      <c r="C44" s="16" t="inlineStr">
        <is>
          <t>Marketing &amp; Communications</t>
        </is>
      </c>
      <c r="D44" s="209" t="n"/>
      <c r="E44" s="16" t="inlineStr">
        <is>
          <t>Marketing Leadership</t>
        </is>
      </c>
      <c r="F44" s="209" t="n"/>
      <c r="G44" s="16" t="inlineStr">
        <is>
          <t>Leads the marketing &amp; communications function.</t>
        </is>
      </c>
      <c r="H44" s="210" t="n"/>
      <c r="I44" s="209" t="n"/>
      <c r="J44" s="16" t="inlineStr">
        <is>
          <t>24 · 2431 Advertising &amp; marketing professionals; 2432 Public relations professionals</t>
        </is>
      </c>
      <c r="K44" s="209" t="n"/>
      <c r="L44" s="15" t="n">
        <v>1</v>
      </c>
      <c r="M44" s="15" t="inlineStr">
        <is>
          <t>B2</t>
        </is>
      </c>
      <c r="N44" s="16" t="inlineStr">
        <is>
          <t>POD Lead 1</t>
        </is>
      </c>
    </row>
    <row r="45" ht="54" customHeight="1">
      <c r="A45" s="16" t="inlineStr"/>
      <c r="B45" s="16" t="inlineStr"/>
      <c r="C45" s="16" t="inlineStr">
        <is>
          <t>Marketing &amp; Communications</t>
        </is>
      </c>
      <c r="D45" s="209" t="n"/>
      <c r="E45" s="16" t="inlineStr">
        <is>
          <t>Digital Marketing, Web &amp; Social</t>
        </is>
      </c>
      <c r="F45" s="209" t="n"/>
      <c r="G45" s="16" t="inlineStr">
        <is>
          <t>Runs website, SEO/AEO, social media and online reputation.</t>
        </is>
      </c>
      <c r="H45" s="210" t="n"/>
      <c r="I45" s="209" t="n"/>
      <c r="J45" s="16" t="inlineStr">
        <is>
          <t>24 · 2431 Advertising &amp; marketing professionals; 2432 Public relations professionals</t>
        </is>
      </c>
      <c r="K45" s="209" t="n"/>
      <c r="L45" s="15" t="n">
        <v>1</v>
      </c>
      <c r="M45" s="15" t="inlineStr">
        <is>
          <t>A3</t>
        </is>
      </c>
      <c r="N45" s="16" t="inlineStr">
        <is>
          <t>IC 1</t>
        </is>
      </c>
    </row>
    <row r="46" ht="54" customHeight="1">
      <c r="A46" s="16" t="inlineStr"/>
      <c r="B46" s="16" t="inlineStr"/>
      <c r="C46" s="16" t="inlineStr">
        <is>
          <t>Marketing &amp; Communications</t>
        </is>
      </c>
      <c r="D46" s="209" t="n"/>
      <c r="E46" s="16" t="inlineStr">
        <is>
          <t>Content Marketing</t>
        </is>
      </c>
      <c r="F46" s="209" t="n"/>
      <c r="G46" s="16" t="inlineStr">
        <is>
          <t>Writes blogs, web copy, collateral and social content.</t>
        </is>
      </c>
      <c r="H46" s="210" t="n"/>
      <c r="I46" s="209" t="n"/>
      <c r="J46" s="16" t="inlineStr">
        <is>
          <t>24 · 2431 Advertising &amp; marketing professionals; 2432 Public relations professionals</t>
        </is>
      </c>
      <c r="K46" s="209" t="n"/>
      <c r="L46" s="15" t="n">
        <v>1</v>
      </c>
      <c r="M46" s="15" t="inlineStr">
        <is>
          <t>A3</t>
        </is>
      </c>
      <c r="N46" s="16" t="inlineStr">
        <is>
          <t>IC 1</t>
        </is>
      </c>
    </row>
    <row r="47" ht="54" customHeight="1">
      <c r="A47" s="16" t="inlineStr"/>
      <c r="B47" s="16" t="inlineStr"/>
      <c r="C47" s="16" t="inlineStr">
        <is>
          <t>Design &amp; Creative</t>
        </is>
      </c>
      <c r="D47" s="209" t="n"/>
      <c r="E47" s="16" t="inlineStr">
        <is>
          <t>Brand, Graphic &amp; Video Design</t>
        </is>
      </c>
      <c r="F47" s="209" t="n"/>
      <c r="G47" s="16" t="inlineStr">
        <is>
          <t>Creates brand assets, creatives, decks, motion graphics and video.</t>
        </is>
      </c>
      <c r="H47" s="210" t="n"/>
      <c r="I47" s="209" t="n"/>
      <c r="J47" s="16" t="inlineStr">
        <is>
          <t>21 Science &amp; engineering professionals · 2166 Graphic &amp; multimedia designers</t>
        </is>
      </c>
      <c r="K47" s="209" t="n"/>
      <c r="L47" s="15" t="n">
        <v>1</v>
      </c>
      <c r="M47" s="15" t="inlineStr">
        <is>
          <t>A2</t>
        </is>
      </c>
      <c r="N47" s="16" t="inlineStr">
        <is>
          <t>IC 1</t>
        </is>
      </c>
    </row>
    <row r="48" ht="28" customHeight="1">
      <c r="A48" s="16" t="inlineStr">
        <is>
          <t>Not provided · HRIS</t>
        </is>
      </c>
      <c r="B48" s="16" t="inlineStr">
        <is>
          <t>—</t>
        </is>
      </c>
      <c r="C48" s="16" t="inlineStr">
        <is>
          <t>Unassigned</t>
        </is>
      </c>
      <c r="D48" s="209" t="n"/>
      <c r="E48" s="16" t="inlineStr">
        <is>
          <t>Role not recorded · external consultant</t>
        </is>
      </c>
      <c r="F48" s="209" t="n"/>
      <c r="G48" s="16" t="inlineStr">
        <is>
          <t>No department or role data.</t>
        </is>
      </c>
      <c r="H48" s="210" t="n"/>
      <c r="I48" s="209" t="n"/>
      <c r="J48" s="16" t="inlineStr">
        <is>
          <t>— · role not recorded</t>
        </is>
      </c>
      <c r="K48" s="209" t="n"/>
      <c r="L48" s="15" t="n">
        <v>2</v>
      </c>
      <c r="M48" s="15" t="inlineStr">
        <is>
          <t>X1</t>
        </is>
      </c>
      <c r="N48" s="16" t="inlineStr">
        <is>
          <t>Consultant 2</t>
        </is>
      </c>
    </row>
    <row r="49" ht="54" customHeight="1">
      <c r="A49" s="16" t="inlineStr">
        <is>
          <t>Product Management</t>
        </is>
      </c>
      <c r="B49" s="16" t="inlineStr">
        <is>
          <t>Product &amp; programme</t>
        </is>
      </c>
      <c r="C49" s="16" t="inlineStr">
        <is>
          <t>Product Management</t>
        </is>
      </c>
      <c r="D49" s="209" t="n"/>
      <c r="E49" s="16" t="inlineStr">
        <is>
          <t>Product Management</t>
        </is>
      </c>
      <c r="F49" s="209" t="n"/>
      <c r="G49" s="16" t="inlineStr">
        <is>
          <t>Owns product vision, roadmap, requirements · PRDs, prioritisation and adoption.</t>
        </is>
      </c>
      <c r="H49" s="210" t="n"/>
      <c r="I49" s="209" t="n"/>
      <c r="J49" s="16" t="inlineStr">
        <is>
          <t>24 Business &amp; administration professionals · 2421 Management &amp; organisation analysts</t>
        </is>
      </c>
      <c r="K49" s="209" t="n"/>
      <c r="L49" s="15" t="n">
        <v>5</v>
      </c>
      <c r="M49" s="15" t="inlineStr">
        <is>
          <t>B1–B2</t>
        </is>
      </c>
      <c r="N49" s="16" t="inlineStr">
        <is>
          <t>People Manager 1 · IC 4</t>
        </is>
      </c>
    </row>
    <row r="50" ht="54" customHeight="1">
      <c r="A50" s="16" t="inlineStr">
        <is>
          <t>Quality Assurance</t>
        </is>
      </c>
      <c r="B50" s="16" t="inlineStr">
        <is>
          <t>Technology &amp; engineering</t>
        </is>
      </c>
      <c r="C50" s="16" t="inlineStr">
        <is>
          <t>Quality Assurance</t>
        </is>
      </c>
      <c r="D50" s="209" t="n"/>
      <c r="E50" s="16" t="inlineStr">
        <is>
          <t>Test Automation</t>
        </is>
      </c>
      <c r="F50" s="209" t="n"/>
      <c r="G50" s="16" t="inlineStr">
        <is>
          <t>Builds and runs automated UI/API test suites integrated with CI.</t>
        </is>
      </c>
      <c r="H50" s="210" t="n"/>
      <c r="I50" s="209" t="n"/>
      <c r="J50" s="16" t="inlineStr">
        <is>
          <t>25 ICT professionals · 2519 Software &amp; applications developers and analysts n.e.c. · testers</t>
        </is>
      </c>
      <c r="K50" s="209" t="n"/>
      <c r="L50" s="15" t="n">
        <v>1</v>
      </c>
      <c r="M50" s="15" t="inlineStr">
        <is>
          <t>A3</t>
        </is>
      </c>
      <c r="N50" s="16" t="inlineStr">
        <is>
          <t>IC 1</t>
        </is>
      </c>
    </row>
    <row r="51" ht="54" customHeight="1">
      <c r="A51" s="16" t="inlineStr"/>
      <c r="B51" s="16" t="inlineStr"/>
      <c r="C51" s="16" t="inlineStr">
        <is>
          <t>Quality Assurance</t>
        </is>
      </c>
      <c r="D51" s="209" t="n"/>
      <c r="E51" s="16" t="inlineStr">
        <is>
          <t>Functional &amp; Domain Testing</t>
        </is>
      </c>
      <c r="F51" s="209" t="n"/>
      <c r="G51" s="16" t="inlineStr">
        <is>
          <t>Designs and executes functional, regression and domain/AI-feature test cases; logs defects; supports sign-off.</t>
        </is>
      </c>
      <c r="H51" s="210" t="n"/>
      <c r="I51" s="209" t="n"/>
      <c r="J51" s="16" t="inlineStr">
        <is>
          <t>25 ICT professionals · 2519 Software &amp; applications developers and analysts n.e.c. · testers</t>
        </is>
      </c>
      <c r="K51" s="209" t="n"/>
      <c r="L51" s="15" t="n">
        <v>1</v>
      </c>
      <c r="M51" s="15" t="inlineStr">
        <is>
          <t>A3</t>
        </is>
      </c>
      <c r="N51" s="16" t="inlineStr">
        <is>
          <t>IC 1</t>
        </is>
      </c>
    </row>
    <row r="52" ht="54" customHeight="1">
      <c r="A52" s="16" t="inlineStr">
        <is>
          <t>Sales</t>
        </is>
      </c>
      <c r="B52" s="16" t="inlineStr">
        <is>
          <t>Sales &amp; marketing</t>
        </is>
      </c>
      <c r="C52" s="16" t="inlineStr">
        <is>
          <t>Sales &amp; Business Development</t>
        </is>
      </c>
      <c r="D52" s="209" t="n"/>
      <c r="E52" s="16" t="inlineStr">
        <is>
          <t>Sales Leadership</t>
        </is>
      </c>
      <c r="F52" s="209" t="n"/>
      <c r="G52" s="16" t="inlineStr">
        <is>
          <t>Leads the sales &amp; business development function.</t>
        </is>
      </c>
      <c r="H52" s="210" t="n"/>
      <c r="I52" s="209" t="n"/>
      <c r="J52" s="16" t="inlineStr">
        <is>
          <t>24 · 2433 Technical sales professionals · ICT; 33 · 3322 Commercial sales representatives</t>
        </is>
      </c>
      <c r="K52" s="209" t="n"/>
      <c r="L52" s="15" t="n">
        <v>1</v>
      </c>
      <c r="M52" s="15" t="inlineStr">
        <is>
          <t>C1</t>
        </is>
      </c>
      <c r="N52" s="16" t="inlineStr">
        <is>
          <t>IC 1</t>
        </is>
      </c>
    </row>
    <row r="53" ht="54" customHeight="1">
      <c r="A53" s="16" t="inlineStr">
        <is>
          <t>Technology</t>
        </is>
      </c>
      <c r="B53" s="16" t="inlineStr">
        <is>
          <t>Technology &amp; engineering</t>
        </is>
      </c>
      <c r="C53" s="16" t="inlineStr">
        <is>
          <t>Engineering &amp; Development</t>
        </is>
      </c>
      <c r="D53" s="209" t="n"/>
      <c r="E53" s="16" t="inlineStr">
        <is>
          <t>Backend Development</t>
        </is>
      </c>
      <c r="F53" s="209" t="n"/>
      <c r="G53" s="16" t="inlineStr">
        <is>
          <t>Builds back-end services, APIs, processing/validation logic and DB code; fixes defects and delivers change requests.</t>
        </is>
      </c>
      <c r="H53" s="210" t="n"/>
      <c r="I53" s="209" t="n"/>
      <c r="J53" s="16" t="inlineStr">
        <is>
          <t>25 ICT professionals · 2512 Software developers / 2514 Applications programmers</t>
        </is>
      </c>
      <c r="K53" s="209" t="n"/>
      <c r="L53" s="15" t="n">
        <v>7</v>
      </c>
      <c r="M53" s="15" t="inlineStr">
        <is>
          <t>A2–B2 + X1</t>
        </is>
      </c>
      <c r="N53" s="16" t="inlineStr">
        <is>
          <t>Consultant 3 · POD Lead 1 · IC 3</t>
        </is>
      </c>
    </row>
    <row r="54" ht="54" customHeight="1">
      <c r="A54" s="16" t="inlineStr"/>
      <c r="B54" s="16" t="inlineStr"/>
      <c r="C54" s="16" t="inlineStr">
        <is>
          <t>Engineering &amp; Architecture</t>
        </is>
      </c>
      <c r="D54" s="209" t="n"/>
      <c r="E54" s="16" t="inlineStr">
        <is>
          <t>Solution &amp; Technical Architecture</t>
        </is>
      </c>
      <c r="F54" s="209" t="n"/>
      <c r="G54" s="16" t="inlineStr">
        <is>
          <t>Designs system / solution architecture, integrations and technical standards; guides build teams.</t>
        </is>
      </c>
      <c r="H54" s="210" t="n"/>
      <c r="I54" s="209" t="n"/>
      <c r="J54" s="16" t="inlineStr">
        <is>
          <t>25 ICT professionals · 2511 Systems analysts / 2512 Software developers</t>
        </is>
      </c>
      <c r="K54" s="209" t="n"/>
      <c r="L54" s="15" t="n">
        <v>1</v>
      </c>
      <c r="M54" s="15" t="inlineStr">
        <is>
          <t>C1</t>
        </is>
      </c>
      <c r="N54" s="16" t="inlineStr">
        <is>
          <t>IC 1</t>
        </is>
      </c>
    </row>
    <row r="55" ht="54" customHeight="1">
      <c r="A55" s="16" t="inlineStr"/>
      <c r="B55" s="16" t="inlineStr"/>
      <c r="C55" s="16" t="inlineStr">
        <is>
          <t>Design &amp; Creative</t>
        </is>
      </c>
      <c r="D55" s="209" t="n"/>
      <c r="E55" s="16" t="inlineStr">
        <is>
          <t>UX / UI Design</t>
        </is>
      </c>
      <c r="F55" s="209" t="n"/>
      <c r="G55" s="16" t="inlineStr">
        <is>
          <t>Designs product screens, flows and prototypes.</t>
        </is>
      </c>
      <c r="H55" s="210" t="n"/>
      <c r="I55" s="209" t="n"/>
      <c r="J55" s="16" t="inlineStr">
        <is>
          <t>21 Science &amp; engineering professionals · 2166 Graphic &amp; multimedia designers</t>
        </is>
      </c>
      <c r="K55" s="209" t="n"/>
      <c r="L55" s="15" t="n">
        <v>1</v>
      </c>
      <c r="M55" s="15" t="inlineStr">
        <is>
          <t>A3</t>
        </is>
      </c>
      <c r="N55" s="16" t="inlineStr">
        <is>
          <t>IC 1</t>
        </is>
      </c>
    </row>
    <row r="56" ht="54" customHeight="1">
      <c r="A56" s="16" t="inlineStr"/>
      <c r="B56" s="16" t="inlineStr"/>
      <c r="C56" s="16" t="inlineStr">
        <is>
          <t>Product Management</t>
        </is>
      </c>
      <c r="D56" s="209" t="n"/>
      <c r="E56" s="16" t="inlineStr">
        <is>
          <t>Product Operations &amp; Research</t>
        </is>
      </c>
      <c r="F56" s="209" t="n"/>
      <c r="G56" s="16" t="inlineStr">
        <is>
          <t>Coordinates product activities and produces market / competitor research.</t>
        </is>
      </c>
      <c r="H56" s="210" t="n"/>
      <c r="I56" s="209" t="n"/>
      <c r="J56" s="16" t="inlineStr">
        <is>
          <t>24 Business &amp; administration professionals · 2421 Management &amp; organisation analysts</t>
        </is>
      </c>
      <c r="K56" s="209" t="n"/>
      <c r="L56" s="15" t="n">
        <v>1</v>
      </c>
      <c r="M56" s="15" t="inlineStr">
        <is>
          <t>A1</t>
        </is>
      </c>
      <c r="N56" s="16" t="inlineStr">
        <is>
          <t>IC 1</t>
        </is>
      </c>
    </row>
    <row r="57" ht="15" customHeight="1"/>
    <row r="58" ht="20" customHeight="1">
      <c r="A58" s="6" t="inlineStr">
        <is>
          <t>3. STEP 3 · Tracks — band × track</t>
        </is>
      </c>
    </row>
    <row r="59" ht="15" customHeight="1">
      <c r="A59" s="12" t="inlineStr">
        <is>
          <t>Band</t>
        </is>
      </c>
      <c r="B59" s="210" t="n"/>
      <c r="C59" s="209" t="n"/>
      <c r="D59" s="12" t="inlineStr">
        <is>
          <t>IC</t>
        </is>
      </c>
      <c r="E59" s="209" t="n"/>
      <c r="F59" s="12" t="inlineStr">
        <is>
          <t>POD Lead</t>
        </is>
      </c>
      <c r="G59" s="209" t="n"/>
      <c r="H59" s="12" t="inlineStr">
        <is>
          <t>Player-Coach</t>
        </is>
      </c>
      <c r="I59" s="209" t="n"/>
      <c r="J59" s="12" t="inlineStr">
        <is>
          <t>People Manager</t>
        </is>
      </c>
      <c r="K59" s="209" t="n"/>
      <c r="L59" s="12" t="inlineStr">
        <is>
          <t>Consultant</t>
        </is>
      </c>
      <c r="M59" s="209" t="n"/>
      <c r="N59" s="12" t="inlineStr">
        <is>
          <t>Total</t>
        </is>
      </c>
    </row>
    <row r="60" ht="15" customHeight="1">
      <c r="A60" s="24" t="inlineStr">
        <is>
          <t>A</t>
        </is>
      </c>
      <c r="B60" s="210" t="n"/>
      <c r="C60" s="209" t="n"/>
      <c r="D60" s="26" t="n">
        <v>16</v>
      </c>
      <c r="E60" s="209" t="n"/>
      <c r="F60" s="26" t="n">
        <v>0</v>
      </c>
      <c r="G60" s="209" t="n"/>
      <c r="H60" s="26" t="n">
        <v>0</v>
      </c>
      <c r="I60" s="209" t="n"/>
      <c r="J60" s="26" t="n">
        <v>0</v>
      </c>
      <c r="K60" s="209" t="n"/>
      <c r="L60" s="26" t="n">
        <v>0</v>
      </c>
      <c r="M60" s="209" t="n"/>
      <c r="N60" s="26" t="n">
        <v>16</v>
      </c>
    </row>
    <row r="61" ht="15" customHeight="1">
      <c r="A61" s="27" t="inlineStr">
        <is>
          <t>B</t>
        </is>
      </c>
      <c r="B61" s="210" t="n"/>
      <c r="C61" s="209" t="n"/>
      <c r="D61" s="20" t="n">
        <v>4</v>
      </c>
      <c r="E61" s="209" t="n"/>
      <c r="F61" s="20" t="n">
        <v>3</v>
      </c>
      <c r="G61" s="209" t="n"/>
      <c r="H61" s="20" t="n">
        <v>0</v>
      </c>
      <c r="I61" s="209" t="n"/>
      <c r="J61" s="20" t="n">
        <v>2</v>
      </c>
      <c r="K61" s="209" t="n"/>
      <c r="L61" s="20" t="n">
        <v>0</v>
      </c>
      <c r="M61" s="209" t="n"/>
      <c r="N61" s="20" t="n">
        <v>9</v>
      </c>
    </row>
    <row r="62" ht="15" customHeight="1">
      <c r="A62" s="28" t="inlineStr">
        <is>
          <t>B+</t>
        </is>
      </c>
      <c r="B62" s="210" t="n"/>
      <c r="C62" s="209" t="n"/>
      <c r="D62" s="30" t="n">
        <v>0</v>
      </c>
      <c r="E62" s="209" t="n"/>
      <c r="F62" s="30" t="n">
        <v>0</v>
      </c>
      <c r="G62" s="209" t="n"/>
      <c r="H62" s="30" t="n">
        <v>0</v>
      </c>
      <c r="I62" s="209" t="n"/>
      <c r="J62" s="30" t="n">
        <v>0</v>
      </c>
      <c r="K62" s="209" t="n"/>
      <c r="L62" s="30" t="n">
        <v>0</v>
      </c>
      <c r="M62" s="209" t="n"/>
      <c r="N62" s="30" t="n">
        <v>0</v>
      </c>
    </row>
    <row r="63" ht="15" customHeight="1">
      <c r="A63" s="31" t="inlineStr">
        <is>
          <t>C</t>
        </is>
      </c>
      <c r="B63" s="210" t="n"/>
      <c r="C63" s="209" t="n"/>
      <c r="D63" s="33" t="n">
        <v>2</v>
      </c>
      <c r="E63" s="209" t="n"/>
      <c r="F63" s="33" t="n">
        <v>0</v>
      </c>
      <c r="G63" s="209" t="n"/>
      <c r="H63" s="33" t="n">
        <v>0</v>
      </c>
      <c r="I63" s="209" t="n"/>
      <c r="J63" s="33" t="n">
        <v>0</v>
      </c>
      <c r="K63" s="209" t="n"/>
      <c r="L63" s="33" t="n">
        <v>0</v>
      </c>
      <c r="M63" s="209" t="n"/>
      <c r="N63" s="33" t="n">
        <v>2</v>
      </c>
    </row>
    <row r="64" ht="15" customHeight="1">
      <c r="A64" s="34" t="inlineStr">
        <is>
          <t>C+</t>
        </is>
      </c>
      <c r="B64" s="210" t="n"/>
      <c r="C64" s="209" t="n"/>
      <c r="D64" s="36" t="n">
        <v>0</v>
      </c>
      <c r="E64" s="209" t="n"/>
      <c r="F64" s="36" t="n">
        <v>0</v>
      </c>
      <c r="G64" s="209" t="n"/>
      <c r="H64" s="36" t="n">
        <v>0</v>
      </c>
      <c r="I64" s="209" t="n"/>
      <c r="J64" s="36" t="n">
        <v>0</v>
      </c>
      <c r="K64" s="209" t="n"/>
      <c r="L64" s="36" t="n">
        <v>0</v>
      </c>
      <c r="M64" s="209" t="n"/>
      <c r="N64" s="36" t="n">
        <v>0</v>
      </c>
    </row>
    <row r="65" ht="15" customHeight="1">
      <c r="A65" s="37" t="inlineStr">
        <is>
          <t>D</t>
        </is>
      </c>
      <c r="B65" s="210" t="n"/>
      <c r="C65" s="209" t="n"/>
      <c r="D65" s="39" t="n">
        <v>0</v>
      </c>
      <c r="E65" s="209" t="n"/>
      <c r="F65" s="39" t="n">
        <v>0</v>
      </c>
      <c r="G65" s="209" t="n"/>
      <c r="H65" s="39" t="n">
        <v>0</v>
      </c>
      <c r="I65" s="209" t="n"/>
      <c r="J65" s="39" t="n">
        <v>1</v>
      </c>
      <c r="K65" s="209" t="n"/>
      <c r="L65" s="39" t="n">
        <v>0</v>
      </c>
      <c r="M65" s="209" t="n"/>
      <c r="N65" s="39" t="n">
        <v>1</v>
      </c>
    </row>
    <row r="66" ht="15" customHeight="1">
      <c r="A66" s="40" t="inlineStr">
        <is>
          <t>E</t>
        </is>
      </c>
      <c r="B66" s="210" t="n"/>
      <c r="C66" s="209" t="n"/>
      <c r="D66" s="42" t="n">
        <v>0</v>
      </c>
      <c r="E66" s="209" t="n"/>
      <c r="F66" s="42" t="n">
        <v>0</v>
      </c>
      <c r="G66" s="209" t="n"/>
      <c r="H66" s="42" t="n">
        <v>0</v>
      </c>
      <c r="I66" s="209" t="n"/>
      <c r="J66" s="42" t="n">
        <v>0</v>
      </c>
      <c r="K66" s="209" t="n"/>
      <c r="L66" s="42" t="n">
        <v>0</v>
      </c>
      <c r="M66" s="209" t="n"/>
      <c r="N66" s="42" t="n">
        <v>0</v>
      </c>
    </row>
    <row r="67" ht="15" customHeight="1">
      <c r="A67" s="43" t="inlineStr">
        <is>
          <t>X</t>
        </is>
      </c>
      <c r="B67" s="210" t="n"/>
      <c r="C67" s="209" t="n"/>
      <c r="D67" s="45" t="n">
        <v>0</v>
      </c>
      <c r="E67" s="209" t="n"/>
      <c r="F67" s="45" t="n">
        <v>0</v>
      </c>
      <c r="G67" s="209" t="n"/>
      <c r="H67" s="45" t="n">
        <v>0</v>
      </c>
      <c r="I67" s="209" t="n"/>
      <c r="J67" s="45" t="n">
        <v>0</v>
      </c>
      <c r="K67" s="209" t="n"/>
      <c r="L67" s="45" t="n">
        <v>6</v>
      </c>
      <c r="M67" s="209" t="n"/>
      <c r="N67" s="45" t="n">
        <v>6</v>
      </c>
    </row>
    <row r="68" ht="15" customHeight="1">
      <c r="A68" s="46" t="inlineStr">
        <is>
          <t>Total</t>
        </is>
      </c>
      <c r="B68" s="210" t="n"/>
      <c r="C68" s="209" t="n"/>
      <c r="D68" s="47" t="n">
        <v>22</v>
      </c>
      <c r="E68" s="209" t="n"/>
      <c r="F68" s="47" t="n">
        <v>3</v>
      </c>
      <c r="G68" s="209" t="n"/>
      <c r="H68" s="47" t="n">
        <v>0</v>
      </c>
      <c r="I68" s="209" t="n"/>
      <c r="J68" s="47" t="n">
        <v>3</v>
      </c>
      <c r="K68" s="209" t="n"/>
      <c r="L68" s="47" t="n">
        <v>6</v>
      </c>
      <c r="M68" s="209" t="n"/>
      <c r="N68" s="47" t="n">
        <v>34</v>
      </c>
    </row>
    <row r="69" ht="15" customHeight="1"/>
    <row r="70" ht="20" customHeight="1">
      <c r="A70" s="6" t="inlineStr">
        <is>
          <t>4. STEPS 4–6 · Factors, weights and score</t>
        </is>
      </c>
    </row>
    <row r="71" ht="28" customHeight="1">
      <c r="A71" s="11" t="inlineStr">
        <is>
          <t>Weight set = base by band × track · Master W1 + tilt by the department's type of work; no tilt at Bands D–E; leaders can edit each department's row on the Weightage Matrix. Score = Σ rating × weight; the level is the nearest whole value.</t>
        </is>
      </c>
    </row>
    <row r="72" ht="15" customHeight="1">
      <c r="A72" s="12" t="inlineStr">
        <is>
          <t>ID</t>
        </is>
      </c>
      <c r="B72" s="12" t="inlineStr">
        <is>
          <t>Factor</t>
        </is>
      </c>
      <c r="C72" s="209" t="n"/>
      <c r="D72" s="12" t="inlineStr">
        <is>
          <t>What it measures</t>
        </is>
      </c>
      <c r="E72" s="210" t="n"/>
      <c r="F72" s="210" t="n"/>
      <c r="G72" s="210" t="n"/>
      <c r="H72" s="209" t="n"/>
      <c r="I72" s="12" t="inlineStr">
        <is>
          <t>Market equivalent</t>
        </is>
      </c>
      <c r="J72" s="210" t="n"/>
      <c r="K72" s="210" t="n"/>
      <c r="L72" s="210" t="n"/>
      <c r="M72" s="210" t="n"/>
      <c r="N72" s="209" t="n"/>
    </row>
    <row r="73" ht="28" customHeight="1">
      <c r="A73" s="13" t="inlineStr">
        <is>
          <t>F1</t>
        </is>
      </c>
      <c r="B73" s="16" t="inlineStr">
        <is>
          <t>Complexity &amp; Expertise</t>
        </is>
      </c>
      <c r="C73" s="209" t="n"/>
      <c r="D73" s="16" t="inlineStr">
        <is>
          <t>How hard and how specialised the work is; the knowledge it needs</t>
        </is>
      </c>
      <c r="E73" s="210" t="n"/>
      <c r="F73" s="210" t="n"/>
      <c r="G73" s="210" t="n"/>
      <c r="H73" s="209" t="n"/>
      <c r="I73" s="16" t="inlineStr">
        <is>
          <t>Hay Know-How · technical + Problem Solving · Mercer IPE Knowledge + Innovation · SFIA complexity · WTW GGS knowledge / problem solving</t>
        </is>
      </c>
      <c r="J73" s="210" t="n"/>
      <c r="K73" s="210" t="n"/>
      <c r="L73" s="210" t="n"/>
      <c r="M73" s="210" t="n"/>
      <c r="N73" s="209" t="n"/>
    </row>
    <row r="74" ht="28" customHeight="1">
      <c r="A74" s="13" t="inlineStr">
        <is>
          <t>F2</t>
        </is>
      </c>
      <c r="B74" s="16" t="inlineStr">
        <is>
          <t>Autonomy &amp; Decision</t>
        </is>
      </c>
      <c r="C74" s="209" t="n"/>
      <c r="D74" s="16" t="inlineStr">
        <is>
          <t>What the person can decide and act on without asking</t>
        </is>
      </c>
      <c r="E74" s="210" t="n"/>
      <c r="F74" s="210" t="n"/>
      <c r="G74" s="210" t="n"/>
      <c r="H74" s="209" t="n"/>
      <c r="I74" s="16" t="inlineStr">
        <is>
          <t>Hay Accountability — freedom to act · SFIA autonomy · Mercer IPE Impact</t>
        </is>
      </c>
      <c r="J74" s="210" t="n"/>
      <c r="K74" s="210" t="n"/>
      <c r="L74" s="210" t="n"/>
      <c r="M74" s="210" t="n"/>
      <c r="N74" s="209" t="n"/>
    </row>
    <row r="75" ht="28" customHeight="1">
      <c r="A75" s="13" t="inlineStr">
        <is>
          <t>F3</t>
        </is>
      </c>
      <c r="B75" s="16" t="inlineStr">
        <is>
          <t>Accountability &amp; Impact</t>
        </is>
      </c>
      <c r="C75" s="209" t="n"/>
      <c r="D75" s="16" t="inlineStr">
        <is>
          <t>What the role answers for, and the cost of getting it wrong</t>
        </is>
      </c>
      <c r="E75" s="210" t="n"/>
      <c r="F75" s="210" t="n"/>
      <c r="G75" s="210" t="n"/>
      <c r="H75" s="209" t="n"/>
      <c r="I75" s="16" t="inlineStr">
        <is>
          <t>Hay Accountability — magnitude and impact · Mercer IPE Impact</t>
        </is>
      </c>
      <c r="J75" s="210" t="n"/>
      <c r="K75" s="210" t="n"/>
      <c r="L75" s="210" t="n"/>
      <c r="M75" s="210" t="n"/>
      <c r="N75" s="209" t="n"/>
    </row>
    <row r="76" ht="28" customHeight="1">
      <c r="A76" s="13" t="inlineStr">
        <is>
          <t>F4</t>
        </is>
      </c>
      <c r="B76" s="16" t="inlineStr">
        <is>
          <t>Leadership &amp; Strategy</t>
        </is>
      </c>
      <c r="C76" s="209" t="n"/>
      <c r="D76" s="16" t="inlineStr">
        <is>
          <t>Leading people and shaping direction</t>
        </is>
      </c>
      <c r="E76" s="210" t="n"/>
      <c r="F76" s="210" t="n"/>
      <c r="G76" s="210" t="n"/>
      <c r="H76" s="209" t="n"/>
      <c r="I76" s="16" t="inlineStr">
        <is>
          <t>Hay Know-How · managerial, human relations · Mercer IPE Communication · SFIA influence</t>
        </is>
      </c>
      <c r="J76" s="210" t="n"/>
      <c r="K76" s="210" t="n"/>
      <c r="L76" s="210" t="n"/>
      <c r="M76" s="210" t="n"/>
      <c r="N76" s="209" t="n"/>
    </row>
    <row r="77" ht="41" customHeight="1">
      <c r="A77" s="13" t="inlineStr">
        <is>
          <t>F5</t>
        </is>
      </c>
      <c r="B77" s="16" t="inlineStr">
        <is>
          <t>Experience &amp; Qualification</t>
        </is>
      </c>
      <c r="C77" s="209" t="n"/>
      <c r="D77" s="16" t="inlineStr">
        <is>
          <t>Total experience on the same ladder scale, adjusted for qualification — weighted low by design: 10% in Bands A–B, 5% in Bands C–E</t>
        </is>
      </c>
      <c r="E77" s="210" t="n"/>
      <c r="F77" s="210" t="n"/>
      <c r="G77" s="210" t="n"/>
      <c r="H77" s="209" t="n"/>
      <c r="I77" s="16" t="inlineStr">
        <is>
          <t>Hay Know-How · depth / breadth · Radford / Infosys / Accenture experience norms</t>
        </is>
      </c>
      <c r="J77" s="210" t="n"/>
      <c r="K77" s="210" t="n"/>
      <c r="L77" s="210" t="n"/>
      <c r="M77" s="210" t="n"/>
      <c r="N77" s="209" t="n"/>
    </row>
    <row r="78" ht="28" customHeight="1">
      <c r="A78" s="13" t="inlineStr">
        <is>
          <t>F6</t>
        </is>
      </c>
      <c r="B78" s="16" t="inlineStr">
        <is>
          <t>Business Impact</t>
        </is>
      </c>
      <c r="C78" s="209" t="n"/>
      <c r="D78" s="16" t="inlineStr">
        <is>
          <t>The difference the role makes to revenue, clients, compliance or cost</t>
        </is>
      </c>
      <c r="E78" s="210" t="n"/>
      <c r="F78" s="210" t="n"/>
      <c r="G78" s="210" t="n"/>
      <c r="H78" s="209" t="n"/>
      <c r="I78" s="16" t="inlineStr">
        <is>
          <t>Mercer IPE Impact · Hay Accountability — nature of impact · WTW GGS business impact</t>
        </is>
      </c>
      <c r="J78" s="210" t="n"/>
      <c r="K78" s="210" t="n"/>
      <c r="L78" s="210" t="n"/>
      <c r="M78" s="210" t="n"/>
      <c r="N78" s="209" t="n"/>
    </row>
    <row r="79" ht="15" customHeight="1"/>
    <row r="80" ht="28" customHeight="1">
      <c r="A80" s="12" t="inlineStr">
        <is>
          <t>Set ID</t>
        </is>
      </c>
      <c r="B80" s="12" t="inlineStr">
        <is>
          <t>Type of work</t>
        </is>
      </c>
      <c r="C80" s="209" t="n"/>
      <c r="D80" s="12" t="inlineStr">
        <is>
          <t>Band / track</t>
        </is>
      </c>
      <c r="E80" s="209" t="n"/>
      <c r="F80" s="12" t="inlineStr">
        <is>
          <t>Base</t>
        </is>
      </c>
      <c r="G80" s="209" t="n"/>
      <c r="H80" s="12" t="inlineStr">
        <is>
          <t>Tilt</t>
        </is>
      </c>
      <c r="I80" s="209" t="n"/>
      <c r="J80" s="12" t="inlineStr">
        <is>
          <t>Complexity %</t>
        </is>
      </c>
      <c r="K80" s="12" t="inlineStr">
        <is>
          <t>Autonomy %</t>
        </is>
      </c>
      <c r="L80" s="12" t="inlineStr">
        <is>
          <t>Accountability %</t>
        </is>
      </c>
      <c r="M80" s="12" t="inlineStr">
        <is>
          <t>Leadership %</t>
        </is>
      </c>
      <c r="N80" s="12" t="inlineStr">
        <is>
          <t>Exp. &amp; Qual. %</t>
        </is>
      </c>
      <c r="O80" s="12" t="inlineStr">
        <is>
          <t>Bus. Impact %</t>
        </is>
      </c>
      <c r="P80" s="12" t="inlineStr">
        <is>
          <t>People</t>
        </is>
      </c>
    </row>
    <row r="81" ht="28" customHeight="1">
      <c r="A81" s="13" t="inlineStr">
        <is>
          <t>GM-DE</t>
        </is>
      </c>
      <c r="B81" s="16" t="inlineStr">
        <is>
          <t>General management</t>
        </is>
      </c>
      <c r="C81" s="209" t="n"/>
      <c r="D81" s="16" t="inlineStr">
        <is>
          <t>Bands D–E</t>
        </is>
      </c>
      <c r="E81" s="209" t="n"/>
      <c r="F81" s="15" t="inlineStr">
        <is>
          <t>37 / 19 / 11 / 20 / 5 / 8</t>
        </is>
      </c>
      <c r="G81" s="209" t="n"/>
      <c r="H81" s="15" t="inlineStr">
        <is>
          <t>0 / 0 / 0 / 0 / 0 / 0</t>
        </is>
      </c>
      <c r="I81" s="209" t="n"/>
      <c r="J81" s="203" t="n">
        <v>0.37</v>
      </c>
      <c r="K81" s="203" t="n">
        <v>0.19</v>
      </c>
      <c r="L81" s="203" t="n">
        <v>0.11</v>
      </c>
      <c r="M81" s="203" t="n">
        <v>0.2</v>
      </c>
      <c r="N81" s="203" t="n">
        <v>0.05</v>
      </c>
      <c r="O81" s="203" t="n">
        <v>0.08</v>
      </c>
      <c r="P81" s="15" t="n">
        <v>1</v>
      </c>
    </row>
    <row r="82" ht="28" customHeight="1">
      <c r="A82" s="13" t="inlineStr">
        <is>
          <t>PP-B-IC</t>
        </is>
      </c>
      <c r="B82" s="16" t="inlineStr">
        <is>
          <t>Product &amp; programme</t>
        </is>
      </c>
      <c r="C82" s="209" t="n"/>
      <c r="D82" s="16" t="inlineStr">
        <is>
          <t>Band B · IC / POD Lead</t>
        </is>
      </c>
      <c r="E82" s="209" t="n"/>
      <c r="F82" s="15" t="inlineStr">
        <is>
          <t>51 / 17 / 10 / 5 / 10 / 7</t>
        </is>
      </c>
      <c r="G82" s="209" t="n"/>
      <c r="H82" s="15" t="inlineStr">
        <is>
          <t>-5 / +5 / 0 / 0 / 0 / 0</t>
        </is>
      </c>
      <c r="I82" s="209" t="n"/>
      <c r="J82" s="203" t="n">
        <v>0.46</v>
      </c>
      <c r="K82" s="203" t="n">
        <v>0.22</v>
      </c>
      <c r="L82" s="203" t="n">
        <v>0.1</v>
      </c>
      <c r="M82" s="203" t="n">
        <v>0.05</v>
      </c>
      <c r="N82" s="203" t="n">
        <v>0.1</v>
      </c>
      <c r="O82" s="203" t="n">
        <v>0.07000000000000001</v>
      </c>
      <c r="P82" s="15" t="n">
        <v>4</v>
      </c>
    </row>
    <row r="83" ht="28" customHeight="1">
      <c r="A83" s="13" t="inlineStr">
        <is>
          <t>PP-B-M</t>
        </is>
      </c>
      <c r="B83" s="16" t="inlineStr">
        <is>
          <t>Product &amp; programme</t>
        </is>
      </c>
      <c r="C83" s="209" t="n"/>
      <c r="D83" s="16" t="inlineStr">
        <is>
          <t>Band B · People Manager</t>
        </is>
      </c>
      <c r="E83" s="209" t="n"/>
      <c r="F83" s="15" t="inlineStr">
        <is>
          <t>37 / 18 / 11 / 15 / 10 / 9</t>
        </is>
      </c>
      <c r="G83" s="209" t="n"/>
      <c r="H83" s="15" t="inlineStr">
        <is>
          <t>-5 / +5 / 0 / 0 / 0 / 0</t>
        </is>
      </c>
      <c r="I83" s="209" t="n"/>
      <c r="J83" s="203" t="n">
        <v>0.32</v>
      </c>
      <c r="K83" s="203" t="n">
        <v>0.23</v>
      </c>
      <c r="L83" s="203" t="n">
        <v>0.11</v>
      </c>
      <c r="M83" s="203" t="n">
        <v>0.15</v>
      </c>
      <c r="N83" s="203" t="n">
        <v>0.1</v>
      </c>
      <c r="O83" s="203" t="n">
        <v>0.09</v>
      </c>
      <c r="P83" s="15" t="n">
        <v>1</v>
      </c>
    </row>
    <row r="84" ht="28" customHeight="1">
      <c r="A84" s="13" t="inlineStr">
        <is>
          <t>SM-A</t>
        </is>
      </c>
      <c r="B84" s="16" t="inlineStr">
        <is>
          <t>Sales &amp; marketing</t>
        </is>
      </c>
      <c r="C84" s="209" t="n"/>
      <c r="D84" s="16" t="inlineStr">
        <is>
          <t>Band A</t>
        </is>
      </c>
      <c r="E84" s="209" t="n"/>
      <c r="F84" s="15" t="inlineStr">
        <is>
          <t>59 / 16 / 9 / 0 / 10 / 6</t>
        </is>
      </c>
      <c r="G84" s="209" t="n"/>
      <c r="H84" s="15" t="inlineStr">
        <is>
          <t>-5 / +5 / -5 / 0 / 0 / +5</t>
        </is>
      </c>
      <c r="I84" s="209" t="n"/>
      <c r="J84" s="203" t="n">
        <v>0.54</v>
      </c>
      <c r="K84" s="203" t="n">
        <v>0.21</v>
      </c>
      <c r="L84" s="203" t="n">
        <v>0.04</v>
      </c>
      <c r="M84" s="203" t="n">
        <v>0</v>
      </c>
      <c r="N84" s="203" t="n">
        <v>0.1</v>
      </c>
      <c r="O84" s="203" t="n">
        <v>0.11</v>
      </c>
      <c r="P84" s="15" t="n">
        <v>9</v>
      </c>
    </row>
    <row r="85" ht="28" customHeight="1">
      <c r="A85" s="13" t="inlineStr">
        <is>
          <t>SM-B-IC</t>
        </is>
      </c>
      <c r="B85" s="16" t="inlineStr">
        <is>
          <t>Sales &amp; marketing</t>
        </is>
      </c>
      <c r="C85" s="209" t="n"/>
      <c r="D85" s="16" t="inlineStr">
        <is>
          <t>Band B · IC / POD Lead</t>
        </is>
      </c>
      <c r="E85" s="209" t="n"/>
      <c r="F85" s="15" t="inlineStr">
        <is>
          <t>51 / 17 / 10 / 5 / 10 / 7</t>
        </is>
      </c>
      <c r="G85" s="209" t="n"/>
      <c r="H85" s="15" t="inlineStr">
        <is>
          <t>-5 / +5 / -5 / 0 / 0 / +5</t>
        </is>
      </c>
      <c r="I85" s="209" t="n"/>
      <c r="J85" s="203" t="n">
        <v>0.46</v>
      </c>
      <c r="K85" s="203" t="n">
        <v>0.22</v>
      </c>
      <c r="L85" s="203" t="n">
        <v>0.05</v>
      </c>
      <c r="M85" s="203" t="n">
        <v>0.05</v>
      </c>
      <c r="N85" s="203" t="n">
        <v>0.1</v>
      </c>
      <c r="O85" s="203" t="n">
        <v>0.12</v>
      </c>
      <c r="P85" s="15" t="n">
        <v>2</v>
      </c>
    </row>
    <row r="86" ht="28" customHeight="1">
      <c r="A86" s="13" t="inlineStr">
        <is>
          <t>SM-B-M</t>
        </is>
      </c>
      <c r="B86" s="16" t="inlineStr">
        <is>
          <t>Sales &amp; marketing</t>
        </is>
      </c>
      <c r="C86" s="209" t="n"/>
      <c r="D86" s="16" t="inlineStr">
        <is>
          <t>Band B · People Manager</t>
        </is>
      </c>
      <c r="E86" s="209" t="n"/>
      <c r="F86" s="15" t="inlineStr">
        <is>
          <t>37 / 18 / 11 / 15 / 10 / 9</t>
        </is>
      </c>
      <c r="G86" s="209" t="n"/>
      <c r="H86" s="15" t="inlineStr">
        <is>
          <t>-5 / +5 / -5 / 0 / 0 / +5</t>
        </is>
      </c>
      <c r="I86" s="209" t="n"/>
      <c r="J86" s="203" t="n">
        <v>0.32</v>
      </c>
      <c r="K86" s="203" t="n">
        <v>0.23</v>
      </c>
      <c r="L86" s="203" t="n">
        <v>0.06</v>
      </c>
      <c r="M86" s="203" t="n">
        <v>0.15</v>
      </c>
      <c r="N86" s="203" t="n">
        <v>0.1</v>
      </c>
      <c r="O86" s="203" t="n">
        <v>0.14</v>
      </c>
      <c r="P86" s="15" t="n">
        <v>1</v>
      </c>
    </row>
    <row r="87" ht="28" customHeight="1">
      <c r="A87" s="13" t="inlineStr">
        <is>
          <t>SM-C-IC</t>
        </is>
      </c>
      <c r="B87" s="16" t="inlineStr">
        <is>
          <t>Sales &amp; marketing</t>
        </is>
      </c>
      <c r="C87" s="209" t="n"/>
      <c r="D87" s="16" t="inlineStr">
        <is>
          <t>Band C · Principal specialist</t>
        </is>
      </c>
      <c r="E87" s="209" t="n"/>
      <c r="F87" s="15" t="inlineStr">
        <is>
          <t>54 / 18 / 10 / 5 / 5 / 8</t>
        </is>
      </c>
      <c r="G87" s="209" t="n"/>
      <c r="H87" s="15" t="inlineStr">
        <is>
          <t>-5 / +5 / -5 / 0 / 0 / +5</t>
        </is>
      </c>
      <c r="I87" s="209" t="n"/>
      <c r="J87" s="203" t="n">
        <v>0.49</v>
      </c>
      <c r="K87" s="203" t="n">
        <v>0.23</v>
      </c>
      <c r="L87" s="203" t="n">
        <v>0.05</v>
      </c>
      <c r="M87" s="203" t="n">
        <v>0.05</v>
      </c>
      <c r="N87" s="203" t="n">
        <v>0.05</v>
      </c>
      <c r="O87" s="203" t="n">
        <v>0.13</v>
      </c>
      <c r="P87" s="15" t="n">
        <v>1</v>
      </c>
    </row>
    <row r="88" ht="28" customHeight="1">
      <c r="A88" s="13" t="inlineStr">
        <is>
          <t>TE-A</t>
        </is>
      </c>
      <c r="B88" s="16" t="inlineStr">
        <is>
          <t>Technology &amp; engineering</t>
        </is>
      </c>
      <c r="C88" s="209" t="n"/>
      <c r="D88" s="16" t="inlineStr">
        <is>
          <t>Band A</t>
        </is>
      </c>
      <c r="E88" s="209" t="n"/>
      <c r="F88" s="15" t="inlineStr">
        <is>
          <t>59 / 16 / 9 / 0 / 10 / 6</t>
        </is>
      </c>
      <c r="G88" s="209" t="n"/>
      <c r="H88" s="15" t="inlineStr">
        <is>
          <t>+5 / 0 / -5 / 0 / 0 / 0</t>
        </is>
      </c>
      <c r="I88" s="209" t="n"/>
      <c r="J88" s="203" t="n">
        <v>0.64</v>
      </c>
      <c r="K88" s="203" t="n">
        <v>0.16</v>
      </c>
      <c r="L88" s="203" t="n">
        <v>0.04</v>
      </c>
      <c r="M88" s="203" t="n">
        <v>0</v>
      </c>
      <c r="N88" s="203" t="n">
        <v>0.1</v>
      </c>
      <c r="O88" s="203" t="n">
        <v>0.06</v>
      </c>
      <c r="P88" s="15" t="n">
        <v>6</v>
      </c>
    </row>
    <row r="89" ht="28" customHeight="1">
      <c r="A89" s="13" t="inlineStr">
        <is>
          <t>TE-B-IC</t>
        </is>
      </c>
      <c r="B89" s="16" t="inlineStr">
        <is>
          <t>Technology &amp; engineering</t>
        </is>
      </c>
      <c r="C89" s="209" t="n"/>
      <c r="D89" s="16" t="inlineStr">
        <is>
          <t>Band B · IC / POD Lead</t>
        </is>
      </c>
      <c r="E89" s="209" t="n"/>
      <c r="F89" s="15" t="inlineStr">
        <is>
          <t>51 / 17 / 10 / 5 / 10 / 7</t>
        </is>
      </c>
      <c r="G89" s="209" t="n"/>
      <c r="H89" s="15" t="inlineStr">
        <is>
          <t>+5 / 0 / -5 / 0 / 0 / 0</t>
        </is>
      </c>
      <c r="I89" s="209" t="n"/>
      <c r="J89" s="203" t="n">
        <v>0.5600000000000001</v>
      </c>
      <c r="K89" s="203" t="n">
        <v>0.17</v>
      </c>
      <c r="L89" s="203" t="n">
        <v>0.05</v>
      </c>
      <c r="M89" s="203" t="n">
        <v>0.05</v>
      </c>
      <c r="N89" s="203" t="n">
        <v>0.1</v>
      </c>
      <c r="O89" s="203" t="n">
        <v>0.07000000000000001</v>
      </c>
      <c r="P89" s="15" t="n">
        <v>1</v>
      </c>
    </row>
    <row r="90" ht="28" customHeight="1">
      <c r="A90" s="13" t="inlineStr">
        <is>
          <t>TE-C-IC</t>
        </is>
      </c>
      <c r="B90" s="16" t="inlineStr">
        <is>
          <t>Technology &amp; engineering</t>
        </is>
      </c>
      <c r="C90" s="209" t="n"/>
      <c r="D90" s="16" t="inlineStr">
        <is>
          <t>Band C · Principal specialist</t>
        </is>
      </c>
      <c r="E90" s="209" t="n"/>
      <c r="F90" s="15" t="inlineStr">
        <is>
          <t>54 / 18 / 10 / 5 / 5 / 8</t>
        </is>
      </c>
      <c r="G90" s="209" t="n"/>
      <c r="H90" s="15" t="inlineStr">
        <is>
          <t>+5 / 0 / -5 / 0 / 0 / 0</t>
        </is>
      </c>
      <c r="I90" s="209" t="n"/>
      <c r="J90" s="203" t="n">
        <v>0.59</v>
      </c>
      <c r="K90" s="203" t="n">
        <v>0.18</v>
      </c>
      <c r="L90" s="203" t="n">
        <v>0.05</v>
      </c>
      <c r="M90" s="203" t="n">
        <v>0.05</v>
      </c>
      <c r="N90" s="203" t="n">
        <v>0.05</v>
      </c>
      <c r="O90" s="203" t="n">
        <v>0.08</v>
      </c>
      <c r="P90" s="15" t="n">
        <v>1</v>
      </c>
    </row>
    <row r="91" ht="15" customHeight="1"/>
    <row r="92" ht="15" customHeight="1">
      <c r="A92" s="11" t="inlineStr">
        <is>
          <t>Default sets by the department's main type of work. Leaders can change any department's row on the Weightage Matrix; sheet 2 uses the matrix.</t>
        </is>
      </c>
    </row>
    <row r="93" ht="54" customHeight="1">
      <c r="A93" s="11" t="inlineStr">
        <is>
          <r>
            <rPr>
              <rFont val="Calibri"/>
              <b val="1"/>
              <i val="1"/>
              <color rgb="00595959"/>
              <sz val="10"/>
            </rPr>
            <t>Why the tilts:</t>
          </r>
          <r>
            <rPr>
              <rFont val="Calibri"/>
              <i val="1"/>
              <color rgb="00595959"/>
              <sz val="10"/>
            </rPr>
            <t xml:space="preserve"> General management — General management is assessed on the base weights. Basis: S06 Hay short profile; the ±5 size is an IRIS rule. · Product &amp; programme — Wide freedom to act: product roles decide trade-offs → +5 Autonomy, −5 Complexity. Basis: S06 Hay short profile; the ±5 size is an IRIS rule. · Sales &amp; marketing — Judged on pipeline and revenue → +5 Business Impact, +5 Autonomy, −5 Complexity, −5 Accountability. Basis: S06 Hay short profile; the ±5 size is an IRIS rule. · Technology &amp; engineering — Thinking-led: value comes from technical depth → +5 Complexity, −5 Accountability. Basis: S06 Hay short profile; the ±5 size is an IRIS rule.</t>
          </r>
        </is>
      </c>
    </row>
    <row r="94" ht="15" customHeight="1"/>
    <row r="95" ht="20" customHeight="1">
      <c r="A95" s="6" t="inlineStr">
        <is>
          <t>5. STEP 7 · Limits and gates — rules R1–R10, in the order applied</t>
        </is>
      </c>
    </row>
    <row r="96" ht="15" customHeight="1">
      <c r="A96" s="12" t="inlineStr">
        <is>
          <t>ID</t>
        </is>
      </c>
      <c r="B96" s="12" t="inlineStr">
        <is>
          <t>Rule</t>
        </is>
      </c>
      <c r="C96" s="210" t="n"/>
      <c r="D96" s="210" t="n"/>
      <c r="E96" s="210" t="n"/>
      <c r="F96" s="210" t="n"/>
      <c r="G96" s="210" t="n"/>
      <c r="H96" s="210" t="n"/>
      <c r="I96" s="210" t="n"/>
      <c r="J96" s="210" t="n"/>
      <c r="K96" s="210" t="n"/>
      <c r="L96" s="209" t="n"/>
      <c r="M96" s="12" t="inlineStr">
        <is>
          <t>People here</t>
        </is>
      </c>
      <c r="N96" s="209" t="n"/>
    </row>
    <row r="97" ht="15" customHeight="1">
      <c r="A97" s="13" t="inlineStr">
        <is>
          <t>R1</t>
        </is>
      </c>
      <c r="B97" s="16" t="inlineStr">
        <is>
          <r>
            <rPr>
              <rFont val="Calibri"/>
              <b val="1"/>
              <sz val="10"/>
            </rPr>
            <t>Category rule:</t>
          </r>
          <r>
            <rPr>
              <rFont val="Calibri"/>
              <sz val="10"/>
            </rPr>
            <t xml:space="preserve"> interns and trainees in their first year at IRIS → A1; consultants → X1–X3 · outside the ladder</t>
          </r>
        </is>
      </c>
      <c r="C97" s="210" t="n"/>
      <c r="D97" s="210" t="n"/>
      <c r="E97" s="210" t="n"/>
      <c r="F97" s="210" t="n"/>
      <c r="G97" s="210" t="n"/>
      <c r="H97" s="210" t="n"/>
      <c r="I97" s="210" t="n"/>
      <c r="J97" s="210" t="n"/>
      <c r="K97" s="210" t="n"/>
      <c r="L97" s="209" t="n"/>
      <c r="M97" s="15" t="n">
        <v>7</v>
      </c>
      <c r="N97" s="209" t="n"/>
    </row>
    <row r="98" ht="15" customHeight="1">
      <c r="A98" s="13" t="inlineStr">
        <is>
          <t>R2</t>
        </is>
      </c>
      <c r="B98" s="16" t="inlineStr">
        <is>
          <r>
            <rPr>
              <rFont val="Calibri"/>
              <b val="1"/>
              <sz val="10"/>
            </rPr>
            <t>Provisional:</t>
          </r>
          <r>
            <rPr>
              <rFont val="Calibri"/>
              <sz val="10"/>
            </rPr>
            <t xml:space="preserve"> experience to be confirmed by HR — level kept until confirmed</t>
          </r>
        </is>
      </c>
      <c r="C98" s="210" t="n"/>
      <c r="D98" s="210" t="n"/>
      <c r="E98" s="210" t="n"/>
      <c r="F98" s="210" t="n"/>
      <c r="G98" s="210" t="n"/>
      <c r="H98" s="210" t="n"/>
      <c r="I98" s="210" t="n"/>
      <c r="J98" s="210" t="n"/>
      <c r="K98" s="210" t="n"/>
      <c r="L98" s="209" t="n"/>
      <c r="M98" s="15" t="n">
        <v>3</v>
      </c>
      <c r="N98" s="209" t="n"/>
    </row>
    <row r="99" ht="28" customHeight="1">
      <c r="A99" s="13" t="inlineStr">
        <is>
          <t>R3</t>
        </is>
      </c>
      <c r="B99" s="16" t="inlineStr">
        <is>
          <t>Weighted score on each band's own weights; the person sits in the highest band where the score holds, rounded to the nearest level</t>
        </is>
      </c>
      <c r="C99" s="210" t="n"/>
      <c r="D99" s="210" t="n"/>
      <c r="E99" s="210" t="n"/>
      <c r="F99" s="210" t="n"/>
      <c r="G99" s="210" t="n"/>
      <c r="H99" s="210" t="n"/>
      <c r="I99" s="210" t="n"/>
      <c r="J99" s="210" t="n"/>
      <c r="K99" s="210" t="n"/>
      <c r="L99" s="209" t="n"/>
      <c r="M99" s="15" t="n">
        <v>27</v>
      </c>
      <c r="N99" s="209" t="n"/>
    </row>
    <row r="100" ht="28" customHeight="1">
      <c r="A100" s="13" t="inlineStr">
        <is>
          <t>R4</t>
        </is>
      </c>
      <c r="B100" s="16" t="inlineStr">
        <is>
          <r>
            <rPr>
              <rFont val="Calibri"/>
              <b val="1"/>
              <sz val="10"/>
            </rPr>
            <t>Role-substance limit:</t>
          </r>
          <r>
            <rPr>
              <rFont val="Calibri"/>
              <sz val="10"/>
            </rPr>
            <t xml:space="preserve"> at most one level above what Complexity and Accountability show · this is the Band B gate at B1; people managers exempt — the reporting structure is the evidence</t>
          </r>
        </is>
      </c>
      <c r="C100" s="210" t="n"/>
      <c r="D100" s="210" t="n"/>
      <c r="E100" s="210" t="n"/>
      <c r="F100" s="210" t="n"/>
      <c r="G100" s="210" t="n"/>
      <c r="H100" s="210" t="n"/>
      <c r="I100" s="210" t="n"/>
      <c r="J100" s="210" t="n"/>
      <c r="K100" s="210" t="n"/>
      <c r="L100" s="209" t="n"/>
      <c r="M100" s="15" t="n">
        <v>0</v>
      </c>
      <c r="N100" s="209" t="n"/>
    </row>
    <row r="101" ht="28" customHeight="1">
      <c r="A101" s="13" t="inlineStr">
        <is>
          <t>R5</t>
        </is>
      </c>
      <c r="B101" s="16" t="inlineStr">
        <is>
          <r>
            <rPr>
              <rFont val="Calibri"/>
              <b val="1"/>
              <sz val="10"/>
            </rPr>
            <t>Structural gate:</t>
          </r>
          <r>
            <rPr>
              <rFont val="Calibri"/>
              <sz val="10"/>
            </rPr>
            <t xml:space="preserve"> C1+ needs a function / sub-function or principal authority, C2 a function or company-wide discipline, D a business line, E an enterprise mandate, B3 on the manager track team leads or 10+ people — evidenced by the org chart</t>
          </r>
        </is>
      </c>
      <c r="C101" s="210" t="n"/>
      <c r="D101" s="210" t="n"/>
      <c r="E101" s="210" t="n"/>
      <c r="F101" s="210" t="n"/>
      <c r="G101" s="210" t="n"/>
      <c r="H101" s="210" t="n"/>
      <c r="I101" s="210" t="n"/>
      <c r="J101" s="210" t="n"/>
      <c r="K101" s="210" t="n"/>
      <c r="L101" s="209" t="n"/>
      <c r="M101" s="15" t="n">
        <v>2</v>
      </c>
      <c r="N101" s="209" t="n"/>
    </row>
    <row r="102" ht="15" customHeight="1">
      <c r="A102" s="13" t="inlineStr">
        <is>
          <t>R6</t>
        </is>
      </c>
      <c r="B102" s="16" t="inlineStr">
        <is>
          <r>
            <rPr>
              <rFont val="Calibri"/>
              <b val="1"/>
              <sz val="10"/>
            </rPr>
            <t>Top of band:</t>
          </r>
          <r>
            <rPr>
              <rFont val="Calibri"/>
              <sz val="10"/>
            </rPr>
            <t xml:space="preserve"> the score passes the band but does not hold on the next band's weights</t>
          </r>
        </is>
      </c>
      <c r="C102" s="210" t="n"/>
      <c r="D102" s="210" t="n"/>
      <c r="E102" s="210" t="n"/>
      <c r="F102" s="210" t="n"/>
      <c r="G102" s="210" t="n"/>
      <c r="H102" s="210" t="n"/>
      <c r="I102" s="210" t="n"/>
      <c r="J102" s="210" t="n"/>
      <c r="K102" s="210" t="n"/>
      <c r="L102" s="209" t="n"/>
      <c r="M102" s="15" t="n">
        <v>0</v>
      </c>
      <c r="N102" s="209" t="n"/>
    </row>
    <row r="103" ht="15" customHeight="1">
      <c r="A103" s="13" t="inlineStr">
        <is>
          <t>R7</t>
        </is>
      </c>
      <c r="B103" s="16" t="inlineStr">
        <is>
          <r>
            <rPr>
              <rFont val="Calibri"/>
              <b val="1"/>
              <sz val="10"/>
            </rPr>
            <t>Band A experience rule:</t>
          </r>
          <r>
            <rPr>
              <rFont val="Calibri"/>
              <sz val="10"/>
            </rPr>
            <t xml:space="preserve"> under 1 yr → A2 at most; 2+ yrs → A3 · still subject to R4; between 1 and 2 yrs the score decides</t>
          </r>
        </is>
      </c>
      <c r="C103" s="210" t="n"/>
      <c r="D103" s="210" t="n"/>
      <c r="E103" s="210" t="n"/>
      <c r="F103" s="210" t="n"/>
      <c r="G103" s="210" t="n"/>
      <c r="H103" s="210" t="n"/>
      <c r="I103" s="210" t="n"/>
      <c r="J103" s="210" t="n"/>
      <c r="K103" s="210" t="n"/>
      <c r="L103" s="209" t="n"/>
      <c r="M103" s="15" t="n">
        <v>7</v>
      </c>
      <c r="N103" s="209" t="n"/>
    </row>
    <row r="104" ht="15" customHeight="1">
      <c r="A104" s="13" t="inlineStr">
        <is>
          <t>R8</t>
        </is>
      </c>
      <c r="B104" s="16" t="inlineStr">
        <is>
          <r>
            <rPr>
              <rFont val="Calibri"/>
              <b val="1"/>
              <sz val="10"/>
            </rPr>
            <t>Experience limit:</t>
          </r>
          <r>
            <rPr>
              <rFont val="Calibri"/>
              <sz val="10"/>
            </rPr>
            <t xml:space="preserve"> in Bands A–B at most one level above the experience-fit level · people managers exempt — structure is the proof</t>
          </r>
        </is>
      </c>
      <c r="C104" s="210" t="n"/>
      <c r="D104" s="210" t="n"/>
      <c r="E104" s="210" t="n"/>
      <c r="F104" s="210" t="n"/>
      <c r="G104" s="210" t="n"/>
      <c r="H104" s="210" t="n"/>
      <c r="I104" s="210" t="n"/>
      <c r="J104" s="210" t="n"/>
      <c r="K104" s="210" t="n"/>
      <c r="L104" s="209" t="n"/>
      <c r="M104" s="15" t="n">
        <v>0</v>
      </c>
      <c r="N104" s="209" t="n"/>
    </row>
    <row r="105" ht="15" customHeight="1">
      <c r="A105" s="13" t="inlineStr">
        <is>
          <t>R9</t>
        </is>
      </c>
      <c r="B105" s="16" t="inlineStr">
        <is>
          <r>
            <rPr>
              <rFont val="Calibri"/>
              <b val="1"/>
              <sz val="10"/>
            </rPr>
            <t>Track minimum:</t>
          </r>
          <r>
            <rPr>
              <rFont val="Calibri"/>
              <sz val="10"/>
            </rPr>
            <t xml:space="preserve"> POD Leads and People Managers sit at B1 or above</t>
          </r>
        </is>
      </c>
      <c r="C105" s="210" t="n"/>
      <c r="D105" s="210" t="n"/>
      <c r="E105" s="210" t="n"/>
      <c r="F105" s="210" t="n"/>
      <c r="G105" s="210" t="n"/>
      <c r="H105" s="210" t="n"/>
      <c r="I105" s="210" t="n"/>
      <c r="J105" s="210" t="n"/>
      <c r="K105" s="210" t="n"/>
      <c r="L105" s="209" t="n"/>
      <c r="M105" s="15" t="n">
        <v>0</v>
      </c>
      <c r="N105" s="209" t="n"/>
    </row>
    <row r="106" ht="67" customHeight="1">
      <c r="A106" s="13" t="inlineStr">
        <is>
          <t>R10</t>
        </is>
      </c>
      <c r="B106" s="16" t="inlineStr">
        <is>
          <r>
            <rPr>
              <rFont val="Calibri"/>
              <b val="1"/>
              <sz val="10"/>
            </rPr>
            <t>Player-Coach transition step:</t>
          </r>
          <r>
            <rPr>
              <rFont val="Calibri"/>
              <sz val="10"/>
            </rPr>
            <t xml:space="preserve"> at B3 or C2, a person who leads people while still delivering hands-on work moves to the Player-Coach transition step above · B+, between B3 and C1; C+, between C2 and D1 when the score on the Player-Coach weights reaches 6.25 for B+ / 8.25 for C+ and the Complexity–Accountability average reaches 5.5 / 7.5. A shortfall of up to 0.15 on either is accepted · tolerance, and a span outside the norm · B+ 3–6, C+ 4–8 direct reports is flagged, never blocking; both go to calibration. The next band's structural gate is not needed</t>
          </r>
        </is>
      </c>
      <c r="C106" s="210" t="n"/>
      <c r="D106" s="210" t="n"/>
      <c r="E106" s="210" t="n"/>
      <c r="F106" s="210" t="n"/>
      <c r="G106" s="210" t="n"/>
      <c r="H106" s="210" t="n"/>
      <c r="I106" s="210" t="n"/>
      <c r="J106" s="210" t="n"/>
      <c r="K106" s="210" t="n"/>
      <c r="L106" s="209" t="n"/>
      <c r="M106" s="15" t="n">
        <v>0</v>
      </c>
      <c r="N106" s="209" t="n"/>
    </row>
    <row r="107" ht="28" customHeight="1">
      <c r="A107" s="13" t="inlineStr">
        <is>
          <t>R11</t>
        </is>
      </c>
      <c r="B107" s="16" t="inlineStr">
        <is>
          <r>
            <rPr>
              <rFont val="Calibri"/>
              <b val="1"/>
              <sz val="10"/>
            </rPr>
            <t>Leadership decision:</t>
          </r>
          <r>
            <rPr>
              <rFont val="Calibri"/>
              <sz val="10"/>
            </rPr>
            <t xml:space="preserve"> the level is set by the approved leadership structure · validated input in inputs/overrides.csv, field 'Approved level'</t>
          </r>
        </is>
      </c>
      <c r="C107" s="210" t="n"/>
      <c r="D107" s="210" t="n"/>
      <c r="E107" s="210" t="n"/>
      <c r="F107" s="210" t="n"/>
      <c r="G107" s="210" t="n"/>
      <c r="H107" s="210" t="n"/>
      <c r="I107" s="210" t="n"/>
      <c r="J107" s="210" t="n"/>
      <c r="K107" s="210" t="n"/>
      <c r="L107" s="209" t="n"/>
      <c r="M107" s="15" t="n">
        <v>1</v>
      </c>
      <c r="N107" s="209" t="n"/>
    </row>
    <row r="108" ht="15" customHeight="1">
      <c r="A108" s="13" t="inlineStr">
        <is>
          <t>R12</t>
        </is>
      </c>
      <c r="B108" s="16" t="inlineStr">
        <is>
          <t>Reporting-line cap in Bands D–E: no one sits above their reporting manager's level</t>
        </is>
      </c>
      <c r="C108" s="210" t="n"/>
      <c r="D108" s="210" t="n"/>
      <c r="E108" s="210" t="n"/>
      <c r="F108" s="210" t="n"/>
      <c r="G108" s="210" t="n"/>
      <c r="H108" s="210" t="n"/>
      <c r="I108" s="210" t="n"/>
      <c r="J108" s="210" t="n"/>
      <c r="K108" s="210" t="n"/>
      <c r="L108" s="209" t="n"/>
      <c r="M108" s="15" t="n">
        <v>0</v>
      </c>
      <c r="N108" s="209" t="n"/>
    </row>
    <row r="109" ht="15" customHeight="1">
      <c r="A109" s="13" t="inlineStr">
        <is>
          <t>R13</t>
        </is>
      </c>
      <c r="B109" s="16" t="inlineStr">
        <is>
          <r>
            <rPr>
              <rFont val="Calibri"/>
              <b val="1"/>
              <sz val="10"/>
            </rPr>
            <t>Reports to the top:</t>
          </r>
          <r>
            <rPr>
              <rFont val="Calibri"/>
              <sz val="10"/>
            </rPr>
            <t xml:space="preserve"> anyone in Band D who reports directly to an E1 or E2 sits at D2</t>
          </r>
        </is>
      </c>
      <c r="C109" s="210" t="n"/>
      <c r="D109" s="210" t="n"/>
      <c r="E109" s="210" t="n"/>
      <c r="F109" s="210" t="n"/>
      <c r="G109" s="210" t="n"/>
      <c r="H109" s="210" t="n"/>
      <c r="I109" s="210" t="n"/>
      <c r="J109" s="210" t="n"/>
      <c r="K109" s="210" t="n"/>
      <c r="L109" s="209" t="n"/>
      <c r="M109" s="15" t="n">
        <v>0</v>
      </c>
      <c r="N109" s="209" t="n"/>
    </row>
    <row r="110" ht="15" customHeight="1"/>
    <row r="111" ht="20" customHeight="1">
      <c r="A111" s="6" t="inlineStr">
        <is>
          <t>6. STEP 8 · Levels and titles · bottom to top</t>
        </is>
      </c>
    </row>
    <row r="112" ht="28" customHeight="1">
      <c r="A112" s="12" t="inlineStr">
        <is>
          <t>Band</t>
        </is>
      </c>
      <c r="B112" s="12" t="inlineStr">
        <is>
          <t>Level</t>
        </is>
      </c>
      <c r="C112" s="12" t="inlineStr">
        <is>
          <t>IC title</t>
        </is>
      </c>
      <c r="D112" s="12" t="inlineStr">
        <is>
          <t>Manager title</t>
        </is>
      </c>
      <c r="E112" s="209" t="n"/>
      <c r="F112" s="12" t="inlineStr">
        <is>
          <t>What the role owns</t>
        </is>
      </c>
      <c r="G112" s="210" t="n"/>
      <c r="H112" s="209" t="n"/>
      <c r="I112" s="12" t="inlineStr">
        <is>
          <t>Experience · yrs</t>
        </is>
      </c>
      <c r="J112" s="12" t="inlineStr">
        <is>
          <t>Span</t>
        </is>
      </c>
      <c r="K112" s="12" t="inlineStr">
        <is>
          <t>Radford / Mercer</t>
        </is>
      </c>
      <c r="L112" s="12" t="inlineStr">
        <is>
          <t>SFIA</t>
        </is>
      </c>
      <c r="M112" s="12" t="inlineStr">
        <is>
          <t>IC / POD / Mgr</t>
        </is>
      </c>
      <c r="N112" s="12" t="inlineStr">
        <is>
          <t>Total</t>
        </is>
      </c>
    </row>
    <row r="113" ht="41" customHeight="1">
      <c r="A113" s="26" t="inlineStr">
        <is>
          <t>A</t>
        </is>
      </c>
      <c r="B113" s="26" t="inlineStr">
        <is>
          <t>A1</t>
        </is>
      </c>
      <c r="C113" s="140" t="inlineStr">
        <is>
          <t>Intern / Trainee</t>
        </is>
      </c>
      <c r="D113" s="140" t="inlineStr">
        <is>
          <t>common path</t>
        </is>
      </c>
      <c r="E113" s="209" t="n"/>
      <c r="F113" s="140" t="inlineStr">
        <is>
          <t>Learning the role; all work reviewed</t>
        </is>
      </c>
      <c r="G113" s="210" t="n"/>
      <c r="H113" s="209" t="n"/>
      <c r="I113" s="26" t="inlineStr">
        <is>
          <t>0 yrs · fresher / intern</t>
        </is>
      </c>
      <c r="J113" s="140" t="inlineStr">
        <is>
          <t>No direct reports</t>
        </is>
      </c>
      <c r="K113" s="26" t="inlineStr">
        <is>
          <t>Entry / P1 · intern</t>
        </is>
      </c>
      <c r="L113" s="26" t="inlineStr">
        <is>
          <t>1 Follow</t>
        </is>
      </c>
      <c r="M113" s="26" t="inlineStr">
        <is>
          <t>1 / 0 / 0</t>
        </is>
      </c>
      <c r="N113" s="26" t="n">
        <v>1</v>
      </c>
    </row>
    <row r="114" ht="28" customHeight="1">
      <c r="A114" s="26" t="inlineStr">
        <is>
          <t>A</t>
        </is>
      </c>
      <c r="B114" s="26" t="inlineStr">
        <is>
          <t>A2</t>
        </is>
      </c>
      <c r="C114" s="140" t="inlineStr">
        <is>
          <t>Associate</t>
        </is>
      </c>
      <c r="D114" s="140" t="inlineStr">
        <is>
          <t>common path</t>
        </is>
      </c>
      <c r="E114" s="209" t="n"/>
      <c r="F114" s="140" t="inlineStr">
        <is>
          <t>Standard work delivered independently</t>
        </is>
      </c>
      <c r="G114" s="210" t="n"/>
      <c r="H114" s="209" t="n"/>
      <c r="I114" s="26" t="inlineStr">
        <is>
          <t>0–2 yrs</t>
        </is>
      </c>
      <c r="J114" s="140" t="inlineStr">
        <is>
          <t>No direct reports</t>
        </is>
      </c>
      <c r="K114" s="26" t="inlineStr">
        <is>
          <t>P1–P2</t>
        </is>
      </c>
      <c r="L114" s="26" t="inlineStr">
        <is>
          <t>2 Assist</t>
        </is>
      </c>
      <c r="M114" s="26" t="inlineStr">
        <is>
          <t>5 / 0 / 0</t>
        </is>
      </c>
      <c r="N114" s="26" t="n">
        <v>5</v>
      </c>
    </row>
    <row r="115" ht="54" customHeight="1">
      <c r="A115" s="26" t="inlineStr">
        <is>
          <t>A</t>
        </is>
      </c>
      <c r="B115" s="26" t="inlineStr">
        <is>
          <t>A3</t>
        </is>
      </c>
      <c r="C115" s="140" t="inlineStr">
        <is>
          <t>Senior Associate</t>
        </is>
      </c>
      <c r="D115" s="140" t="inlineStr">
        <is>
          <t>common path</t>
        </is>
      </c>
      <c r="E115" s="209" t="n"/>
      <c r="F115" s="140" t="inlineStr">
        <is>
          <t>Varied work; reviews juniors; go-to for a process</t>
        </is>
      </c>
      <c r="G115" s="210" t="n"/>
      <c r="H115" s="209" t="n"/>
      <c r="I115" s="26" t="inlineStr">
        <is>
          <t>2–4 yrs</t>
        </is>
      </c>
      <c r="J115" s="140" t="inlineStr">
        <is>
          <t>None · guides 1–3 juniors informally</t>
        </is>
      </c>
      <c r="K115" s="26" t="inlineStr">
        <is>
          <t>P2</t>
        </is>
      </c>
      <c r="L115" s="26" t="inlineStr">
        <is>
          <t>3 Apply</t>
        </is>
      </c>
      <c r="M115" s="26" t="inlineStr">
        <is>
          <t>10 / 0 / 0</t>
        </is>
      </c>
      <c r="N115" s="26" t="n">
        <v>10</v>
      </c>
    </row>
    <row r="116" ht="41" customHeight="1">
      <c r="A116" s="20" t="inlineStr">
        <is>
          <t>B</t>
        </is>
      </c>
      <c r="B116" s="20" t="inlineStr">
        <is>
          <t>B1</t>
        </is>
      </c>
      <c r="C116" s="18" t="inlineStr">
        <is>
          <t>Specialist</t>
        </is>
      </c>
      <c r="D116" s="18" t="inlineStr">
        <is>
          <t>Team Lead</t>
        </is>
      </c>
      <c r="E116" s="209" t="n"/>
      <c r="F116" s="18" t="inlineStr">
        <is>
          <t>A domain / module, or a small team</t>
        </is>
      </c>
      <c r="G116" s="210" t="n"/>
      <c r="H116" s="209" t="n"/>
      <c r="I116" s="20" t="inlineStr">
        <is>
          <t>4–7 yrs</t>
        </is>
      </c>
      <c r="J116" s="18" t="inlineStr">
        <is>
          <r>
            <rPr>
              <rFont val="Calibri"/>
              <b val="1"/>
              <sz val="10"/>
            </rPr>
            <t>IC:</t>
          </r>
          <r>
            <rPr>
              <rFont val="Calibri"/>
              <sz val="10"/>
            </rPr>
            <t xml:space="preserve"> none · Team Lead: 3–5</t>
          </r>
        </is>
      </c>
      <c r="K116" s="20" t="inlineStr">
        <is>
          <t>P3 / M2</t>
        </is>
      </c>
      <c r="L116" s="20" t="inlineStr">
        <is>
          <t>4 Enable</t>
        </is>
      </c>
      <c r="M116" s="20" t="inlineStr">
        <is>
          <t>2 / 0 / 0</t>
        </is>
      </c>
      <c r="N116" s="20" t="n">
        <v>2</v>
      </c>
    </row>
    <row r="117" ht="80" customHeight="1">
      <c r="A117" s="20" t="inlineStr">
        <is>
          <t>B</t>
        </is>
      </c>
      <c r="B117" s="20" t="inlineStr">
        <is>
          <t>B2</t>
        </is>
      </c>
      <c r="C117" s="18" t="inlineStr">
        <is>
          <t>Senior Specialist</t>
        </is>
      </c>
      <c r="D117" s="18" t="inlineStr">
        <is>
          <t>Manager</t>
        </is>
      </c>
      <c r="E117" s="209" t="n"/>
      <c r="F117" s="18" t="inlineStr">
        <is>
          <t>Deep domain expertise, or one team</t>
        </is>
      </c>
      <c r="G117" s="210" t="n"/>
      <c r="H117" s="209" t="n"/>
      <c r="I117" s="20" t="inlineStr">
        <is>
          <t>6–9 yrs</t>
        </is>
      </c>
      <c r="J117" s="18" t="inlineStr">
        <is>
          <r>
            <rPr>
              <rFont val="Calibri"/>
              <b val="1"/>
              <sz val="10"/>
            </rPr>
            <t>IC:</t>
          </r>
          <r>
            <rPr>
              <rFont val="Calibri"/>
              <sz val="10"/>
            </rPr>
            <t xml:space="preserve"> none · People: 6–8 knowledge work, 8–12 standardised delivery</t>
          </r>
        </is>
      </c>
      <c r="K117" s="20" t="inlineStr">
        <is>
          <t>P4 / M3</t>
        </is>
      </c>
      <c r="L117" s="20" t="inlineStr">
        <is>
          <t>4–5</t>
        </is>
      </c>
      <c r="M117" s="20" t="inlineStr">
        <is>
          <t>2 / 3 / 2</t>
        </is>
      </c>
      <c r="N117" s="20" t="n">
        <v>7</v>
      </c>
    </row>
    <row r="118" ht="54" customHeight="1">
      <c r="A118" s="20" t="inlineStr">
        <is>
          <t>B</t>
        </is>
      </c>
      <c r="B118" s="20" t="inlineStr">
        <is>
          <t>B3</t>
        </is>
      </c>
      <c r="C118" s="18" t="inlineStr">
        <is>
          <t>Lead Specialist</t>
        </is>
      </c>
      <c r="D118" s="18" t="inlineStr">
        <is>
          <t>Senior Manager</t>
        </is>
      </c>
      <c r="E118" s="209" t="n"/>
      <c r="F118" s="18" t="inlineStr">
        <is>
          <t>A practice, or several teams through team leads</t>
        </is>
      </c>
      <c r="G118" s="210" t="n"/>
      <c r="H118" s="209" t="n"/>
      <c r="I118" s="20" t="inlineStr">
        <is>
          <t>8–12 yrs</t>
        </is>
      </c>
      <c r="J118" s="18" t="inlineStr">
        <is>
          <r>
            <rPr>
              <rFont val="Calibri"/>
              <b val="1"/>
              <sz val="10"/>
            </rPr>
            <t>IC:</t>
          </r>
          <r>
            <rPr>
              <rFont val="Calibri"/>
              <sz val="10"/>
            </rPr>
            <t xml:space="preserve"> none · People: 5–8 incl. team leads</t>
          </r>
        </is>
      </c>
      <c r="K118" s="20" t="inlineStr">
        <is>
          <t>P5 / M4</t>
        </is>
      </c>
      <c r="L118" s="20" t="inlineStr">
        <is>
          <t>5 Ensure, advise</t>
        </is>
      </c>
      <c r="M118" s="20" t="inlineStr">
        <is>
          <t>0 / 0 / 0</t>
        </is>
      </c>
      <c r="N118" s="20" t="n">
        <v>0</v>
      </c>
    </row>
    <row r="119" ht="132" customHeight="1">
      <c r="A119" s="30" t="inlineStr">
        <is>
          <t>B+</t>
        </is>
      </c>
      <c r="B119" s="30" t="inlineStr">
        <is>
          <t>B+</t>
        </is>
      </c>
      <c r="C119" s="204" t="inlineStr">
        <is>
          <t>Practice Lead · Player-Coach</t>
        </is>
      </c>
      <c r="D119" s="204" t="inlineStr">
        <is>
          <t>Practice Lead · Player-Coach</t>
        </is>
      </c>
      <c r="E119" s="209" t="n"/>
      <c r="F119" s="204" t="inlineStr">
        <is>
          <r>
            <rPr>
              <rFont val="Calibri"/>
              <b val="1"/>
              <sz val="10"/>
            </rPr>
            <t>A practice or product area:</t>
          </r>
          <r>
            <rPr>
              <rFont val="Calibri"/>
              <sz val="10"/>
            </rPr>
            <t xml:space="preserve"> does the hardest hands-on work itself and leads 3–6 people · player-coach</t>
          </r>
        </is>
      </c>
      <c r="G119" s="210" t="n"/>
      <c r="H119" s="209" t="n"/>
      <c r="I119" s="30" t="inlineStr">
        <is>
          <t>9–14 yrs</t>
        </is>
      </c>
      <c r="J119" s="204" t="inlineStr">
        <is>
          <t>3–6 direct reports with ≥ 40% of time on own delivery · McKinsey player/coach 3–5; Google Tech Lead Manager</t>
        </is>
      </c>
      <c r="K119" s="30" t="inlineStr">
        <is>
          <t>P5–P6 / M4–M5</t>
        </is>
      </c>
      <c r="L119" s="30" t="inlineStr">
        <is>
          <t>5 Ensure, advise</t>
        </is>
      </c>
      <c r="M119" s="30" t="inlineStr">
        <is>
          <t>0 / 0 / 0</t>
        </is>
      </c>
      <c r="N119" s="30" t="n">
        <v>0</v>
      </c>
    </row>
    <row r="120" ht="28" customHeight="1">
      <c r="A120" s="33" t="inlineStr">
        <is>
          <t>C</t>
        </is>
      </c>
      <c r="B120" s="33" t="inlineStr">
        <is>
          <t>C1</t>
        </is>
      </c>
      <c r="C120" s="151" t="inlineStr">
        <is>
          <t>Principal</t>
        </is>
      </c>
      <c r="D120" s="151" t="inlineStr">
        <is>
          <t>Associate Head</t>
        </is>
      </c>
      <c r="E120" s="209" t="n"/>
      <c r="F120" s="151" t="inlineStr">
        <is>
          <t>A sub-function, or principal authority across products</t>
        </is>
      </c>
      <c r="G120" s="210" t="n"/>
      <c r="H120" s="209" t="n"/>
      <c r="I120" s="33" t="inlineStr">
        <is>
          <t>10–14 yrs</t>
        </is>
      </c>
      <c r="J120" s="151" t="inlineStr">
        <is>
          <t>5–8, mostly managers</t>
        </is>
      </c>
      <c r="K120" s="33" t="inlineStr">
        <is>
          <t>P6 / M5</t>
        </is>
      </c>
      <c r="L120" s="33" t="inlineStr">
        <is>
          <t>5–6</t>
        </is>
      </c>
      <c r="M120" s="33" t="inlineStr">
        <is>
          <t>2 / 0 / 0</t>
        </is>
      </c>
      <c r="N120" s="33" t="n">
        <v>2</v>
      </c>
    </row>
    <row r="121" ht="41" customHeight="1">
      <c r="A121" s="33" t="inlineStr">
        <is>
          <t>C</t>
        </is>
      </c>
      <c r="B121" s="33" t="inlineStr">
        <is>
          <t>C2</t>
        </is>
      </c>
      <c r="C121" s="151" t="inlineStr">
        <is>
          <t>Senior Principal / Architect</t>
        </is>
      </c>
      <c r="D121" s="151" t="inlineStr">
        <is>
          <t>Head of Function</t>
        </is>
      </c>
      <c r="E121" s="209" t="n"/>
      <c r="F121" s="151" t="inlineStr">
        <is>
          <t>A function or department, or a company-wide discipline</t>
        </is>
      </c>
      <c r="G121" s="210" t="n"/>
      <c r="H121" s="209" t="n"/>
      <c r="I121" s="33" t="inlineStr">
        <is>
          <t>12–17 yrs</t>
        </is>
      </c>
      <c r="J121" s="151" t="inlineStr">
        <is>
          <t>5–8 managers / associate heads</t>
        </is>
      </c>
      <c r="K121" s="33" t="inlineStr">
        <is>
          <t>P7 / M6</t>
        </is>
      </c>
      <c r="L121" s="33" t="inlineStr">
        <is>
          <t>6 Initiate, influence</t>
        </is>
      </c>
      <c r="M121" s="33" t="inlineStr">
        <is>
          <t>0 / 0 / 0</t>
        </is>
      </c>
      <c r="N121" s="33" t="n">
        <v>0</v>
      </c>
    </row>
    <row r="122" ht="80" customHeight="1">
      <c r="A122" s="36" t="inlineStr">
        <is>
          <t>C+</t>
        </is>
      </c>
      <c r="B122" s="36" t="inlineStr">
        <is>
          <t>C+</t>
        </is>
      </c>
      <c r="C122" s="205" t="inlineStr">
        <is>
          <t>Group Head · Player-Coach</t>
        </is>
      </c>
      <c r="D122" s="205" t="inlineStr">
        <is>
          <t>Group Head · Player-Coach</t>
        </is>
      </c>
      <c r="E122" s="209" t="n"/>
      <c r="F122" s="205" t="inlineStr">
        <is>
          <r>
            <rPr>
              <rFont val="Calibri"/>
              <b val="1"/>
              <sz val="10"/>
            </rPr>
            <t>A function or group of practices:</t>
          </r>
          <r>
            <rPr>
              <rFont val="Calibri"/>
              <sz val="10"/>
            </rPr>
            <t xml:space="preserve"> answers for its results and personally delivers or sells the most critical work · player-coach</t>
          </r>
        </is>
      </c>
      <c r="G122" s="210" t="n"/>
      <c r="H122" s="209" t="n"/>
      <c r="I122" s="36" t="inlineStr">
        <is>
          <t>13–18 yrs</t>
        </is>
      </c>
      <c r="J122" s="205" t="inlineStr">
        <is>
          <t>4–8 managers / leads with ≥ 25% of time on own principal delivery</t>
        </is>
      </c>
      <c r="K122" s="36" t="inlineStr">
        <is>
          <t>M6 / E1</t>
        </is>
      </c>
      <c r="L122" s="36" t="inlineStr">
        <is>
          <t>6 Initiate, influence</t>
        </is>
      </c>
      <c r="M122" s="36" t="inlineStr">
        <is>
          <t>0 / 0 / 0</t>
        </is>
      </c>
      <c r="N122" s="36" t="n">
        <v>0</v>
      </c>
    </row>
    <row r="123" ht="54" customHeight="1">
      <c r="A123" s="39" t="inlineStr">
        <is>
          <t>D</t>
        </is>
      </c>
      <c r="B123" s="39" t="inlineStr">
        <is>
          <t>D1</t>
        </is>
      </c>
      <c r="C123" s="146" t="inlineStr">
        <is>
          <t>Chief Specialist / Distinguished Principal</t>
        </is>
      </c>
      <c r="D123" s="146" t="inlineStr">
        <is>
          <t>Associate Vice President / Business Head</t>
        </is>
      </c>
      <c r="E123" s="209" t="n"/>
      <c r="F123" s="146" t="inlineStr">
        <is>
          <t>A business line P&amp;L, region or enterprise function</t>
        </is>
      </c>
      <c r="G123" s="210" t="n"/>
      <c r="H123" s="209" t="n"/>
      <c r="I123" s="39" t="inlineStr">
        <is>
          <t>15–20 yrs</t>
        </is>
      </c>
      <c r="J123" s="146" t="inlineStr">
        <is>
          <t>5–8 heads</t>
        </is>
      </c>
      <c r="K123" s="39" t="inlineStr">
        <is>
          <t>E1–E2</t>
        </is>
      </c>
      <c r="L123" s="39" t="inlineStr">
        <is>
          <t>6–7</t>
        </is>
      </c>
      <c r="M123" s="39" t="inlineStr">
        <is>
          <t>0 / 0 / 0</t>
        </is>
      </c>
      <c r="N123" s="39" t="n">
        <v>0</v>
      </c>
    </row>
    <row r="124" ht="28" customHeight="1">
      <c r="A124" s="39" t="inlineStr">
        <is>
          <t>D</t>
        </is>
      </c>
      <c r="B124" s="39" t="inlineStr">
        <is>
          <t>D2</t>
        </is>
      </c>
      <c r="C124" s="146" t="inlineStr">
        <is>
          <t>—</t>
        </is>
      </c>
      <c r="D124" s="146" t="inlineStr">
        <is>
          <t>Vice President</t>
        </is>
      </c>
      <c r="E124" s="209" t="n"/>
      <c r="F124" s="146" t="inlineStr">
        <is>
          <t>Several business lines or an executive-scope enterprise function</t>
        </is>
      </c>
      <c r="G124" s="210" t="n"/>
      <c r="H124" s="209" t="n"/>
      <c r="I124" s="39" t="inlineStr">
        <is>
          <t>18–24 yrs</t>
        </is>
      </c>
      <c r="J124" s="146" t="inlineStr">
        <is>
          <t>5–8 AVPs / heads</t>
        </is>
      </c>
      <c r="K124" s="39" t="inlineStr">
        <is>
          <t>E3–E4</t>
        </is>
      </c>
      <c r="L124" s="39" t="inlineStr">
        <is>
          <t>7 Set strategy</t>
        </is>
      </c>
      <c r="M124" s="39" t="inlineStr">
        <is>
          <t>0 / 0 / 1</t>
        </is>
      </c>
      <c r="N124" s="39" t="n">
        <v>1</v>
      </c>
    </row>
    <row r="125" ht="28" customHeight="1">
      <c r="A125" s="42" t="inlineStr">
        <is>
          <t>E</t>
        </is>
      </c>
      <c r="B125" s="42" t="inlineStr">
        <is>
          <t>E1</t>
        </is>
      </c>
      <c r="C125" s="206" t="inlineStr">
        <is>
          <t>—</t>
        </is>
      </c>
      <c r="D125" s="206" t="inlineStr">
        <is>
          <t>CXO / President</t>
        </is>
      </c>
      <c r="E125" s="209" t="n"/>
      <c r="F125" s="206" t="inlineStr">
        <is>
          <t>An enterprise-wide function</t>
        </is>
      </c>
      <c r="G125" s="210" t="n"/>
      <c r="H125" s="209" t="n"/>
      <c r="I125" s="42" t="inlineStr">
        <is>
          <t>20+ yrs</t>
        </is>
      </c>
      <c r="J125" s="206" t="inlineStr">
        <is>
          <t>5–8 function heads</t>
        </is>
      </c>
      <c r="K125" s="42" t="inlineStr">
        <is>
          <t>E5</t>
        </is>
      </c>
      <c r="L125" s="42" t="inlineStr">
        <is>
          <t>7</t>
        </is>
      </c>
      <c r="M125" s="42" t="inlineStr">
        <is>
          <t>0 / 0 / 0</t>
        </is>
      </c>
      <c r="N125" s="42" t="n">
        <v>0</v>
      </c>
    </row>
    <row r="126" ht="28" customHeight="1">
      <c r="A126" s="42" t="inlineStr">
        <is>
          <t>E</t>
        </is>
      </c>
      <c r="B126" s="42" t="inlineStr">
        <is>
          <t>E2</t>
        </is>
      </c>
      <c r="C126" s="206" t="inlineStr">
        <is>
          <t>—</t>
        </is>
      </c>
      <c r="D126" s="206" t="inlineStr">
        <is>
          <t>Chief Executive Officer</t>
        </is>
      </c>
      <c r="E126" s="209" t="n"/>
      <c r="F126" s="206" t="inlineStr">
        <is>
          <t>The enterprise</t>
        </is>
      </c>
      <c r="G126" s="210" t="n"/>
      <c r="H126" s="209" t="n"/>
      <c r="I126" s="42" t="inlineStr">
        <is>
          <t>20+ yrs</t>
        </is>
      </c>
      <c r="J126" s="206" t="inlineStr">
        <is>
          <t>Executive team</t>
        </is>
      </c>
      <c r="K126" s="42" t="inlineStr">
        <is>
          <t>E6</t>
        </is>
      </c>
      <c r="L126" s="42" t="inlineStr">
        <is>
          <t>7</t>
        </is>
      </c>
      <c r="M126" s="42" t="inlineStr">
        <is>
          <t>0 / 0 / 0</t>
        </is>
      </c>
      <c r="N126" s="42" t="n">
        <v>0</v>
      </c>
    </row>
    <row r="127" ht="28" customHeight="1">
      <c r="A127" s="45" t="inlineStr">
        <is>
          <t>X</t>
        </is>
      </c>
      <c r="B127" s="45" t="inlineStr">
        <is>
          <t>X1</t>
        </is>
      </c>
      <c r="C127" s="136" t="inlineStr">
        <is>
          <t>Associate Consultant</t>
        </is>
      </c>
      <c r="D127" s="136" t="inlineStr">
        <is>
          <t>Outside the employee ladder</t>
        </is>
      </c>
      <c r="E127" s="209" t="n"/>
      <c r="F127" s="136" t="inlineStr">
        <is>
          <t>Defined deliverables under a statement of work · ≈ A2–A3</t>
        </is>
      </c>
      <c r="G127" s="210" t="n"/>
      <c r="H127" s="209" t="n"/>
      <c r="I127" s="45" t="inlineStr">
        <is>
          <t>0–5 yrs</t>
        </is>
      </c>
      <c r="J127" s="136" t="inlineStr">
        <is>
          <t>Not counted in spans</t>
        </is>
      </c>
      <c r="K127" s="45" t="inlineStr">
        <is>
          <t>Contractor</t>
        </is>
      </c>
      <c r="L127" s="45" t="inlineStr">
        <is>
          <t>—</t>
        </is>
      </c>
      <c r="M127" s="45" t="inlineStr">
        <is>
          <t>6</t>
        </is>
      </c>
      <c r="N127" s="45" t="n">
        <v>6</v>
      </c>
    </row>
    <row r="128" ht="28" customHeight="1">
      <c r="A128" s="45" t="inlineStr">
        <is>
          <t>X</t>
        </is>
      </c>
      <c r="B128" s="45" t="inlineStr">
        <is>
          <t>X2</t>
        </is>
      </c>
      <c r="C128" s="136" t="inlineStr">
        <is>
          <t>Consultant</t>
        </is>
      </c>
      <c r="D128" s="136" t="inlineStr">
        <is>
          <t>Outside the employee ladder</t>
        </is>
      </c>
      <c r="E128" s="209" t="n"/>
      <c r="F128" s="136" t="inlineStr">
        <is>
          <t>Specialist scope or workstream · ≈ B1–B2</t>
        </is>
      </c>
      <c r="G128" s="210" t="n"/>
      <c r="H128" s="209" t="n"/>
      <c r="I128" s="45" t="inlineStr">
        <is>
          <t>4–10 yrs</t>
        </is>
      </c>
      <c r="J128" s="136" t="inlineStr">
        <is>
          <t>Not counted in spans</t>
        </is>
      </c>
      <c r="K128" s="45" t="inlineStr">
        <is>
          <t>Contractor</t>
        </is>
      </c>
      <c r="L128" s="45" t="inlineStr">
        <is>
          <t>—</t>
        </is>
      </c>
      <c r="M128" s="45" t="inlineStr">
        <is>
          <t>0</t>
        </is>
      </c>
      <c r="N128" s="45" t="n">
        <v>0</v>
      </c>
    </row>
    <row r="129" ht="41" customHeight="1">
      <c r="A129" s="45" t="inlineStr">
        <is>
          <t>X</t>
        </is>
      </c>
      <c r="B129" s="45" t="inlineStr">
        <is>
          <t>X3</t>
        </is>
      </c>
      <c r="C129" s="136" t="inlineStr">
        <is>
          <t>Senior Consultant / Advisor</t>
        </is>
      </c>
      <c r="D129" s="136" t="inlineStr">
        <is>
          <t>Outside the employee ladder</t>
        </is>
      </c>
      <c r="E129" s="209" t="n"/>
      <c r="F129" s="136" t="inlineStr">
        <is>
          <t>Expert or advisory scope · ≈ B3–C2</t>
        </is>
      </c>
      <c r="G129" s="210" t="n"/>
      <c r="H129" s="209" t="n"/>
      <c r="I129" s="45" t="inlineStr">
        <is>
          <t>10+ yrs</t>
        </is>
      </c>
      <c r="J129" s="136" t="inlineStr">
        <is>
          <t>Not counted in spans</t>
        </is>
      </c>
      <c r="K129" s="45" t="inlineStr">
        <is>
          <t>Contractor</t>
        </is>
      </c>
      <c r="L129" s="45" t="inlineStr">
        <is>
          <t>—</t>
        </is>
      </c>
      <c r="M129" s="45" t="inlineStr">
        <is>
          <t>0</t>
        </is>
      </c>
      <c r="N129" s="45" t="n">
        <v>0</v>
      </c>
    </row>
    <row r="130" ht="15" customHeight="1"/>
    <row r="131" ht="15" customHeight="1">
      <c r="A131" s="12" t="inlineStr">
        <is>
          <t>Department × level</t>
        </is>
      </c>
      <c r="B131" s="210" t="n"/>
      <c r="C131" s="210" t="n"/>
      <c r="D131" s="210" t="n"/>
      <c r="E131" s="209" t="n"/>
      <c r="F131" s="12" t="inlineStr">
        <is>
          <t>A1</t>
        </is>
      </c>
      <c r="G131" s="12" t="inlineStr">
        <is>
          <t>A2</t>
        </is>
      </c>
      <c r="H131" s="12" t="inlineStr">
        <is>
          <t>A3</t>
        </is>
      </c>
      <c r="I131" s="12" t="inlineStr">
        <is>
          <t>B1</t>
        </is>
      </c>
      <c r="J131" s="12" t="inlineStr">
        <is>
          <t>B2</t>
        </is>
      </c>
      <c r="K131" s="12" t="inlineStr">
        <is>
          <t>C1</t>
        </is>
      </c>
      <c r="L131" s="12" t="inlineStr">
        <is>
          <t>D2</t>
        </is>
      </c>
      <c r="M131" s="12" t="inlineStr">
        <is>
          <t>X1</t>
        </is>
      </c>
      <c r="N131" s="12" t="inlineStr">
        <is>
          <t>Total</t>
        </is>
      </c>
    </row>
    <row r="132" ht="15" customHeight="1">
      <c r="A132" s="13" t="inlineStr">
        <is>
          <t>Datatech - Outreach</t>
        </is>
      </c>
      <c r="B132" s="210" t="n"/>
      <c r="C132" s="210" t="n"/>
      <c r="D132" s="210" t="n"/>
      <c r="E132" s="209" t="n"/>
      <c r="F132" s="15" t="inlineStr"/>
      <c r="G132" s="15" t="n">
        <v>3</v>
      </c>
      <c r="H132" s="15" t="n">
        <v>3</v>
      </c>
      <c r="I132" s="15" t="inlineStr"/>
      <c r="J132" s="15" t="n">
        <v>2</v>
      </c>
      <c r="K132" s="15" t="inlineStr"/>
      <c r="L132" s="15" t="inlineStr"/>
      <c r="M132" s="15" t="inlineStr"/>
      <c r="N132" s="15" t="n">
        <v>8</v>
      </c>
    </row>
    <row r="133" ht="15" customHeight="1">
      <c r="A133" s="13" t="inlineStr">
        <is>
          <t>Datatech Business Head</t>
        </is>
      </c>
      <c r="B133" s="210" t="n"/>
      <c r="C133" s="210" t="n"/>
      <c r="D133" s="210" t="n"/>
      <c r="E133" s="209" t="n"/>
      <c r="F133" s="15" t="inlineStr"/>
      <c r="G133" s="15" t="inlineStr"/>
      <c r="H133" s="15" t="inlineStr"/>
      <c r="I133" s="15" t="inlineStr"/>
      <c r="J133" s="15" t="inlineStr"/>
      <c r="K133" s="15" t="inlineStr"/>
      <c r="L133" s="15" t="n">
        <v>1</v>
      </c>
      <c r="M133" s="15" t="inlineStr"/>
      <c r="N133" s="15" t="n">
        <v>1</v>
      </c>
    </row>
    <row r="134" ht="15" customHeight="1">
      <c r="A134" s="13" t="inlineStr">
        <is>
          <t>Marketing</t>
        </is>
      </c>
      <c r="B134" s="210" t="n"/>
      <c r="C134" s="210" t="n"/>
      <c r="D134" s="210" t="n"/>
      <c r="E134" s="209" t="n"/>
      <c r="F134" s="15" t="inlineStr"/>
      <c r="G134" s="15" t="n">
        <v>1</v>
      </c>
      <c r="H134" s="15" t="n">
        <v>2</v>
      </c>
      <c r="I134" s="15" t="inlineStr"/>
      <c r="J134" s="15" t="n">
        <v>1</v>
      </c>
      <c r="K134" s="15" t="inlineStr"/>
      <c r="L134" s="15" t="inlineStr"/>
      <c r="M134" s="15" t="n">
        <v>1</v>
      </c>
      <c r="N134" s="15" t="n">
        <v>5</v>
      </c>
    </row>
    <row r="135" ht="15" customHeight="1">
      <c r="A135" s="13" t="inlineStr">
        <is>
          <t>Not provided · HRIS</t>
        </is>
      </c>
      <c r="B135" s="210" t="n"/>
      <c r="C135" s="210" t="n"/>
      <c r="D135" s="210" t="n"/>
      <c r="E135" s="209" t="n"/>
      <c r="F135" s="15" t="inlineStr"/>
      <c r="G135" s="15" t="inlineStr"/>
      <c r="H135" s="15" t="inlineStr"/>
      <c r="I135" s="15" t="inlineStr"/>
      <c r="J135" s="15" t="inlineStr"/>
      <c r="K135" s="15" t="inlineStr"/>
      <c r="L135" s="15" t="inlineStr"/>
      <c r="M135" s="15" t="n">
        <v>2</v>
      </c>
      <c r="N135" s="15" t="n">
        <v>2</v>
      </c>
    </row>
    <row r="136" ht="15" customHeight="1">
      <c r="A136" s="13" t="inlineStr">
        <is>
          <t>Product Management</t>
        </is>
      </c>
      <c r="B136" s="210" t="n"/>
      <c r="C136" s="210" t="n"/>
      <c r="D136" s="210" t="n"/>
      <c r="E136" s="209" t="n"/>
      <c r="F136" s="15" t="inlineStr"/>
      <c r="G136" s="15" t="inlineStr"/>
      <c r="H136" s="15" t="inlineStr"/>
      <c r="I136" s="15" t="n">
        <v>2</v>
      </c>
      <c r="J136" s="15" t="n">
        <v>3</v>
      </c>
      <c r="K136" s="15" t="inlineStr"/>
      <c r="L136" s="15" t="inlineStr"/>
      <c r="M136" s="15" t="inlineStr"/>
      <c r="N136" s="15" t="n">
        <v>5</v>
      </c>
    </row>
    <row r="137" ht="15" customHeight="1">
      <c r="A137" s="13" t="inlineStr">
        <is>
          <t>Quality Assurance</t>
        </is>
      </c>
      <c r="B137" s="210" t="n"/>
      <c r="C137" s="210" t="n"/>
      <c r="D137" s="210" t="n"/>
      <c r="E137" s="209" t="n"/>
      <c r="F137" s="15" t="inlineStr"/>
      <c r="G137" s="15" t="inlineStr"/>
      <c r="H137" s="15" t="n">
        <v>2</v>
      </c>
      <c r="I137" s="15" t="inlineStr"/>
      <c r="J137" s="15" t="inlineStr"/>
      <c r="K137" s="15" t="inlineStr"/>
      <c r="L137" s="15" t="inlineStr"/>
      <c r="M137" s="15" t="inlineStr"/>
      <c r="N137" s="15" t="n">
        <v>2</v>
      </c>
    </row>
    <row r="138" ht="15" customHeight="1">
      <c r="A138" s="13" t="inlineStr">
        <is>
          <t>Sales</t>
        </is>
      </c>
      <c r="B138" s="210" t="n"/>
      <c r="C138" s="210" t="n"/>
      <c r="D138" s="210" t="n"/>
      <c r="E138" s="209" t="n"/>
      <c r="F138" s="15" t="inlineStr"/>
      <c r="G138" s="15" t="inlineStr"/>
      <c r="H138" s="15" t="inlineStr"/>
      <c r="I138" s="15" t="inlineStr"/>
      <c r="J138" s="15" t="inlineStr"/>
      <c r="K138" s="15" t="n">
        <v>1</v>
      </c>
      <c r="L138" s="15" t="inlineStr"/>
      <c r="M138" s="15" t="inlineStr"/>
      <c r="N138" s="15" t="n">
        <v>1</v>
      </c>
    </row>
    <row r="139" ht="15" customHeight="1">
      <c r="A139" s="13" t="inlineStr">
        <is>
          <t>Technology</t>
        </is>
      </c>
      <c r="B139" s="210" t="n"/>
      <c r="C139" s="210" t="n"/>
      <c r="D139" s="210" t="n"/>
      <c r="E139" s="209" t="n"/>
      <c r="F139" s="15" t="n">
        <v>1</v>
      </c>
      <c r="G139" s="15" t="n">
        <v>1</v>
      </c>
      <c r="H139" s="15" t="n">
        <v>3</v>
      </c>
      <c r="I139" s="15" t="inlineStr"/>
      <c r="J139" s="15" t="n">
        <v>1</v>
      </c>
      <c r="K139" s="15" t="n">
        <v>1</v>
      </c>
      <c r="L139" s="15" t="inlineStr"/>
      <c r="M139" s="15" t="n">
        <v>3</v>
      </c>
      <c r="N139" s="15" t="n">
        <v>10</v>
      </c>
    </row>
    <row r="140" ht="15" customHeight="1"/>
    <row r="141" ht="15" customHeight="1">
      <c r="A141" s="11" t="inlineStr">
        <is>
          <r>
            <rPr>
              <rFont val="Calibri"/>
              <b val="1"/>
              <i val="1"/>
              <color rgb="00595959"/>
              <sz val="10"/>
            </rPr>
            <t>Title check:</t>
          </r>
          <r>
            <rPr>
              <rFont val="Calibri"/>
              <i val="1"/>
              <color rgb="00595959"/>
              <sz val="10"/>
            </rPr>
            <t xml:space="preserve"> OK: 22 · Consultant title: 6 · Market-standard role title: 4 · Check title against ladder: 2</t>
          </r>
        </is>
      </c>
    </row>
    <row r="142" ht="15" customHeight="1"/>
    <row r="143" ht="20" customHeight="1">
      <c r="A143" s="6" t="inlineStr">
        <is>
          <t>7. STEP 9 · Market benchmark — level crosswalk · Master M13 and family ladders</t>
        </is>
      </c>
    </row>
    <row r="144" ht="54" customHeight="1">
      <c r="A144" s="12" t="inlineStr">
        <is>
          <t>IRIS level</t>
        </is>
      </c>
      <c r="B144" s="12" t="inlineStr">
        <is>
          <t>Radford / Mercer code</t>
        </is>
      </c>
      <c r="C144" s="12" t="inlineStr">
        <is>
          <t>Pave level name</t>
        </is>
      </c>
      <c r="D144" s="12" t="inlineStr">
        <is>
          <t>SFIA 9 level</t>
        </is>
      </c>
      <c r="E144" s="12" t="inlineStr">
        <is>
          <t>GitLab</t>
        </is>
      </c>
      <c r="F144" s="12" t="inlineStr">
        <is>
          <t>Google</t>
        </is>
      </c>
      <c r="G144" s="12" t="inlineStr">
        <is>
          <t>Microsoft</t>
        </is>
      </c>
      <c r="H144" s="12" t="inlineStr">
        <is>
          <t>Amazon</t>
        </is>
      </c>
      <c r="I144" s="12" t="inlineStr">
        <is>
          <t>Workiva</t>
        </is>
      </c>
      <c r="J144" s="12" t="inlineStr">
        <is>
          <t>Infosys</t>
        </is>
      </c>
      <c r="K144" s="12" t="inlineStr">
        <is>
          <t>TCS</t>
        </is>
      </c>
      <c r="L144" s="12" t="inlineStr">
        <is>
          <t>Accenture India</t>
        </is>
      </c>
      <c r="M144" s="12" t="inlineStr">
        <is>
          <t>Big Four — Deloitte</t>
        </is>
      </c>
      <c r="N144" s="12" t="inlineStr">
        <is>
          <t>DataTracks · S31; only 2 rungs published</t>
        </is>
      </c>
    </row>
    <row r="145" ht="28" customHeight="1">
      <c r="A145" s="26" t="inlineStr">
        <is>
          <t>A1</t>
        </is>
      </c>
      <c r="B145" s="140" t="inlineStr">
        <is>
          <t>Entry / P1 · intern</t>
        </is>
      </c>
      <c r="C145" s="140" t="inlineStr">
        <is>
          <t>Entry</t>
        </is>
      </c>
      <c r="D145" s="140" t="inlineStr">
        <is>
          <t>1 Follow</t>
        </is>
      </c>
      <c r="E145" s="140" t="inlineStr">
        <is>
          <t>Intern</t>
        </is>
      </c>
      <c r="F145" s="140" t="inlineStr">
        <is>
          <t>Intern</t>
        </is>
      </c>
      <c r="G145" s="140" t="inlineStr">
        <is>
          <t>Intern</t>
        </is>
      </c>
      <c r="H145" s="140" t="inlineStr">
        <is>
          <t>Intern</t>
        </is>
      </c>
      <c r="I145" s="140" t="inlineStr">
        <is>
          <t>Intern</t>
        </is>
      </c>
      <c r="J145" s="140" t="inlineStr">
        <is>
          <t>Trainee</t>
        </is>
      </c>
      <c r="K145" s="140" t="inlineStr">
        <is>
          <t>C1Y ASE Trainee</t>
        </is>
      </c>
      <c r="L145" s="140" t="inlineStr">
        <is>
          <t>L12 Associate</t>
        </is>
      </c>
      <c r="M145" s="140" t="inlineStr">
        <is>
          <t>Intern / Trainee</t>
        </is>
      </c>
      <c r="N145" s="140" t="inlineStr">
        <is>
          <t>—</t>
        </is>
      </c>
    </row>
    <row r="146" ht="41" customHeight="1">
      <c r="A146" s="26" t="inlineStr">
        <is>
          <t>A2</t>
        </is>
      </c>
      <c r="B146" s="140" t="inlineStr">
        <is>
          <t>P1–P2</t>
        </is>
      </c>
      <c r="C146" s="140" t="inlineStr">
        <is>
          <t>Entry / Developing</t>
        </is>
      </c>
      <c r="D146" s="140" t="inlineStr">
        <is>
          <t>2 Assist</t>
        </is>
      </c>
      <c r="E146" s="140" t="inlineStr">
        <is>
          <t>Associate</t>
        </is>
      </c>
      <c r="F146" s="140" t="inlineStr">
        <is>
          <t>L3</t>
        </is>
      </c>
      <c r="G146" s="140" t="inlineStr">
        <is>
          <t>59–60</t>
        </is>
      </c>
      <c r="H146" s="140" t="inlineStr">
        <is>
          <t>L4 · SDE I</t>
        </is>
      </c>
      <c r="I146" s="140" t="inlineStr">
        <is>
          <t>Associate SE</t>
        </is>
      </c>
      <c r="J146" s="140" t="inlineStr">
        <is>
          <t>JL3B Systems Engineer</t>
        </is>
      </c>
      <c r="K146" s="140" t="inlineStr">
        <is>
          <t>C1 Assistant System Engineer</t>
        </is>
      </c>
      <c r="L146" s="140" t="inlineStr">
        <is>
          <t>L11 Analyst</t>
        </is>
      </c>
      <c r="M146" s="140" t="inlineStr">
        <is>
          <t>Analyst</t>
        </is>
      </c>
      <c r="N146" s="140" t="inlineStr">
        <is>
          <t>Associate</t>
        </is>
      </c>
    </row>
    <row r="147" ht="41" customHeight="1">
      <c r="A147" s="26" t="inlineStr">
        <is>
          <t>A3</t>
        </is>
      </c>
      <c r="B147" s="140" t="inlineStr">
        <is>
          <t>P2</t>
        </is>
      </c>
      <c r="C147" s="140" t="inlineStr">
        <is>
          <t>Developing</t>
        </is>
      </c>
      <c r="D147" s="140" t="inlineStr">
        <is>
          <t>3 Apply</t>
        </is>
      </c>
      <c r="E147" s="140" t="inlineStr">
        <is>
          <t>Intermediate</t>
        </is>
      </c>
      <c r="F147" s="140" t="inlineStr">
        <is>
          <t>L3–L4</t>
        </is>
      </c>
      <c r="G147" s="140" t="inlineStr">
        <is>
          <t>61–62</t>
        </is>
      </c>
      <c r="H147" s="140" t="inlineStr">
        <is>
          <t>L4</t>
        </is>
      </c>
      <c r="I147" s="140" t="inlineStr">
        <is>
          <t>Software Engineer</t>
        </is>
      </c>
      <c r="J147" s="140" t="inlineStr">
        <is>
          <t>JL3A Senior Systems Engineer</t>
        </is>
      </c>
      <c r="K147" s="140" t="inlineStr">
        <is>
          <t>C1 System Engineer</t>
        </is>
      </c>
      <c r="L147" s="140" t="inlineStr">
        <is>
          <t>L11–L10 · Senior Analyst</t>
        </is>
      </c>
      <c r="M147" s="140" t="inlineStr">
        <is>
          <t>Consultant</t>
        </is>
      </c>
      <c r="N147" s="140" t="inlineStr">
        <is>
          <t>Senior Associate · 2–5 yrs</t>
        </is>
      </c>
    </row>
    <row r="148" ht="54" customHeight="1">
      <c r="A148" s="20" t="inlineStr">
        <is>
          <t>B1</t>
        </is>
      </c>
      <c r="B148" s="18" t="inlineStr">
        <is>
          <t>P3 / M2</t>
        </is>
      </c>
      <c r="C148" s="18" t="inlineStr">
        <is>
          <t>Career / · Team Lead</t>
        </is>
      </c>
      <c r="D148" s="18" t="inlineStr">
        <is>
          <t>4 Enable</t>
        </is>
      </c>
      <c r="E148" s="18" t="inlineStr">
        <is>
          <t>Senior</t>
        </is>
      </c>
      <c r="F148" s="18" t="inlineStr">
        <is>
          <t>L4</t>
        </is>
      </c>
      <c r="G148" s="18" t="inlineStr">
        <is>
          <t>62</t>
        </is>
      </c>
      <c r="H148" s="18" t="inlineStr">
        <is>
          <t>L5 · SDE II</t>
        </is>
      </c>
      <c r="I148" s="18" t="inlineStr">
        <is>
          <t>Software Engineer – Senior SE</t>
        </is>
      </c>
      <c r="J148" s="18" t="inlineStr">
        <is>
          <t>JL4 Technology Analyst</t>
        </is>
      </c>
      <c r="K148" s="18" t="inlineStr">
        <is>
          <t>C2 IT Analyst</t>
        </is>
      </c>
      <c r="L148" s="18" t="inlineStr">
        <is>
          <t>L9 Team Lead / Consultant</t>
        </is>
      </c>
      <c r="M148" s="18" t="inlineStr">
        <is>
          <t>Senior Consultant / Assistant Manager</t>
        </is>
      </c>
      <c r="N148" s="18" t="inlineStr">
        <is>
          <t>—</t>
        </is>
      </c>
    </row>
    <row r="149" ht="41" customHeight="1">
      <c r="A149" s="20" t="inlineStr">
        <is>
          <t>B2</t>
        </is>
      </c>
      <c r="B149" s="18" t="inlineStr">
        <is>
          <t>P4 / M3</t>
        </is>
      </c>
      <c r="C149" s="18" t="inlineStr">
        <is>
          <t>Senior / Manager</t>
        </is>
      </c>
      <c r="D149" s="18" t="inlineStr">
        <is>
          <t>4–5</t>
        </is>
      </c>
      <c r="E149" s="18" t="inlineStr">
        <is>
          <t>Senior</t>
        </is>
      </c>
      <c r="F149" s="18" t="inlineStr">
        <is>
          <t>L5 · Senior</t>
        </is>
      </c>
      <c r="G149" s="18" t="inlineStr">
        <is>
          <t>63</t>
        </is>
      </c>
      <c r="H149" s="18" t="inlineStr">
        <is>
          <t>L5–L6</t>
        </is>
      </c>
      <c r="I149" s="18" t="inlineStr">
        <is>
          <t>Senior SE</t>
        </is>
      </c>
      <c r="J149" s="18" t="inlineStr">
        <is>
          <t>JL5 Technology Lead</t>
        </is>
      </c>
      <c r="K149" s="18" t="inlineStr">
        <is>
          <t>C3A Assistant Consultant</t>
        </is>
      </c>
      <c r="L149" s="18" t="inlineStr">
        <is>
          <t>L8 Associate Manager</t>
        </is>
      </c>
      <c r="M149" s="18" t="inlineStr">
        <is>
          <t>Manager</t>
        </is>
      </c>
      <c r="N149" s="18" t="inlineStr">
        <is>
          <t>—</t>
        </is>
      </c>
    </row>
    <row r="150" ht="28" customHeight="1">
      <c r="A150" s="33" t="inlineStr">
        <is>
          <t>C1</t>
        </is>
      </c>
      <c r="B150" s="151" t="inlineStr">
        <is>
          <t>P6 / M5</t>
        </is>
      </c>
      <c r="C150" s="151" t="inlineStr">
        <is>
          <t>Principal / Director</t>
        </is>
      </c>
      <c r="D150" s="151" t="inlineStr">
        <is>
          <t>5–6</t>
        </is>
      </c>
      <c r="E150" s="151" t="inlineStr">
        <is>
          <t>Staff / Senior Manager</t>
        </is>
      </c>
      <c r="F150" s="151" t="inlineStr">
        <is>
          <t>L6 · Staff</t>
        </is>
      </c>
      <c r="G150" s="151" t="inlineStr">
        <is>
          <t>64–65</t>
        </is>
      </c>
      <c r="H150" s="151" t="inlineStr">
        <is>
          <t>L6</t>
        </is>
      </c>
      <c r="I150" s="151" t="inlineStr">
        <is>
          <t>Staff SE</t>
        </is>
      </c>
      <c r="J150" s="151" t="inlineStr">
        <is>
          <t>JL6B</t>
        </is>
      </c>
      <c r="K150" s="151" t="inlineStr">
        <is>
          <t>C4 Consultant</t>
        </is>
      </c>
      <c r="L150" s="151" t="inlineStr">
        <is>
          <t>L7 Manager</t>
        </is>
      </c>
      <c r="M150" s="151" t="inlineStr">
        <is>
          <t>Associate Director</t>
        </is>
      </c>
      <c r="N150" s="151" t="inlineStr">
        <is>
          <t>—</t>
        </is>
      </c>
    </row>
    <row r="151" ht="41" customHeight="1">
      <c r="A151" s="39" t="inlineStr">
        <is>
          <t>D2</t>
        </is>
      </c>
      <c r="B151" s="146" t="inlineStr">
        <is>
          <t>E3–E4</t>
        </is>
      </c>
      <c r="C151" s="146" t="inlineStr">
        <is>
          <t>SVP</t>
        </is>
      </c>
      <c r="D151" s="146" t="inlineStr">
        <is>
          <t>7 Set strategy</t>
        </is>
      </c>
      <c r="E151" s="146" t="inlineStr">
        <is>
          <t>VP</t>
        </is>
      </c>
      <c r="F151" s="146" t="inlineStr">
        <is>
          <t>L8 · Director</t>
        </is>
      </c>
      <c r="G151" s="146" t="inlineStr">
        <is>
          <t>68</t>
        </is>
      </c>
      <c r="H151" s="146" t="inlineStr">
        <is>
          <t>L8</t>
        </is>
      </c>
      <c r="I151" s="146" t="inlineStr">
        <is>
          <t>—</t>
        </is>
      </c>
      <c r="J151" s="146" t="inlineStr">
        <is>
          <t>—</t>
        </is>
      </c>
      <c r="K151" s="146" t="inlineStr">
        <is>
          <t>SP1 Principal Consultant</t>
        </is>
      </c>
      <c r="L151" s="146" t="inlineStr">
        <is>
          <t>—</t>
        </is>
      </c>
      <c r="M151" s="146" t="inlineStr">
        <is>
          <t>Partner</t>
        </is>
      </c>
      <c r="N151" s="146" t="inlineStr">
        <is>
          <t>—</t>
        </is>
      </c>
    </row>
    <row r="152" ht="15" customHeight="1"/>
    <row r="153" ht="41" customHeight="1">
      <c r="A153" s="11" t="inlineStr">
        <is>
          <t>Equivalence of scope, not pay. Each company cell is the level whose typical experience matches the IRIS level's experience range, or one step lower where the IRIS role carries less scope than the same title at a much larger firm · global product companies from B3 up. It is never higher than the experience match. Google / Microsoft / Amazon / Workiva / Infosys / TCS titles are engineering-ladder titles; per role · sheets 6–7 non-technology roles show the grade code only.</t>
        </is>
      </c>
    </row>
    <row r="154" ht="15" customHeight="1">
      <c r="A154" s="12" t="inlineStr">
        <is>
          <t>Job family</t>
        </is>
      </c>
      <c r="B154" s="209" t="n"/>
      <c r="C154" s="12" t="inlineStr">
        <is>
          <t>IRIS IC ladder · A2 → C1</t>
        </is>
      </c>
      <c r="D154" s="210" t="n"/>
      <c r="E154" s="210" t="n"/>
      <c r="F154" s="209" t="n"/>
      <c r="G154" s="12" t="inlineStr">
        <is>
          <t>IRIS manager ladder</t>
        </is>
      </c>
      <c r="H154" s="210" t="n"/>
      <c r="I154" s="209" t="n"/>
      <c r="J154" s="12" t="inlineStr">
        <is>
          <t>Market comparison</t>
        </is>
      </c>
      <c r="K154" s="210" t="n"/>
      <c r="L154" s="209" t="n"/>
      <c r="M154" s="12" t="inlineStr">
        <is>
          <t>Reference</t>
        </is>
      </c>
      <c r="N154" s="12" t="inlineStr">
        <is>
          <t>People</t>
        </is>
      </c>
    </row>
    <row r="155" ht="54" customHeight="1">
      <c r="A155" s="13" t="inlineStr">
        <is>
          <t>Engineering &amp; Development</t>
        </is>
      </c>
      <c r="B155" s="209" t="n"/>
      <c r="C155" s="16" t="inlineStr">
        <is>
          <t>Software Engineer → Senior Software Engineer → Technical Specialist → Senior Technical Specialist → Lead Software Engineer → Principal Software Engineer</t>
        </is>
      </c>
      <c r="D155" s="210" t="n"/>
      <c r="E155" s="210" t="n"/>
      <c r="F155" s="209" t="n"/>
      <c r="G155" s="16" t="inlineStr">
        <is>
          <t>Team Lead → Engineering Manager → Senior Engineering Manager → Head – Product Engineering</t>
        </is>
      </c>
      <c r="H155" s="210" t="n"/>
      <c r="I155" s="209" t="n"/>
      <c r="J155" s="16" t="inlineStr">
        <is>
          <r>
            <rPr>
              <rFont val="Calibri"/>
              <b val="1"/>
              <sz val="10"/>
            </rPr>
            <t>Workiva:</t>
          </r>
          <r>
            <rPr>
              <rFont val="Calibri"/>
              <sz val="10"/>
            </rPr>
            <t xml:space="preserve"> Associate SE → SE → Senior → Staff; Radford engineering P1–P6 / M3–M6</t>
          </r>
        </is>
      </c>
      <c r="K155" s="210" t="n"/>
      <c r="L155" s="209" t="n"/>
      <c r="M155" s="16" t="inlineStr">
        <is>
          <t>Workiva · Levels.fyi, Radford / Pave</t>
        </is>
      </c>
      <c r="N155" s="15" t="n">
        <v>7</v>
      </c>
    </row>
    <row r="156" ht="54" customHeight="1">
      <c r="A156" s="13" t="inlineStr">
        <is>
          <t>Sales &amp; Business Development</t>
        </is>
      </c>
      <c r="B156" s="209" t="n"/>
      <c r="C156" s="16" t="inlineStr">
        <is>
          <t>SDR → Senior SDR → Account Executive → Senior Account Executive → Lead Account Executive</t>
        </is>
      </c>
      <c r="D156" s="210" t="n"/>
      <c r="E156" s="210" t="n"/>
      <c r="F156" s="209" t="n"/>
      <c r="G156" s="16" t="inlineStr">
        <is>
          <t>Team Lead → Sales / SDR Manager → Senior Sales Manager → Head – Sales → AVP / VP Sales</t>
        </is>
      </c>
      <c r="H156" s="210" t="n"/>
      <c r="I156" s="209" t="n"/>
      <c r="J156" s="16" t="inlineStr">
        <is>
          <t>SDR → AE → Senior AE; Sales Manager M3; Head of Sales M5</t>
        </is>
      </c>
      <c r="K156" s="210" t="n"/>
      <c r="L156" s="209" t="n"/>
      <c r="M156" s="16" t="inlineStr">
        <is>
          <t>Radford / Pave, JobsPipe title hierarchy</t>
        </is>
      </c>
      <c r="N156" s="15" t="n">
        <v>8</v>
      </c>
    </row>
    <row r="157" ht="41" customHeight="1">
      <c r="A157" s="13" t="inlineStr">
        <is>
          <t>Marketing &amp; Communications</t>
        </is>
      </c>
      <c r="B157" s="209" t="n"/>
      <c r="C157" s="16" t="inlineStr">
        <is>
          <t>Marketing Associate → Senior Associate → Marketing Specialist → Senior Specialist → Lead Specialist</t>
        </is>
      </c>
      <c r="D157" s="210" t="n"/>
      <c r="E157" s="210" t="n"/>
      <c r="F157" s="209" t="n"/>
      <c r="G157" s="16" t="inlineStr">
        <is>
          <t>Team Lead → Marketing Manager → Senior Marketing Manager → Head – Marketing</t>
        </is>
      </c>
      <c r="H157" s="210" t="n"/>
      <c r="I157" s="209" t="n"/>
      <c r="J157" s="16" t="inlineStr">
        <is>
          <t>Specialist P2–P5; Manager M3–M5</t>
        </is>
      </c>
      <c r="K157" s="210" t="n"/>
      <c r="L157" s="209" t="n"/>
      <c r="M157" s="16" t="inlineStr">
        <is>
          <t>Radford / Pave</t>
        </is>
      </c>
      <c r="N157" s="15" t="n">
        <v>4</v>
      </c>
    </row>
    <row r="158" ht="41" customHeight="1">
      <c r="A158" s="13" t="inlineStr">
        <is>
          <t>Quality Assurance</t>
        </is>
      </c>
      <c r="B158" s="209" t="n"/>
      <c r="C158" s="16" t="inlineStr">
        <is>
          <t>QA Engineer → Senior QA Engineer → QA Specialist → Senior QA Specialist → Lead QA Engineer → Principal QA Engineer</t>
        </is>
      </c>
      <c r="D158" s="210" t="n"/>
      <c r="E158" s="210" t="n"/>
      <c r="F158" s="209" t="n"/>
      <c r="G158" s="16" t="inlineStr">
        <is>
          <t>Team Lead → QA Manager → Senior QA Manager → Head – Quality</t>
        </is>
      </c>
      <c r="H158" s="210" t="n"/>
      <c r="I158" s="209" t="n"/>
      <c r="J158" s="16" t="inlineStr">
        <is>
          <t>QA ladders follow engineering P1–P6 / M3–M6</t>
        </is>
      </c>
      <c r="K158" s="210" t="n"/>
      <c r="L158" s="209" t="n"/>
      <c r="M158" s="16" t="inlineStr">
        <is>
          <t>Radford / Pave</t>
        </is>
      </c>
      <c r="N158" s="15" t="n">
        <v>2</v>
      </c>
    </row>
    <row r="159" ht="41" customHeight="1">
      <c r="A159" s="13" t="inlineStr">
        <is>
          <t>Product Management</t>
        </is>
      </c>
      <c r="B159" s="209" t="n"/>
      <c r="C159" s="16" t="inlineStr">
        <is>
          <t>Product Associate → Senior Product Associate → Associate PM → Product Manager → Senior PM → Principal PM</t>
        </is>
      </c>
      <c r="D159" s="210" t="n"/>
      <c r="E159" s="210" t="n"/>
      <c r="F159" s="209" t="n"/>
      <c r="G159" s="16" t="inlineStr">
        <is>
          <t>Group Product Manager → Associate Head – Product → Head – Product</t>
        </is>
      </c>
      <c r="H159" s="210" t="n"/>
      <c r="I159" s="209" t="n"/>
      <c r="J159" s="16" t="inlineStr">
        <is>
          <t>APM → PM → Senior PM → Principal / Group PM</t>
        </is>
      </c>
      <c r="K159" s="210" t="n"/>
      <c r="L159" s="209" t="n"/>
      <c r="M159" s="16" t="inlineStr">
        <is>
          <t>Radford / Pave</t>
        </is>
      </c>
      <c r="N159" s="15" t="n">
        <v>6</v>
      </c>
    </row>
    <row r="160" ht="41" customHeight="1">
      <c r="A160" s="13" t="inlineStr">
        <is>
          <t>Executive Leadership</t>
        </is>
      </c>
      <c r="B160" s="209" t="n"/>
      <c r="C160" s="16" t="inlineStr">
        <is>
          <t>—</t>
        </is>
      </c>
      <c r="D160" s="210" t="n"/>
      <c r="E160" s="210" t="n"/>
      <c r="F160" s="209" t="n"/>
      <c r="G160" s="16" t="inlineStr">
        <is>
          <t>Associate Vice President / Business Head → Vice President → CXO → CEO</t>
        </is>
      </c>
      <c r="H160" s="210" t="n"/>
      <c r="I160" s="209" t="n"/>
      <c r="J160" s="16" t="inlineStr">
        <is>
          <t>Executive E1–E6</t>
        </is>
      </c>
      <c r="K160" s="210" t="n"/>
      <c r="L160" s="209" t="n"/>
      <c r="M160" s="16" t="inlineStr">
        <is>
          <t>Radford / Pave</t>
        </is>
      </c>
      <c r="N160" s="15" t="n">
        <v>1</v>
      </c>
    </row>
    <row r="161" ht="28" customHeight="1">
      <c r="A161" s="13" t="inlineStr">
        <is>
          <t>Design &amp; Creative</t>
        </is>
      </c>
      <c r="B161" s="209" t="n"/>
      <c r="C161" s="16" t="inlineStr">
        <is>
          <t>Designer → Senior Designer → Design Specialist → Senior Design Specialist → Lead Designer</t>
        </is>
      </c>
      <c r="D161" s="210" t="n"/>
      <c r="E161" s="210" t="n"/>
      <c r="F161" s="209" t="n"/>
      <c r="G161" s="16" t="inlineStr">
        <is>
          <t>Team Lead → Design Manager → Head – Design</t>
        </is>
      </c>
      <c r="H161" s="210" t="n"/>
      <c r="I161" s="209" t="n"/>
      <c r="J161" s="16" t="inlineStr">
        <is>
          <t>Designer P1–P5 / M3–M5</t>
        </is>
      </c>
      <c r="K161" s="210" t="n"/>
      <c r="L161" s="209" t="n"/>
      <c r="M161" s="16" t="inlineStr">
        <is>
          <t>Radford / Pave</t>
        </is>
      </c>
      <c r="N161" s="15" t="n">
        <v>2</v>
      </c>
    </row>
    <row r="162" ht="41" customHeight="1">
      <c r="A162" s="13" t="inlineStr">
        <is>
          <t>Data &amp; Analytics</t>
        </is>
      </c>
      <c r="B162" s="209" t="n"/>
      <c r="C162" s="16" t="inlineStr">
        <is>
          <t>Data Analyst → Senior Data Analyst → Data Analytics Specialist → Senior Specialist → Lead Data Analyst</t>
        </is>
      </c>
      <c r="D162" s="210" t="n"/>
      <c r="E162" s="210" t="n"/>
      <c r="F162" s="209" t="n"/>
      <c r="G162" s="16" t="inlineStr">
        <is>
          <t>Team Lead → Data Operations Manager → Senior Manager</t>
        </is>
      </c>
      <c r="H162" s="210" t="n"/>
      <c r="I162" s="209" t="n"/>
      <c r="J162" s="16" t="inlineStr">
        <is>
          <t>Analyst P1–P5 / Manager M3–M4</t>
        </is>
      </c>
      <c r="K162" s="210" t="n"/>
      <c r="L162" s="209" t="n"/>
      <c r="M162" s="16" t="inlineStr">
        <is>
          <t>Radford / Pave</t>
        </is>
      </c>
      <c r="N162" s="15" t="n">
        <v>1</v>
      </c>
    </row>
    <row r="163" ht="28" customHeight="1">
      <c r="A163" s="13" t="inlineStr">
        <is>
          <t>Engineering &amp; Architecture</t>
        </is>
      </c>
      <c r="B163" s="209" t="n"/>
      <c r="C163" s="16" t="inlineStr">
        <is>
          <t>Lead Software Engineer → Technical Architect → Senior Technical / Solution Architect</t>
        </is>
      </c>
      <c r="D163" s="210" t="n"/>
      <c r="E163" s="210" t="n"/>
      <c r="F163" s="209" t="n"/>
      <c r="G163" s="16" t="inlineStr">
        <is>
          <t>—</t>
        </is>
      </c>
      <c r="H163" s="210" t="n"/>
      <c r="I163" s="209" t="n"/>
      <c r="J163" s="16" t="inlineStr">
        <is>
          <t>Staff / Principal architect ≈ P6–P7</t>
        </is>
      </c>
      <c r="K163" s="210" t="n"/>
      <c r="L163" s="209" t="n"/>
      <c r="M163" s="16" t="inlineStr">
        <is>
          <t>Radford / Pave, Workiva</t>
        </is>
      </c>
      <c r="N163" s="15" t="n">
        <v>1</v>
      </c>
    </row>
    <row r="164" ht="15" customHeight="1"/>
    <row r="165" ht="20" customHeight="1">
      <c r="A165" s="6" t="inlineStr">
        <is>
          <t>8. STEPS 10–11 · Capability and development — headline</t>
        </is>
      </c>
    </row>
    <row r="166" ht="28" customHeight="1">
      <c r="A166" s="12" t="inlineStr">
        <is>
          <t>Department</t>
        </is>
      </c>
      <c r="B166" s="209" t="n"/>
      <c r="C166" s="12" t="inlineStr">
        <is>
          <t>People</t>
        </is>
      </c>
      <c r="D166" s="12" t="inlineStr">
        <is>
          <t>Avg competency index %</t>
        </is>
      </c>
      <c r="E166" s="12" t="inlineStr">
        <is>
          <t>Most common gaps</t>
        </is>
      </c>
      <c r="F166" s="210" t="n"/>
      <c r="G166" s="210" t="n"/>
      <c r="H166" s="209" t="n"/>
      <c r="I166" s="12" t="inlineStr">
        <is>
          <t>What helped people learn · survey</t>
        </is>
      </c>
      <c r="J166" s="210" t="n"/>
      <c r="K166" s="209" t="n"/>
      <c r="L166" s="12" t="inlineStr">
        <is>
          <t>AI / automation impact</t>
        </is>
      </c>
      <c r="M166" s="210" t="n"/>
      <c r="N166" s="209" t="n"/>
    </row>
    <row r="167" ht="41" customHeight="1">
      <c r="A167" s="13" t="inlineStr">
        <is>
          <t>Datatech - Outreach</t>
        </is>
      </c>
      <c r="B167" s="209" t="n"/>
      <c r="C167" s="15" t="n">
        <v>8</v>
      </c>
      <c r="D167" s="15" t="n">
        <v>84</v>
      </c>
      <c r="E167" s="16" t="inlineStr">
        <is>
          <t>Communication · Product &amp; domain · Business acumen · Ownership</t>
        </is>
      </c>
      <c r="F167" s="210" t="n"/>
      <c r="G167" s="210" t="n"/>
      <c r="H167" s="209" t="n"/>
      <c r="I167" s="16" t="inlineStr">
        <is>
          <t>Formal / classroom training · Mentoring / guidance from seniors · On-the-job / hands-on</t>
        </is>
      </c>
      <c r="J167" s="210" t="n"/>
      <c r="K167" s="209" t="n"/>
      <c r="L167" s="16" t="inlineStr">
        <is>
          <t>1 of 6 say the role is changing because of AI / automation</t>
        </is>
      </c>
      <c r="M167" s="210" t="n"/>
      <c r="N167" s="209" t="n"/>
    </row>
    <row r="168" ht="54" customHeight="1">
      <c r="A168" s="13" t="inlineStr">
        <is>
          <t>Datatech Business Head</t>
        </is>
      </c>
      <c r="B168" s="209" t="n"/>
      <c r="C168" s="15" t="n">
        <v>1</v>
      </c>
      <c r="D168" s="15" t="inlineStr">
        <is>
          <t>—</t>
        </is>
      </c>
      <c r="E168" s="16" t="inlineStr">
        <is>
          <t>—</t>
        </is>
      </c>
      <c r="F168" s="210" t="n"/>
      <c r="G168" s="210" t="n"/>
      <c r="H168" s="209" t="n"/>
      <c r="I168" s="16" t="inlineStr">
        <is>
          <r>
            <rPr>
              <rFont val="Calibri"/>
              <b val="1"/>
              <sz val="10"/>
            </rPr>
            <t>Withheld:</t>
          </r>
          <r>
            <rPr>
              <rFont val="Calibri"/>
              <sz val="10"/>
            </rPr>
            <t xml:space="preserve"> fewer than 3 role-holders answered the survey, so answers would identify a person · IRIS role catalogue entry to follow</t>
          </r>
        </is>
      </c>
      <c r="J168" s="210" t="n"/>
      <c r="K168" s="209" t="n"/>
      <c r="L168" s="16" t="inlineStr">
        <is>
          <t>—</t>
        </is>
      </c>
      <c r="M168" s="210" t="n"/>
      <c r="N168" s="209" t="n"/>
    </row>
    <row r="169" ht="28" customHeight="1">
      <c r="A169" s="13" t="inlineStr">
        <is>
          <t>Marketing</t>
        </is>
      </c>
      <c r="B169" s="209" t="n"/>
      <c r="C169" s="15" t="n">
        <v>5</v>
      </c>
      <c r="D169" s="15" t="n">
        <v>86</v>
      </c>
      <c r="E169" s="16" t="inlineStr">
        <is>
          <t>Product &amp; domain · Communication · AI / GenAI · Business acumen</t>
        </is>
      </c>
      <c r="F169" s="210" t="n"/>
      <c r="G169" s="210" t="n"/>
      <c r="H169" s="209" t="n"/>
      <c r="I169" s="16" t="inlineStr">
        <is>
          <t>—</t>
        </is>
      </c>
      <c r="J169" s="210" t="n"/>
      <c r="K169" s="209" t="n"/>
      <c r="L169" s="16" t="inlineStr">
        <is>
          <t>1 of 4 say the role is changing because of AI / automation</t>
        </is>
      </c>
      <c r="M169" s="210" t="n"/>
      <c r="N169" s="209" t="n"/>
    </row>
    <row r="170" ht="54" customHeight="1">
      <c r="A170" s="13" t="inlineStr">
        <is>
          <t>Not provided · HRIS</t>
        </is>
      </c>
      <c r="B170" s="209" t="n"/>
      <c r="C170" s="15" t="n">
        <v>2</v>
      </c>
      <c r="D170" s="15" t="inlineStr">
        <is>
          <t>—</t>
        </is>
      </c>
      <c r="E170" s="16" t="inlineStr">
        <is>
          <t>—</t>
        </is>
      </c>
      <c r="F170" s="210" t="n"/>
      <c r="G170" s="210" t="n"/>
      <c r="H170" s="209" t="n"/>
      <c r="I170" s="16" t="inlineStr">
        <is>
          <r>
            <rPr>
              <rFont val="Calibri"/>
              <b val="1"/>
              <sz val="10"/>
            </rPr>
            <t>Withheld:</t>
          </r>
          <r>
            <rPr>
              <rFont val="Calibri"/>
              <sz val="10"/>
            </rPr>
            <t xml:space="preserve"> fewer than 3 role-holders answered the survey, so answers would identify a person · IRIS role catalogue entry to follow</t>
          </r>
        </is>
      </c>
      <c r="J170" s="210" t="n"/>
      <c r="K170" s="209" t="n"/>
      <c r="L170" s="16" t="inlineStr">
        <is>
          <t>—</t>
        </is>
      </c>
      <c r="M170" s="210" t="n"/>
      <c r="N170" s="209" t="n"/>
    </row>
    <row r="171" ht="41" customHeight="1">
      <c r="A171" s="13" t="inlineStr">
        <is>
          <t>Product Management</t>
        </is>
      </c>
      <c r="B171" s="209" t="n"/>
      <c r="C171" s="15" t="n">
        <v>5</v>
      </c>
      <c r="D171" s="15" t="n">
        <v>96</v>
      </c>
      <c r="E171" s="16" t="inlineStr">
        <is>
          <t>Requirements · Analytics &amp; BI · AI / GenAI · Stakeholder mgmt</t>
        </is>
      </c>
      <c r="F171" s="210" t="n"/>
      <c r="G171" s="210" t="n"/>
      <c r="H171" s="209" t="n"/>
      <c r="I171" s="16" t="inlineStr">
        <is>
          <t>Mentoring / guidance from seniors · On-the-job / hands-on · Knowledge transfer · KT</t>
        </is>
      </c>
      <c r="J171" s="210" t="n"/>
      <c r="K171" s="209" t="n"/>
      <c r="L171" s="16" t="inlineStr">
        <is>
          <t>3 of 5 say the role is changing because of AI / automation</t>
        </is>
      </c>
      <c r="M171" s="210" t="n"/>
      <c r="N171" s="209" t="n"/>
    </row>
    <row r="172" ht="54" customHeight="1">
      <c r="A172" s="13" t="inlineStr">
        <is>
          <t>Quality Assurance</t>
        </is>
      </c>
      <c r="B172" s="209" t="n"/>
      <c r="C172" s="15" t="n">
        <v>2</v>
      </c>
      <c r="D172" s="15" t="n">
        <v>94</v>
      </c>
      <c r="E172" s="16" t="inlineStr">
        <is>
          <t>AI / GenAI · Problem solving · Learning agility · SQL &amp; data</t>
        </is>
      </c>
      <c r="F172" s="210" t="n"/>
      <c r="G172" s="210" t="n"/>
      <c r="H172" s="209" t="n"/>
      <c r="I172" s="16" t="inlineStr">
        <is>
          <r>
            <rPr>
              <rFont val="Calibri"/>
              <b val="1"/>
              <sz val="10"/>
            </rPr>
            <t>Withheld:</t>
          </r>
          <r>
            <rPr>
              <rFont val="Calibri"/>
              <sz val="10"/>
            </rPr>
            <t xml:space="preserve"> fewer than 3 role-holders answered the survey, so answers would identify a person · IRIS role catalogue entry to follow</t>
          </r>
        </is>
      </c>
      <c r="J172" s="210" t="n"/>
      <c r="K172" s="209" t="n"/>
      <c r="L172" s="16" t="inlineStr">
        <is>
          <t>—</t>
        </is>
      </c>
      <c r="M172" s="210" t="n"/>
      <c r="N172" s="209" t="n"/>
    </row>
    <row r="173" ht="54" customHeight="1">
      <c r="A173" s="13" t="inlineStr">
        <is>
          <t>Sales</t>
        </is>
      </c>
      <c r="B173" s="209" t="n"/>
      <c r="C173" s="15" t="n">
        <v>1</v>
      </c>
      <c r="D173" s="15" t="inlineStr">
        <is>
          <t>—</t>
        </is>
      </c>
      <c r="E173" s="16" t="inlineStr">
        <is>
          <t>—</t>
        </is>
      </c>
      <c r="F173" s="210" t="n"/>
      <c r="G173" s="210" t="n"/>
      <c r="H173" s="209" t="n"/>
      <c r="I173" s="16" t="inlineStr">
        <is>
          <r>
            <rPr>
              <rFont val="Calibri"/>
              <b val="1"/>
              <sz val="10"/>
            </rPr>
            <t>Withheld:</t>
          </r>
          <r>
            <rPr>
              <rFont val="Calibri"/>
              <sz val="10"/>
            </rPr>
            <t xml:space="preserve"> fewer than 3 role-holders answered the survey, so answers would identify a person · IRIS role catalogue entry to follow</t>
          </r>
        </is>
      </c>
      <c r="J173" s="210" t="n"/>
      <c r="K173" s="209" t="n"/>
      <c r="L173" s="16" t="inlineStr">
        <is>
          <t>—</t>
        </is>
      </c>
      <c r="M173" s="210" t="n"/>
      <c r="N173" s="209" t="n"/>
    </row>
    <row r="174" ht="28" customHeight="1">
      <c r="A174" s="13" t="inlineStr">
        <is>
          <t>Technology</t>
        </is>
      </c>
      <c r="B174" s="209" t="n"/>
      <c r="C174" s="15" t="n">
        <v>10</v>
      </c>
      <c r="D174" s="15" t="n">
        <v>89</v>
      </c>
      <c r="E174" s="16" t="inlineStr">
        <is>
          <t>SQL &amp; data · System design · Ownership · Learning agility</t>
        </is>
      </c>
      <c r="F174" s="210" t="n"/>
      <c r="G174" s="210" t="n"/>
      <c r="H174" s="209" t="n"/>
      <c r="I174" s="16" t="inlineStr">
        <is>
          <t>Mentoring / guidance from seniors · On-the-job / hands-on</t>
        </is>
      </c>
      <c r="J174" s="210" t="n"/>
      <c r="K174" s="209" t="n"/>
      <c r="L174" s="16" t="inlineStr">
        <is>
          <t>3 of 5 say the role is changing because of AI / automation</t>
        </is>
      </c>
      <c r="M174" s="210" t="n"/>
      <c r="N174" s="209" t="n"/>
    </row>
    <row r="175" ht="15" customHeight="1"/>
    <row r="176" ht="20" customHeight="1">
      <c r="A176" s="6" t="inlineStr">
        <is>
          <t>9. STEP 12 · Validation, change log and open decisions</t>
        </is>
      </c>
    </row>
    <row r="177" ht="28" customHeight="1">
      <c r="A177" s="12" t="inlineStr">
        <is>
          <t>Person</t>
        </is>
      </c>
      <c r="B177" s="209" t="n"/>
      <c r="C177" s="12" t="inlineStr">
        <is>
          <t>Department</t>
        </is>
      </c>
      <c r="D177" s="209" t="n"/>
      <c r="E177" s="12" t="inlineStr">
        <is>
          <t>Earlier proposal</t>
        </is>
      </c>
      <c r="F177" s="12" t="inlineStr">
        <is>
          <t>Final</t>
        </is>
      </c>
      <c r="G177" s="12" t="inlineStr">
        <is>
          <t>Why</t>
        </is>
      </c>
      <c r="H177" s="210" t="n"/>
      <c r="I177" s="210" t="n"/>
      <c r="J177" s="210" t="n"/>
      <c r="K177" s="210" t="n"/>
      <c r="L177" s="210" t="n"/>
      <c r="M177" s="210" t="n"/>
      <c r="N177" s="209" t="n"/>
    </row>
    <row r="178" ht="28" customHeight="1">
      <c r="A178" s="13" t="inlineStr">
        <is>
          <t>Shilpa Dhobale</t>
        </is>
      </c>
      <c r="B178" s="209" t="n"/>
      <c r="C178" s="16" t="inlineStr">
        <is>
          <t>Datatech Business Head</t>
        </is>
      </c>
      <c r="D178" s="209" t="n"/>
      <c r="E178" s="15" t="inlineStr">
        <is>
          <t>D1</t>
        </is>
      </c>
      <c r="F178" s="15" t="inlineStr">
        <is>
          <t>D2</t>
        </is>
      </c>
      <c r="G178" s="16" t="inlineStr">
        <is>
          <r>
            <rPr>
              <rFont val="Calibri"/>
              <b val="1"/>
              <sz val="10"/>
            </rPr>
            <t>Leadership decision:</t>
          </r>
          <r>
            <rPr>
              <rFont val="Calibri"/>
              <sz val="10"/>
            </rPr>
            <t xml:space="preserve"> Leadership structure: Datatech Business Head at D2; designation now Business Head – DataTech</t>
          </r>
        </is>
      </c>
      <c r="H178" s="210" t="n"/>
      <c r="I178" s="210" t="n"/>
      <c r="J178" s="210" t="n"/>
      <c r="K178" s="210" t="n"/>
      <c r="L178" s="210" t="n"/>
      <c r="M178" s="210" t="n"/>
      <c r="N178" s="209" t="n"/>
    </row>
    <row r="179" ht="15" customHeight="1">
      <c r="A179" s="13" t="inlineStr">
        <is>
          <t>Ankita Pathak</t>
        </is>
      </c>
      <c r="B179" s="209" t="n"/>
      <c r="C179" s="16" t="inlineStr">
        <is>
          <t>Marketing</t>
        </is>
      </c>
      <c r="D179" s="209" t="n"/>
      <c r="E179" s="15" t="inlineStr">
        <is>
          <t>B1</t>
        </is>
      </c>
      <c r="F179" s="15" t="inlineStr">
        <is>
          <t>B2</t>
        </is>
      </c>
      <c r="G179" s="16" t="inlineStr">
        <is>
          <t>Derived weight set SM-B-IC gives 4.68; designation now Marketing Specialist – POD Lead</t>
        </is>
      </c>
      <c r="H179" s="210" t="n"/>
      <c r="I179" s="210" t="n"/>
      <c r="J179" s="210" t="n"/>
      <c r="K179" s="210" t="n"/>
      <c r="L179" s="210" t="n"/>
      <c r="M179" s="210" t="n"/>
      <c r="N179" s="209" t="n"/>
    </row>
    <row r="180" ht="15" customHeight="1"/>
    <row r="181" ht="15" customHeight="1">
      <c r="A181" s="207" t="inlineStr">
        <is>
          <t xml:space="preserve">Close calls and near-gate cases for the calibration panel · 0; reasons on sheet 9, sections C and C2: </t>
        </is>
      </c>
    </row>
    <row r="182" ht="15" customHeight="1">
      <c r="A182" s="12" t="inlineStr">
        <is>
          <t>Open decision</t>
        </is>
      </c>
      <c r="B182" s="210" t="n"/>
      <c r="C182" s="209" t="n"/>
      <c r="D182" s="12" t="inlineStr">
        <is>
          <t>Facts here</t>
        </is>
      </c>
      <c r="E182" s="210" t="n"/>
      <c r="F182" s="210" t="n"/>
      <c r="G182" s="210" t="n"/>
      <c r="H182" s="209" t="n"/>
      <c r="I182" s="12" t="inlineStr">
        <is>
          <t>Recommendation</t>
        </is>
      </c>
      <c r="J182" s="210" t="n"/>
      <c r="K182" s="210" t="n"/>
      <c r="L182" s="210" t="n"/>
      <c r="M182" s="210" t="n"/>
      <c r="N182" s="209" t="n"/>
    </row>
    <row r="183" ht="28" customHeight="1">
      <c r="A183" s="13" t="inlineStr">
        <is>
          <t>Long-tenure people at A3</t>
        </is>
      </c>
      <c r="B183" s="210" t="n"/>
      <c r="C183" s="209" t="n"/>
      <c r="D183" s="16" t="inlineStr">
        <is>
          <t>0 people with 8+ yrs sit at A3 because their role shows Band A work.</t>
        </is>
      </c>
      <c r="E183" s="210" t="n"/>
      <c r="F183" s="210" t="n"/>
      <c r="G183" s="210" t="n"/>
      <c r="H183" s="209" t="n"/>
      <c r="I183" s="16" t="inlineStr">
        <is>
          <t>Keep the gate. Use the top of the A3 pay range for proven experts, and widen roles where real B1 work exists.</t>
        </is>
      </c>
      <c r="J183" s="210" t="n"/>
      <c r="K183" s="210" t="n"/>
      <c r="L183" s="210" t="n"/>
      <c r="M183" s="210" t="n"/>
      <c r="N183" s="209" t="n"/>
    </row>
    <row r="184" ht="28" customHeight="1">
      <c r="A184" s="13" t="inlineStr">
        <is>
          <t>Senior titles without a team</t>
        </is>
      </c>
      <c r="B184" s="210" t="n"/>
      <c r="C184" s="209" t="n"/>
      <c r="D184" s="16" t="inlineStr">
        <is>
          <t>Placed by role substance and structure; titles protected for one cycle.</t>
        </is>
      </c>
      <c r="E184" s="210" t="n"/>
      <c r="F184" s="210" t="n"/>
      <c r="G184" s="210" t="n"/>
      <c r="H184" s="209" t="n"/>
      <c r="I184" s="16" t="inlineStr">
        <is>
          <t>Business head to confirm scope.</t>
        </is>
      </c>
      <c r="J184" s="210" t="n"/>
      <c r="K184" s="210" t="n"/>
      <c r="L184" s="210" t="n"/>
      <c r="M184" s="210" t="n"/>
      <c r="N184" s="209" t="n"/>
    </row>
    <row r="185" ht="15" customHeight="1">
      <c r="A185" s="13" t="inlineStr">
        <is>
          <t>Pay ranges</t>
        </is>
      </c>
      <c r="B185" s="210" t="n"/>
      <c r="C185" s="209" t="n"/>
      <c r="D185" s="16" t="inlineStr">
        <is>
          <t>No pay data supplied.</t>
        </is>
      </c>
      <c r="E185" s="210" t="n"/>
      <c r="F185" s="210" t="n"/>
      <c r="G185" s="210" t="n"/>
      <c r="H185" s="209" t="n"/>
      <c r="I185" s="16" t="inlineStr">
        <is>
          <t>Buy one survey and apply Master M14.</t>
        </is>
      </c>
      <c r="J185" s="210" t="n"/>
      <c r="K185" s="210" t="n"/>
      <c r="L185" s="210" t="n"/>
      <c r="M185" s="210" t="n"/>
      <c r="N185" s="209" t="n"/>
    </row>
    <row r="186" ht="15" customHeight="1">
      <c r="A186" s="13" t="inlineStr">
        <is>
          <t>Consultants</t>
        </is>
      </c>
      <c r="B186" s="210" t="n"/>
      <c r="C186" s="209" t="n"/>
      <c r="D186" s="16" t="inlineStr">
        <is>
          <t>6 on statements of work.</t>
        </is>
      </c>
      <c r="E186" s="210" t="n"/>
      <c r="F186" s="210" t="n"/>
      <c r="G186" s="210" t="n"/>
      <c r="H186" s="209" t="n"/>
      <c r="I186" s="16" t="inlineStr">
        <is>
          <t>Confirm owner and SOW for each one.</t>
        </is>
      </c>
      <c r="J186" s="210" t="n"/>
      <c r="K186" s="210" t="n"/>
      <c r="L186" s="210" t="n"/>
      <c r="M186" s="210" t="n"/>
      <c r="N186" s="209" t="n"/>
    </row>
    <row r="187" ht="15" customHeight="1"/>
    <row r="188" ht="20" customHeight="1">
      <c r="A188" s="6" t="inlineStr">
        <is>
          <t>10. Data completeness</t>
        </is>
      </c>
    </row>
    <row r="189" ht="15" customHeight="1">
      <c r="A189" s="12" t="inlineStr">
        <is>
          <t>Input</t>
        </is>
      </c>
      <c r="B189" s="210" t="n"/>
      <c r="C189" s="210" t="n"/>
      <c r="D189" s="209" t="n"/>
      <c r="E189" s="12" t="inlineStr">
        <is>
          <t>Provided</t>
        </is>
      </c>
      <c r="F189" s="209" t="n"/>
      <c r="G189" s="12" t="inlineStr">
        <is>
          <t>Missing</t>
        </is>
      </c>
      <c r="H189" s="209" t="n"/>
      <c r="I189" s="12" t="inlineStr">
        <is>
          <t>Complete %</t>
        </is>
      </c>
      <c r="J189" s="209" t="n"/>
      <c r="K189" s="12" t="inlineStr">
        <is>
          <t>Who provides it</t>
        </is>
      </c>
      <c r="L189" s="210" t="n"/>
      <c r="M189" s="210" t="n"/>
      <c r="N189" s="209" t="n"/>
    </row>
    <row r="190" ht="15" customHeight="1">
      <c r="A190" s="13" t="inlineStr">
        <is>
          <t>Total experience</t>
        </is>
      </c>
      <c r="B190" s="210" t="n"/>
      <c r="C190" s="210" t="n"/>
      <c r="D190" s="209" t="n"/>
      <c r="E190" s="15" t="n">
        <v>25</v>
      </c>
      <c r="F190" s="209" t="n"/>
      <c r="G190" s="15" t="n">
        <v>9</v>
      </c>
      <c r="H190" s="209" t="n"/>
      <c r="I190" s="203" t="n">
        <v>0.7352941176470589</v>
      </c>
      <c r="J190" s="209" t="n"/>
      <c r="K190" s="16" t="inlineStr">
        <is>
          <t>HR · HRIS</t>
        </is>
      </c>
      <c r="L190" s="210" t="n"/>
      <c r="M190" s="210" t="n"/>
      <c r="N190" s="209" t="n"/>
    </row>
    <row r="191" ht="15" customHeight="1">
      <c r="A191" s="13" t="inlineStr">
        <is>
          <t>Qualification</t>
        </is>
      </c>
      <c r="B191" s="210" t="n"/>
      <c r="C191" s="210" t="n"/>
      <c r="D191" s="209" t="n"/>
      <c r="E191" s="15" t="n">
        <v>28</v>
      </c>
      <c r="F191" s="209" t="n"/>
      <c r="G191" s="15" t="n">
        <v>6</v>
      </c>
      <c r="H191" s="209" t="n"/>
      <c r="I191" s="203" t="n">
        <v>0.8235294117647058</v>
      </c>
      <c r="J191" s="209" t="n"/>
      <c r="K191" s="16" t="inlineStr">
        <is>
          <t>HR · HRIS</t>
        </is>
      </c>
      <c r="L191" s="210" t="n"/>
      <c r="M191" s="210" t="n"/>
      <c r="N191" s="209" t="n"/>
    </row>
    <row r="192" ht="15" customHeight="1">
      <c r="A192" s="13" t="inlineStr">
        <is>
          <t>Survey: purpose / deliverables</t>
        </is>
      </c>
      <c r="B192" s="210" t="n"/>
      <c r="C192" s="210" t="n"/>
      <c r="D192" s="209" t="n"/>
      <c r="E192" s="15" t="n">
        <v>23</v>
      </c>
      <c r="F192" s="209" t="n"/>
      <c r="G192" s="15" t="n">
        <v>11</v>
      </c>
      <c r="H192" s="209" t="n"/>
      <c r="I192" s="203" t="n">
        <v>0.6764705882352942</v>
      </c>
      <c r="J192" s="209" t="n"/>
      <c r="K192" s="16" t="inlineStr">
        <is>
          <t>Employee survey</t>
        </is>
      </c>
      <c r="L192" s="210" t="n"/>
      <c r="M192" s="210" t="n"/>
      <c r="N192" s="209" t="n"/>
    </row>
    <row r="193" ht="15" customHeight="1">
      <c r="A193" s="13" t="inlineStr">
        <is>
          <t>KRAs · self or manager</t>
        </is>
      </c>
      <c r="B193" s="210" t="n"/>
      <c r="C193" s="210" t="n"/>
      <c r="D193" s="209" t="n"/>
      <c r="E193" s="15" t="n">
        <v>14</v>
      </c>
      <c r="F193" s="209" t="n"/>
      <c r="G193" s="15" t="n">
        <v>20</v>
      </c>
      <c r="H193" s="209" t="n"/>
      <c r="I193" s="203" t="n">
        <v>0.4117647058823529</v>
      </c>
      <c r="J193" s="209" t="n"/>
      <c r="K193" s="16" t="inlineStr">
        <is>
          <t>Talent-mapping files</t>
        </is>
      </c>
      <c r="L193" s="210" t="n"/>
      <c r="M193" s="210" t="n"/>
      <c r="N193" s="209" t="n"/>
    </row>
    <row r="194" ht="15" customHeight="1">
      <c r="A194" s="13" t="inlineStr">
        <is>
          <t>Manager training need</t>
        </is>
      </c>
      <c r="B194" s="210" t="n"/>
      <c r="C194" s="210" t="n"/>
      <c r="D194" s="209" t="n"/>
      <c r="E194" s="15" t="n">
        <v>16</v>
      </c>
      <c r="F194" s="209" t="n"/>
      <c r="G194" s="15" t="n">
        <v>18</v>
      </c>
      <c r="H194" s="209" t="n"/>
      <c r="I194" s="203" t="n">
        <v>0.4705882352941176</v>
      </c>
      <c r="J194" s="209" t="n"/>
      <c r="K194" s="16" t="inlineStr">
        <is>
          <t>Manager</t>
        </is>
      </c>
      <c r="L194" s="210" t="n"/>
      <c r="M194" s="210" t="n"/>
      <c r="N194" s="209" t="n"/>
    </row>
    <row r="195" ht="15" customHeight="1">
      <c r="A195" s="13" t="inlineStr">
        <is>
          <t>Rating</t>
        </is>
      </c>
      <c r="B195" s="210" t="n"/>
      <c r="C195" s="210" t="n"/>
      <c r="D195" s="209" t="n"/>
      <c r="E195" s="15" t="n">
        <v>34</v>
      </c>
      <c r="F195" s="209" t="n"/>
      <c r="G195" s="15" t="n">
        <v>0</v>
      </c>
      <c r="H195" s="209" t="n"/>
      <c r="I195" s="203" t="n">
        <v>1</v>
      </c>
      <c r="J195" s="209" t="n"/>
      <c r="K195" s="16" t="inlineStr">
        <is>
          <t>Manager</t>
        </is>
      </c>
      <c r="L195" s="210" t="n"/>
      <c r="M195" s="210" t="n"/>
      <c r="N195" s="209" t="n"/>
    </row>
    <row r="196" ht="15" customHeight="1">
      <c r="A196" s="13" t="inlineStr">
        <is>
          <t>9-box</t>
        </is>
      </c>
      <c r="B196" s="210" t="n"/>
      <c r="C196" s="210" t="n"/>
      <c r="D196" s="209" t="n"/>
      <c r="E196" s="15" t="n">
        <v>28</v>
      </c>
      <c r="F196" s="209" t="n"/>
      <c r="G196" s="15" t="n">
        <v>6</v>
      </c>
      <c r="H196" s="209" t="n"/>
      <c r="I196" s="203" t="n">
        <v>0.8235294117647058</v>
      </c>
      <c r="J196" s="209" t="n"/>
      <c r="K196" s="16" t="inlineStr">
        <is>
          <t>Manager</t>
        </is>
      </c>
      <c r="L196" s="210" t="n"/>
      <c r="M196" s="210" t="n"/>
      <c r="N196" s="209" t="n"/>
    </row>
    <row r="197" ht="15" customHeight="1">
      <c r="A197" s="13" t="inlineStr">
        <is>
          <t>Pay range</t>
        </is>
      </c>
      <c r="B197" s="210" t="n"/>
      <c r="C197" s="210" t="n"/>
      <c r="D197" s="209" t="n"/>
      <c r="E197" s="15" t="n">
        <v>0</v>
      </c>
      <c r="F197" s="209" t="n"/>
      <c r="G197" s="15" t="n">
        <v>34</v>
      </c>
      <c r="H197" s="209" t="n"/>
      <c r="I197" s="203" t="n">
        <v>0</v>
      </c>
      <c r="J197" s="209" t="n"/>
      <c r="K197" s="16" t="inlineStr">
        <is>
          <t>HR · payroll</t>
        </is>
      </c>
      <c r="L197" s="210" t="n"/>
      <c r="M197" s="210" t="n"/>
      <c r="N197" s="209" t="n"/>
    </row>
    <row r="198" ht="15" customHeight="1"/>
    <row r="199" ht="20" customHeight="1">
      <c r="A199" s="6" t="inlineStr">
        <is>
          <t>11. Sources · full register: Master M16</t>
        </is>
      </c>
    </row>
    <row r="200" ht="15" customHeight="1">
      <c r="A200" s="12" t="inlineStr">
        <is>
          <t>ID</t>
        </is>
      </c>
      <c r="B200" s="12" t="inlineStr">
        <is>
          <t>Source</t>
        </is>
      </c>
      <c r="C200" s="210" t="n"/>
      <c r="D200" s="209" t="n"/>
      <c r="E200" s="12" t="inlineStr">
        <is>
          <t>What it contributed</t>
        </is>
      </c>
      <c r="F200" s="210" t="n"/>
      <c r="G200" s="210" t="n"/>
      <c r="H200" s="210" t="n"/>
      <c r="I200" s="209" t="n"/>
      <c r="J200" s="12" t="inlineStr">
        <is>
          <t>Link / where</t>
        </is>
      </c>
      <c r="K200" s="210" t="n"/>
      <c r="L200" s="210" t="n"/>
      <c r="M200" s="209" t="n"/>
      <c r="N200" s="12" t="inlineStr">
        <is>
          <t>Grade</t>
        </is>
      </c>
    </row>
    <row r="201" ht="28" customHeight="1">
      <c r="A201" s="13" t="inlineStr">
        <is>
          <t>S01</t>
        </is>
      </c>
      <c r="B201" s="16" t="inlineStr">
        <is>
          <t>Aon Radford — Global Job Architecture &amp; Leveling</t>
        </is>
      </c>
      <c r="C201" s="210" t="n"/>
      <c r="D201" s="209" t="n"/>
      <c r="E201" s="16" t="inlineStr">
        <is>
          <t>P1–P7 / M1–M6 / E1–E6 market codes on every IRIS level; dual IC / management streams</t>
        </is>
      </c>
      <c r="F201" s="210" t="n"/>
      <c r="G201" s="210" t="n"/>
      <c r="H201" s="210" t="n"/>
      <c r="I201" s="209" t="n"/>
      <c r="J201" s="16" t="inlineStr">
        <is>
          <t>https://radford.aon.com/en-us/products/release-notes/2021/radford-job-architecture-leveling</t>
        </is>
      </c>
      <c r="K201" s="210" t="n"/>
      <c r="L201" s="210" t="n"/>
      <c r="M201" s="209" t="n"/>
      <c r="N201" s="16" t="inlineStr">
        <is>
          <t>Primary</t>
        </is>
      </c>
    </row>
    <row r="202" ht="41" customHeight="1">
      <c r="A202" s="13" t="inlineStr">
        <is>
          <t>S02</t>
        </is>
      </c>
      <c r="B202" s="16" t="inlineStr">
        <is>
          <t>Pave — job levels and Radford / Mercer crosswalk</t>
        </is>
      </c>
      <c r="C202" s="210" t="n"/>
      <c r="D202" s="209" t="n"/>
      <c r="E202" s="16" t="inlineStr">
        <is>
          <t>Level names · P1 Entry, P2 Developing, P3 Career, P4 Senior, P5 Expert, P6 Principal; M3 Manager … M6 Senior Director and the Radford ↔ Mercer mapping</t>
        </is>
      </c>
      <c r="F202" s="210" t="n"/>
      <c r="G202" s="210" t="n"/>
      <c r="H202" s="210" t="n"/>
      <c r="I202" s="209" t="n"/>
      <c r="J202" s="16" t="inlineStr">
        <is>
          <t>https://support.pave.com/articles/understand-job-levels-SiKTjMHZtr.md</t>
        </is>
      </c>
      <c r="K202" s="210" t="n"/>
      <c r="L202" s="210" t="n"/>
      <c r="M202" s="209" t="n"/>
      <c r="N202" s="16" t="inlineStr">
        <is>
          <t>Primary</t>
        </is>
      </c>
    </row>
    <row r="203" ht="54" customHeight="1">
      <c r="A203" s="13" t="inlineStr">
        <is>
          <t>S03</t>
        </is>
      </c>
      <c r="B203" s="16" t="inlineStr">
        <is>
          <t>Mercer career levels · Executive, Management, Professional, Para-professional</t>
        </is>
      </c>
      <c r="C203" s="210" t="n"/>
      <c r="D203" s="209" t="n"/>
      <c r="E203" s="16" t="inlineStr">
        <is>
          <t>Management · M3+ = more time managing others' work than doing own work; M2 can be a team lead who also does the work; Mercer team-leader roles lead 2+ professionals → IRIS track rules · the 3-report manager threshold is IRIS's own rule</t>
        </is>
      </c>
      <c r="F203" s="210" t="n"/>
      <c r="G203" s="210" t="n"/>
      <c r="H203" s="210" t="n"/>
      <c r="I203" s="209" t="n"/>
      <c r="J203" s="16" t="inlineStr">
        <is>
          <t>https://help.figures.hr/en/articles/389223-mercer-levels ; https://info.mercer.com/rs/521-DEV-513/images/MLS-Job-Catalogue.pdf</t>
        </is>
      </c>
      <c r="K203" s="210" t="n"/>
      <c r="L203" s="210" t="n"/>
      <c r="M203" s="209" t="n"/>
      <c r="N203" s="16" t="inlineStr">
        <is>
          <t>Secondary</t>
        </is>
      </c>
    </row>
    <row r="204" ht="41" customHeight="1">
      <c r="A204" s="13" t="inlineStr">
        <is>
          <t>S04</t>
        </is>
      </c>
      <c r="B204" s="16" t="inlineStr">
        <is>
          <t>Mercer IPE · International Position Evaluation</t>
        </is>
      </c>
      <c r="C204" s="210" t="n"/>
      <c r="D204" s="209" t="n"/>
      <c r="E204" s="16" t="inlineStr">
        <is>
          <t>Factors Impact, Communication, Innovation, Knowledge · plus Effort &amp; Working Conditions, not used by IRIS → mapped to the IRIS six factors</t>
        </is>
      </c>
      <c r="F204" s="210" t="n"/>
      <c r="G204" s="210" t="n"/>
      <c r="H204" s="210" t="n"/>
      <c r="I204" s="209" t="n"/>
      <c r="J204" s="16" t="inlineStr">
        <is>
          <t>https://www.mercer.com/en-in/solutions/talent-and-rewards/job-architecture/job-evaluation-ipe/</t>
        </is>
      </c>
      <c r="K204" s="210" t="n"/>
      <c r="L204" s="210" t="n"/>
      <c r="M204" s="209" t="n"/>
      <c r="N204" s="16" t="inlineStr">
        <is>
          <t>Primary</t>
        </is>
      </c>
    </row>
    <row r="205" ht="67" customHeight="1">
      <c r="A205" s="13" t="inlineStr">
        <is>
          <t>S05</t>
        </is>
      </c>
      <c r="B205" s="16" t="inlineStr">
        <is>
          <t>Korn Ferry Hay Guide Chart-Profile method</t>
        </is>
      </c>
      <c r="C205" s="210" t="n"/>
      <c r="D205" s="209" t="n"/>
      <c r="E205" s="16" t="inlineStr">
        <is>
          <t>Factors Know-How, Problem Solving, Accountability · plus Working Conditions where it applies; used by 5,000+ private and public organisations</t>
        </is>
      </c>
      <c r="F205" s="210" t="n"/>
      <c r="G205" s="210" t="n"/>
      <c r="H205" s="210" t="n"/>
      <c r="I205" s="209" t="n"/>
      <c r="J205" s="16" t="inlineStr">
        <is>
          <t>https://www.gov.nl.ca/exec/tbs/department/branches/classification/what-is-the-korn-ferry-hay-group-guide-chart-profile-method-of-job-evaluation/ ; https://www.uwo.ca/humanresources/wjec/docs/hay_method_overview.pdf</t>
        </is>
      </c>
      <c r="K205" s="210" t="n"/>
      <c r="L205" s="210" t="n"/>
      <c r="M205" s="209" t="n"/>
      <c r="N205" s="16" t="inlineStr">
        <is>
          <t>Primary</t>
        </is>
      </c>
    </row>
    <row r="206" ht="54" customHeight="1">
      <c r="A206" s="13" t="inlineStr">
        <is>
          <t>S06</t>
        </is>
      </c>
      <c r="B206" s="16" t="inlineStr">
        <is>
          <t>Hay short profile · A / L / P</t>
        </is>
      </c>
      <c r="C206" s="210" t="n"/>
      <c r="D206" s="209" t="n"/>
      <c r="E206" s="16" t="inlineStr">
        <is>
          <t>A-profile = accountability exceeds problem solving · line, results-led; L = problem solving equals accountability · level profile; P = problem solving exceeds accountability · research, thinking-led → IRIS work-type tilts</t>
        </is>
      </c>
      <c r="F206" s="210" t="n"/>
      <c r="G206" s="210" t="n"/>
      <c r="H206" s="210" t="n"/>
      <c r="I206" s="209" t="n"/>
      <c r="J206" s="16" t="inlineStr">
        <is>
          <t>https://peoplecentre.wordpress.com/2016/10/02/hay-job-evaluation-methodology-the-short-profile/</t>
        </is>
      </c>
      <c r="K206" s="210" t="n"/>
      <c r="L206" s="210" t="n"/>
      <c r="M206" s="209" t="n"/>
      <c r="N206" s="16" t="inlineStr">
        <is>
          <t>Secondary</t>
        </is>
      </c>
    </row>
    <row r="207" ht="41" customHeight="1">
      <c r="A207" s="13" t="inlineStr">
        <is>
          <t>S07</t>
        </is>
      </c>
      <c r="B207" s="16" t="inlineStr">
        <is>
          <t>WTW Global Grading System</t>
        </is>
      </c>
      <c r="C207" s="210" t="n"/>
      <c r="D207" s="209" t="n"/>
      <c r="E207" s="16" t="inlineStr">
        <is>
          <t>Two-step banding then grading; separate management and IC paths; 16–25 grades by organisation size → IRIS band-then-level design</t>
        </is>
      </c>
      <c r="F207" s="210" t="n"/>
      <c r="G207" s="210" t="n"/>
      <c r="H207" s="210" t="n"/>
      <c r="I207" s="209" t="n"/>
      <c r="J207" s="16" t="inlineStr">
        <is>
          <t>https://assets.publishing.service.gov.uk/media/66a370440808eaf43b50d7b2/WTW_OME-STRB_Job_Levelling_FOR_PUBLICATION.pdf</t>
        </is>
      </c>
      <c r="K207" s="210" t="n"/>
      <c r="L207" s="210" t="n"/>
      <c r="M207" s="209" t="n"/>
      <c r="N207" s="16" t="inlineStr">
        <is>
          <t>Primary</t>
        </is>
      </c>
    </row>
    <row r="208" ht="54" customHeight="1">
      <c r="A208" s="13" t="inlineStr">
        <is>
          <t>S08</t>
        </is>
      </c>
      <c r="B208" s="16" t="inlineStr">
        <is>
          <t>SFIA 9 — levels of responsibility</t>
        </is>
      </c>
      <c r="C208" s="210" t="n"/>
      <c r="D208" s="209" t="n"/>
      <c r="E208" s="16" t="inlineStr">
        <is>
          <t>7 levels · Follow, Assist, Apply, Enable, Ensure/advise, Initiate/influence, Set strategy defined by autonomy, influence, complexity → factor anchors and the 1–5 proficiency scale</t>
        </is>
      </c>
      <c r="F208" s="210" t="n"/>
      <c r="G208" s="210" t="n"/>
      <c r="H208" s="210" t="n"/>
      <c r="I208" s="209" t="n"/>
      <c r="J208" s="16" t="inlineStr">
        <is>
          <t>https://sfia-online.org/en/about-sfia/how-sfia-works</t>
        </is>
      </c>
      <c r="K208" s="210" t="n"/>
      <c r="L208" s="210" t="n"/>
      <c r="M208" s="209" t="n"/>
      <c r="N208" s="16" t="inlineStr">
        <is>
          <t>Primary</t>
        </is>
      </c>
    </row>
    <row r="209" ht="54" customHeight="1">
      <c r="A209" s="13" t="inlineStr">
        <is>
          <t>S09</t>
        </is>
      </c>
      <c r="B209" s="16" t="inlineStr">
        <is>
          <t>McKinsey — spans of control archetypes</t>
        </is>
      </c>
      <c r="C209" s="210" t="n"/>
      <c r="D209" s="209" t="n"/>
      <c r="E209" s="16" t="inlineStr">
        <is>
          <t>Player/coach 3–5, coach 6–7, supervisor 8–10, facilitator 11–15, coordinator 15+ → IRIS span norms</t>
        </is>
      </c>
      <c r="F209" s="210" t="n"/>
      <c r="G209" s="210" t="n"/>
      <c r="H209" s="210" t="n"/>
      <c r="I209" s="209" t="n"/>
      <c r="J209" s="16" t="inlineStr">
        <is>
          <t>https://www.mckinsey.com/capabilities/people-and-organizational-performance/our-insights/how-to-identify-the-right-spans-of-control-for-your-organization</t>
        </is>
      </c>
      <c r="K209" s="210" t="n"/>
      <c r="L209" s="210" t="n"/>
      <c r="M209" s="209" t="n"/>
      <c r="N209" s="16" t="inlineStr">
        <is>
          <t>Primary</t>
        </is>
      </c>
    </row>
    <row r="210" ht="28" customHeight="1">
      <c r="A210" s="13" t="inlineStr">
        <is>
          <t>S10</t>
        </is>
      </c>
      <c r="B210" s="16" t="inlineStr">
        <is>
          <t>Levelling guides · Ravio, CareerBird, Careerminds</t>
        </is>
      </c>
      <c r="C210" s="210" t="n"/>
      <c r="D210" s="209" t="n"/>
      <c r="E210" s="16" t="inlineStr">
        <is>
          <t>≈ 12 levels suit 500–1,500 people → IRIS uses 12 employee levels</t>
        </is>
      </c>
      <c r="F210" s="210" t="n"/>
      <c r="G210" s="210" t="n"/>
      <c r="H210" s="210" t="n"/>
      <c r="I210" s="209" t="n"/>
      <c r="J210" s="16" t="inlineStr">
        <is>
          <t>Public web guides</t>
        </is>
      </c>
      <c r="K210" s="210" t="n"/>
      <c r="L210" s="210" t="n"/>
      <c r="M210" s="209" t="n"/>
      <c r="N210" s="16" t="inlineStr">
        <is>
          <t>Secondary</t>
        </is>
      </c>
    </row>
    <row r="211" ht="54" customHeight="1">
      <c r="A211" s="13" t="inlineStr">
        <is>
          <t>S11</t>
        </is>
      </c>
      <c r="B211" s="16" t="inlineStr">
        <is>
          <t>WorldatWork — salary structure policies and practices</t>
        </is>
      </c>
      <c r="C211" s="210" t="n"/>
      <c r="D211" s="209" t="n"/>
      <c r="E211" s="16" t="inlineStr">
        <is>
          <t>Graded salary structures, range spread and midpoint concepts. It does not give range spreads by level: the spreads and midpoint steps in M14 are IRIS working assumptions until a pay survey is bought</t>
        </is>
      </c>
      <c r="F211" s="210" t="n"/>
      <c r="G211" s="210" t="n"/>
      <c r="H211" s="210" t="n"/>
      <c r="I211" s="209" t="n"/>
      <c r="J211" s="16" t="inlineStr">
        <is>
          <t>https://worldatwork.org/media/CDN/dist/CDN2/documents/pdf/resources/research/Salary-Structure-Policies-Practices-2012.pdf</t>
        </is>
      </c>
      <c r="K211" s="210" t="n"/>
      <c r="L211" s="210" t="n"/>
      <c r="M211" s="209" t="n"/>
      <c r="N211" s="16" t="inlineStr">
        <is>
          <t>Secondary</t>
        </is>
      </c>
    </row>
    <row r="212" ht="54" customHeight="1">
      <c r="A212" s="13" t="inlineStr">
        <is>
          <t>S12</t>
        </is>
      </c>
      <c r="B212" s="16" t="inlineStr">
        <is>
          <t>World Economic Forum — Future of Jobs Report 2025</t>
        </is>
      </c>
      <c r="C212" s="210" t="n"/>
      <c r="D212" s="209" t="n"/>
      <c r="E212"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F212" s="210" t="n"/>
      <c r="G212" s="210" t="n"/>
      <c r="H212" s="210" t="n"/>
      <c r="I212" s="209" t="n"/>
      <c r="J212" s="16" t="inlineStr">
        <is>
          <t>https://www.weforum.org/publications/the-future-of-jobs-report-2025/digest/</t>
        </is>
      </c>
      <c r="K212" s="210" t="n"/>
      <c r="L212" s="210" t="n"/>
      <c r="M212" s="209" t="n"/>
      <c r="N212" s="16" t="inlineStr">
        <is>
          <t>Primary</t>
        </is>
      </c>
    </row>
    <row r="213" ht="28" customHeight="1">
      <c r="A213" s="13" t="inlineStr">
        <is>
          <t>S13</t>
        </is>
      </c>
      <c r="B213" s="16" t="inlineStr">
        <is>
          <t>PMI Talent Triangle</t>
        </is>
      </c>
      <c r="C213" s="210" t="n"/>
      <c r="D213" s="209" t="n"/>
      <c r="E213" s="16" t="inlineStr">
        <is>
          <t>Ways of Working, Power Skills, Business Acumen → leadership and project competencies</t>
        </is>
      </c>
      <c r="F213" s="210" t="n"/>
      <c r="G213" s="210" t="n"/>
      <c r="H213" s="210" t="n"/>
      <c r="I213" s="209" t="n"/>
      <c r="J213" s="16" t="inlineStr">
        <is>
          <t>https://www.pmi.org/certifications/certification-resources/maintain/talent-triangle</t>
        </is>
      </c>
      <c r="K213" s="210" t="n"/>
      <c r="L213" s="210" t="n"/>
      <c r="M213" s="209" t="n"/>
      <c r="N213" s="16" t="inlineStr">
        <is>
          <t>Primary</t>
        </is>
      </c>
    </row>
    <row r="214" ht="54" customHeight="1">
      <c r="A214" s="13" t="inlineStr">
        <is>
          <t>S14</t>
        </is>
      </c>
      <c r="B214" s="16" t="inlineStr">
        <is>
          <t>SHL Universal Competency Framework — the Great Eight</t>
        </is>
      </c>
      <c r="C214" s="210" t="n"/>
      <c r="D214" s="209" t="n"/>
      <c r="E214" s="16" t="inlineStr">
        <is>
          <t>Leading &amp; Deciding; Supporting &amp; Co-operating; Interacting &amp; Presenting; Analysing &amp; Interpreting; Creating &amp; Conceptualising; Organising &amp; Executing; Adapting &amp; Coping; Enterprising &amp; Performing → coverage check of the IRIS clusters</t>
        </is>
      </c>
      <c r="F214" s="210" t="n"/>
      <c r="G214" s="210" t="n"/>
      <c r="H214" s="210" t="n"/>
      <c r="I214" s="209" t="n"/>
      <c r="J214" s="16" t="inlineStr">
        <is>
          <t>https://www.shl.com/assets/campaigns/global/competency-fit/universal-competency-framework-whitepaper-en.pdf</t>
        </is>
      </c>
      <c r="K214" s="210" t="n"/>
      <c r="L214" s="210" t="n"/>
      <c r="M214" s="209" t="n"/>
      <c r="N214" s="16" t="inlineStr">
        <is>
          <t>Primary</t>
        </is>
      </c>
    </row>
    <row r="215" ht="41" customHeight="1">
      <c r="A215" s="13" t="inlineStr">
        <is>
          <t>S15</t>
        </is>
      </c>
      <c r="B215" s="16" t="inlineStr">
        <is>
          <t>Korn Ferry Leadership Architect · 38 competencies in four factors: Thought, Results, People, Self</t>
        </is>
      </c>
      <c r="C215" s="210" t="n"/>
      <c r="D215" s="209" t="n"/>
      <c r="E215" s="16" t="inlineStr">
        <is>
          <t>Behavioural anchors and coverage check for Core and Leadership clusters</t>
        </is>
      </c>
      <c r="F215" s="210" t="n"/>
      <c r="G215" s="210" t="n"/>
      <c r="H215" s="210" t="n"/>
      <c r="I215" s="209" t="n"/>
      <c r="J215" s="16" t="inlineStr">
        <is>
          <t>https://cardinalatwork.stanford.edu/careers/performance-management/competencies</t>
        </is>
      </c>
      <c r="K215" s="210" t="n"/>
      <c r="L215" s="210" t="n"/>
      <c r="M215" s="209" t="n"/>
      <c r="N215" s="16" t="inlineStr">
        <is>
          <t>Secondary</t>
        </is>
      </c>
    </row>
    <row r="216" ht="41" customHeight="1">
      <c r="A216" s="13" t="inlineStr">
        <is>
          <t>S16</t>
        </is>
      </c>
      <c r="B216" s="16" t="inlineStr">
        <is>
          <t>Google Project Oxygen — 10 behaviours of great managers</t>
        </is>
      </c>
      <c r="C216" s="210" t="n"/>
      <c r="D216" s="209" t="n"/>
      <c r="E216" s="16" t="inlineStr">
        <is>
          <t>Coach, empower, inclusive team, results, communicate, career development, vision, technical skill, collaborate, decide → Leadership cluster indicators</t>
        </is>
      </c>
      <c r="F216" s="210" t="n"/>
      <c r="G216" s="210" t="n"/>
      <c r="H216" s="210" t="n"/>
      <c r="I216" s="209" t="n"/>
      <c r="J216" s="16" t="inlineStr">
        <is>
          <t>https://rework.withgoogle.com/intl/en/guides/following-the-data-the-research-behind-great-managers</t>
        </is>
      </c>
      <c r="K216" s="210" t="n"/>
      <c r="L216" s="210" t="n"/>
      <c r="M216" s="209" t="n"/>
      <c r="N216" s="16" t="inlineStr">
        <is>
          <t>Secondary</t>
        </is>
      </c>
    </row>
    <row r="217" ht="28" customHeight="1">
      <c r="A217" s="13" t="inlineStr">
        <is>
          <t>S17</t>
        </is>
      </c>
      <c r="B217" s="16" t="inlineStr">
        <is>
          <t>Digital Education Council — AI literacy framework</t>
        </is>
      </c>
      <c r="C217" s="210" t="n"/>
      <c r="D217" s="209" t="n"/>
      <c r="E217" s="16" t="inlineStr">
        <is>
          <t>Understanding, critical evaluation and responsible use of AI → AI Literacy indicators</t>
        </is>
      </c>
      <c r="F217" s="210" t="n"/>
      <c r="G217" s="210" t="n"/>
      <c r="H217" s="210" t="n"/>
      <c r="I217" s="209" t="n"/>
      <c r="J217" s="16" t="inlineStr">
        <is>
          <t>Digital Education Council · public</t>
        </is>
      </c>
      <c r="K217" s="210" t="n"/>
      <c r="L217" s="210" t="n"/>
      <c r="M217" s="209" t="n"/>
      <c r="N217" s="16" t="inlineStr">
        <is>
          <t>Secondary</t>
        </is>
      </c>
    </row>
    <row r="218" ht="28" customHeight="1">
      <c r="A218" s="13" t="inlineStr">
        <is>
          <t>S18</t>
        </is>
      </c>
      <c r="B218" s="16" t="inlineStr">
        <is>
          <t>SHRM BASK</t>
        </is>
      </c>
      <c r="C218" s="210" t="n"/>
      <c r="D218" s="209" t="n"/>
      <c r="E218" s="16" t="inlineStr">
        <is>
          <t>HR department technical competencies</t>
        </is>
      </c>
      <c r="F218" s="210" t="n"/>
      <c r="G218" s="210" t="n"/>
      <c r="H218" s="210" t="n"/>
      <c r="I218" s="209" t="n"/>
      <c r="J218" s="16" t="inlineStr">
        <is>
          <t>https://www.shrm.org/credentials/certification/shrm-bask</t>
        </is>
      </c>
      <c r="K218" s="210" t="n"/>
      <c r="L218" s="210" t="n"/>
      <c r="M218" s="209" t="n"/>
      <c r="N218" s="16" t="inlineStr">
        <is>
          <t>Primary</t>
        </is>
      </c>
    </row>
    <row r="219" ht="28" customHeight="1">
      <c r="A219" s="13" t="inlineStr">
        <is>
          <t>S19</t>
        </is>
      </c>
      <c r="B219" s="16" t="inlineStr">
        <is>
          <t>CIPD Profession Map</t>
        </is>
      </c>
      <c r="C219" s="210" t="n"/>
      <c r="D219" s="209" t="n"/>
      <c r="E219" s="16" t="inlineStr">
        <is>
          <t>HR specialist areas</t>
        </is>
      </c>
      <c r="F219" s="210" t="n"/>
      <c r="G219" s="210" t="n"/>
      <c r="H219" s="210" t="n"/>
      <c r="I219" s="209" t="n"/>
      <c r="J219" s="16" t="inlineStr">
        <is>
          <t>https://www.cipd.org/en/the-people-profession/the-profession-map/</t>
        </is>
      </c>
      <c r="K219" s="210" t="n"/>
      <c r="L219" s="210" t="n"/>
      <c r="M219" s="209" t="n"/>
      <c r="N219" s="16" t="inlineStr">
        <is>
          <t>Primary</t>
        </is>
      </c>
    </row>
    <row r="220" ht="28" customHeight="1">
      <c r="A220" s="13" t="inlineStr">
        <is>
          <t>S20</t>
        </is>
      </c>
      <c r="B220" s="16" t="inlineStr">
        <is>
          <t>IMA Competency Framework · management accounting</t>
        </is>
      </c>
      <c r="C220" s="210" t="n"/>
      <c r="D220" s="209" t="n"/>
      <c r="E220" s="16" t="inlineStr">
        <is>
          <t>Finance department technical competencies</t>
        </is>
      </c>
      <c r="F220" s="210" t="n"/>
      <c r="G220" s="210" t="n"/>
      <c r="H220" s="210" t="n"/>
      <c r="I220" s="209" t="n"/>
      <c r="J220" s="16" t="inlineStr">
        <is>
          <t>https://www.imanet.org/framework</t>
        </is>
      </c>
      <c r="K220" s="210" t="n"/>
      <c r="L220" s="210" t="n"/>
      <c r="M220" s="209" t="n"/>
      <c r="N220" s="16" t="inlineStr">
        <is>
          <t>Primary</t>
        </is>
      </c>
    </row>
    <row r="221" ht="15" customHeight="1">
      <c r="A221" s="13" t="inlineStr">
        <is>
          <t>S21</t>
        </is>
      </c>
      <c r="B221" s="16" t="inlineStr">
        <is>
          <t>IIBA BABOK Guide v3</t>
        </is>
      </c>
      <c r="C221" s="210" t="n"/>
      <c r="D221" s="209" t="n"/>
      <c r="E221" s="16" t="inlineStr">
        <is>
          <t>Business Analysis competencies</t>
        </is>
      </c>
      <c r="F221" s="210" t="n"/>
      <c r="G221" s="210" t="n"/>
      <c r="H221" s="210" t="n"/>
      <c r="I221" s="209" t="n"/>
      <c r="J221" s="16" t="inlineStr">
        <is>
          <t>https://www.iiba.org</t>
        </is>
      </c>
      <c r="K221" s="210" t="n"/>
      <c r="L221" s="210" t="n"/>
      <c r="M221" s="209" t="n"/>
      <c r="N221" s="16" t="inlineStr">
        <is>
          <t>Primary</t>
        </is>
      </c>
    </row>
    <row r="222" ht="15" customHeight="1">
      <c r="A222" s="13" t="inlineStr">
        <is>
          <t>S22</t>
        </is>
      </c>
      <c r="B222" s="16" t="inlineStr">
        <is>
          <t>ISTQB</t>
        </is>
      </c>
      <c r="C222" s="210" t="n"/>
      <c r="D222" s="209" t="n"/>
      <c r="E222" s="16" t="inlineStr">
        <is>
          <t>Quality Assurance competencies and credentials</t>
        </is>
      </c>
      <c r="F222" s="210" t="n"/>
      <c r="G222" s="210" t="n"/>
      <c r="H222" s="210" t="n"/>
      <c r="I222" s="209" t="n"/>
      <c r="J222" s="16" t="inlineStr">
        <is>
          <t>https://www.istqb.org</t>
        </is>
      </c>
      <c r="K222" s="210" t="n"/>
      <c r="L222" s="210" t="n"/>
      <c r="M222" s="209" t="n"/>
      <c r="N222" s="16" t="inlineStr">
        <is>
          <t>Primary</t>
        </is>
      </c>
    </row>
    <row r="223" ht="15" customHeight="1">
      <c r="A223" s="13" t="inlineStr">
        <is>
          <t>S23</t>
        </is>
      </c>
      <c r="B223" s="16" t="inlineStr">
        <is>
          <t>ITIL 4 and ISO/IEC 27001:2022</t>
        </is>
      </c>
      <c r="C223" s="210" t="n"/>
      <c r="D223" s="209" t="n"/>
      <c r="E223" s="16" t="inlineStr">
        <is>
          <t>IT &amp; Infrastructure competencies</t>
        </is>
      </c>
      <c r="F223" s="210" t="n"/>
      <c r="G223" s="210" t="n"/>
      <c r="H223" s="210" t="n"/>
      <c r="I223" s="209" t="n"/>
      <c r="J223" s="16" t="inlineStr">
        <is>
          <t>https://www.iso.org/standard/27001</t>
        </is>
      </c>
      <c r="K223" s="210" t="n"/>
      <c r="L223" s="210" t="n"/>
      <c r="M223" s="209" t="n"/>
      <c r="N223" s="16" t="inlineStr">
        <is>
          <t>Primary</t>
        </is>
      </c>
    </row>
    <row r="224" ht="28" customHeight="1">
      <c r="A224" s="13" t="inlineStr">
        <is>
          <t>S24</t>
        </is>
      </c>
      <c r="B224" s="16" t="inlineStr">
        <is>
          <t>ICSI · Institute of Company Secretaries of India</t>
        </is>
      </c>
      <c r="C224" s="210" t="n"/>
      <c r="D224" s="209" t="n"/>
      <c r="E224" s="16" t="inlineStr">
        <is>
          <t>Secretarial &amp; Legal competencies; statutory gate for Company Secretary</t>
        </is>
      </c>
      <c r="F224" s="210" t="n"/>
      <c r="G224" s="210" t="n"/>
      <c r="H224" s="210" t="n"/>
      <c r="I224" s="209" t="n"/>
      <c r="J224" s="16" t="inlineStr">
        <is>
          <t>https://www.icsi.edu</t>
        </is>
      </c>
      <c r="K224" s="210" t="n"/>
      <c r="L224" s="210" t="n"/>
      <c r="M224" s="209" t="n"/>
      <c r="N224" s="16" t="inlineStr">
        <is>
          <t>Primary</t>
        </is>
      </c>
    </row>
    <row r="225" ht="28" customHeight="1">
      <c r="A225" s="13" t="inlineStr">
        <is>
          <t>S25</t>
        </is>
      </c>
      <c r="B225" s="16" t="inlineStr">
        <is>
          <t>AICPA &amp; XBRL US — XBRL US GAAP Certificate</t>
        </is>
      </c>
      <c r="C225" s="210" t="n"/>
      <c r="D225" s="209" t="n"/>
      <c r="E225" s="16" t="inlineStr">
        <is>
          <t>XBRL &amp; taxonomy competency and credential</t>
        </is>
      </c>
      <c r="F225" s="210" t="n"/>
      <c r="G225" s="210" t="n"/>
      <c r="H225" s="210" t="n"/>
      <c r="I225" s="209" t="n"/>
      <c r="J225" s="16" t="inlineStr">
        <is>
          <t>https://xbrl.us</t>
        </is>
      </c>
      <c r="K225" s="210" t="n"/>
      <c r="L225" s="210" t="n"/>
      <c r="M225" s="209" t="n"/>
      <c r="N225" s="16" t="inlineStr">
        <is>
          <t>Primary</t>
        </is>
      </c>
    </row>
    <row r="226" ht="28" customHeight="1">
      <c r="A226" s="13" t="inlineStr">
        <is>
          <t>S26</t>
        </is>
      </c>
      <c r="B226" s="16" t="inlineStr">
        <is>
          <t>ILO ISCO-08 · India's NCO-2015 follows the same structure</t>
        </is>
      </c>
      <c r="C226" s="210" t="n"/>
      <c r="D226" s="209" t="n"/>
      <c r="E226" s="16" t="inlineStr">
        <is>
          <t>Each job family is anchored to an ISCO-08 unit group so families are standard, not invented</t>
        </is>
      </c>
      <c r="F226" s="210" t="n"/>
      <c r="G226" s="210" t="n"/>
      <c r="H226" s="210" t="n"/>
      <c r="I226" s="209" t="n"/>
      <c r="J226" s="16" t="inlineStr">
        <is>
          <t>https://worldoftaxonomy.com/system/isco_08/node/251</t>
        </is>
      </c>
      <c r="K226" s="210" t="n"/>
      <c r="L226" s="210" t="n"/>
      <c r="M226" s="209" t="n"/>
      <c r="N226" s="16" t="inlineStr">
        <is>
          <t>Primary</t>
        </is>
      </c>
    </row>
    <row r="227" ht="54" customHeight="1">
      <c r="A227" s="13" t="inlineStr">
        <is>
          <t>S27</t>
        </is>
      </c>
      <c r="B227" s="16" t="inlineStr">
        <is>
          <t>Deloitte — The skills-based organization: a new operating model for work and the workforce</t>
        </is>
      </c>
      <c r="C227" s="210" t="n"/>
      <c r="D227" s="209" t="n"/>
      <c r="E227" s="16" t="inlineStr">
        <is>
          <t>71% of workers already perform some work outside the scope of their job descriptions · The skills-based organization, Deloitte Insights, 7 Sep 2022 → sub-families describe actual work; skills tracked per person</t>
        </is>
      </c>
      <c r="F227" s="210" t="n"/>
      <c r="G227" s="210" t="n"/>
      <c r="H227" s="210" t="n"/>
      <c r="I227" s="209" t="n"/>
      <c r="J227" s="16" t="inlineStr">
        <is>
          <t>https://www.deloitte.com/us/en/insights/topics/talent/organizational-skill-based-hiring.html</t>
        </is>
      </c>
      <c r="K227" s="210" t="n"/>
      <c r="L227" s="210" t="n"/>
      <c r="M227" s="209" t="n"/>
      <c r="N227" s="16" t="inlineStr">
        <is>
          <t>Primary</t>
        </is>
      </c>
    </row>
    <row r="228" ht="41" customHeight="1">
      <c r="A228" s="13" t="inlineStr">
        <is>
          <t>S30</t>
        </is>
      </c>
      <c r="B228" s="16" t="inlineStr">
        <is>
          <t>Workiva — engineering levels · Levels.fyi</t>
        </is>
      </c>
      <c r="C228" s="210" t="n"/>
      <c r="D228" s="209" t="n"/>
      <c r="E228" s="16" t="inlineStr">
        <is>
          <t>Associate SE → SE → Senior SE → Staff SE → Senior Staff SE · Levels.fyi pages could not be loaded; level names confirmed from Levels.fyi page titles and Workiva postings</t>
        </is>
      </c>
      <c r="F228" s="210" t="n"/>
      <c r="G228" s="210" t="n"/>
      <c r="H228" s="210" t="n"/>
      <c r="I228" s="209" t="n"/>
      <c r="J228" s="16" t="inlineStr">
        <is>
          <t>https://www.levels.fyi/companies/workiva/salaries/software-engineer</t>
        </is>
      </c>
      <c r="K228" s="210" t="n"/>
      <c r="L228" s="210" t="n"/>
      <c r="M228" s="209" t="n"/>
      <c r="N228" s="16" t="inlineStr">
        <is>
          <t>Secondary</t>
        </is>
      </c>
    </row>
    <row r="229" ht="28" customHeight="1">
      <c r="A229" s="13" t="inlineStr">
        <is>
          <t>S31</t>
        </is>
      </c>
      <c r="B229" s="16" t="inlineStr">
        <is>
          <t>DataTracks — careers site</t>
        </is>
      </c>
      <c r="C229" s="210" t="n"/>
      <c r="D229" s="209" t="n"/>
      <c r="E229" s="16" t="inlineStr">
        <is>
          <r>
            <rPr>
              <rFont val="Calibri"/>
              <b val="1"/>
              <sz val="10"/>
            </rPr>
            <t>Two published rungs:</t>
          </r>
          <r>
            <rPr>
              <rFont val="Calibri"/>
              <sz val="10"/>
            </rPr>
            <t xml:space="preserve"> Associate · freshers → Senior Associate · 2–5 yrs; nothing above is published</t>
          </r>
        </is>
      </c>
      <c r="F229" s="210" t="n"/>
      <c r="G229" s="210" t="n"/>
      <c r="H229" s="210" t="n"/>
      <c r="I229" s="209" t="n"/>
      <c r="J229" s="16" t="inlineStr">
        <is>
          <t>https://www.datatracks.com/in/careers/</t>
        </is>
      </c>
      <c r="K229" s="210" t="n"/>
      <c r="L229" s="210" t="n"/>
      <c r="M229" s="209" t="n"/>
      <c r="N229" s="16" t="inlineStr">
        <is>
          <t>Job postings</t>
        </is>
      </c>
    </row>
    <row r="230" ht="54" customHeight="1">
      <c r="A230" s="13" t="inlineStr">
        <is>
          <t>S32</t>
        </is>
      </c>
      <c r="B230" s="16" t="inlineStr">
        <is>
          <t>Google / Microsoft / Amazon engineering levels</t>
        </is>
      </c>
      <c r="C230" s="210" t="n"/>
      <c r="D230" s="209" t="n"/>
      <c r="E230"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F230" s="210" t="n"/>
      <c r="G230" s="210" t="n"/>
      <c r="H230" s="210" t="n"/>
      <c r="I230" s="209" t="n"/>
      <c r="J230" s="16" t="inlineStr">
        <is>
          <t>https://testrigor.com/blog/engineering-levels-in-different-companies-compared/ ; https://rajendrauppal.substack.com/p/understanding-levels-at-google-microsoft</t>
        </is>
      </c>
      <c r="K230" s="210" t="n"/>
      <c r="L230" s="210" t="n"/>
      <c r="M230" s="209" t="n"/>
      <c r="N230" s="16" t="inlineStr">
        <is>
          <t>Secondary</t>
        </is>
      </c>
    </row>
    <row r="231" ht="41" customHeight="1">
      <c r="A231" s="13" t="inlineStr">
        <is>
          <t>S33</t>
        </is>
      </c>
      <c r="B231" s="16" t="inlineStr">
        <is>
          <t>Infosys job levels</t>
        </is>
      </c>
      <c r="C231" s="210" t="n"/>
      <c r="D231" s="209" t="n"/>
      <c r="E231" s="16" t="inlineStr">
        <is>
          <t>JL3B Systems Engineer · 0–3 yrs → JL3A Senior SE → JL4 Technology Analyst → JL5 Technology Lead → JL6B Architect / PM → JL6A Senior Architect</t>
        </is>
      </c>
      <c r="F231" s="210" t="n"/>
      <c r="G231" s="210" t="n"/>
      <c r="H231" s="210" t="n"/>
      <c r="I231" s="209" t="n"/>
      <c r="J231" s="16" t="inlineStr">
        <is>
          <t>https://www.designgurus.io/blog/infosys-job-levels</t>
        </is>
      </c>
      <c r="K231" s="210" t="n"/>
      <c r="L231" s="210" t="n"/>
      <c r="M231" s="209" t="n"/>
      <c r="N231" s="16" t="inlineStr">
        <is>
          <t>Indicative</t>
        </is>
      </c>
    </row>
    <row r="232" ht="54" customHeight="1">
      <c r="A232" s="13" t="inlineStr">
        <is>
          <t>S34</t>
        </is>
      </c>
      <c r="B232" s="16" t="inlineStr">
        <is>
          <t>TCS grades</t>
        </is>
      </c>
      <c r="C232" s="210" t="n"/>
      <c r="D232" s="209" t="n"/>
      <c r="E232" s="16" t="inlineStr">
        <is>
          <t>C1Y ASE Trainee → C1 ASE / System Engineer → C2 IT Analyst → C3A Assistant Consultant → C3B Associate Consultant → C4 Consultant → C5 Senior Consultant → SP1 Principal Consultant</t>
        </is>
      </c>
      <c r="F232" s="210" t="n"/>
      <c r="G232" s="210" t="n"/>
      <c r="H232" s="210" t="n"/>
      <c r="I232" s="209" t="n"/>
      <c r="J232" s="16" t="inlineStr">
        <is>
          <t>https://www.designgurus.io/blog/tcs-job-levels</t>
        </is>
      </c>
      <c r="K232" s="210" t="n"/>
      <c r="L232" s="210" t="n"/>
      <c r="M232" s="209" t="n"/>
      <c r="N232" s="16" t="inlineStr">
        <is>
          <t>Indicative</t>
        </is>
      </c>
    </row>
    <row r="233" ht="54" customHeight="1">
      <c r="A233" s="13" t="inlineStr">
        <is>
          <t>S35</t>
        </is>
      </c>
      <c r="B233" s="16" t="inlineStr">
        <is>
          <t>Accenture India career levels</t>
        </is>
      </c>
      <c r="C233" s="210" t="n"/>
      <c r="D233" s="209" t="n"/>
      <c r="E233" s="16" t="inlineStr">
        <is>
          <t>L12 Associate · 0–1 yrs → L11 Analyst → L10 Senior Analyst → L9 Team Lead / Consultant → L8 Associate Manager → L7 Manager → L6 Senior Manager → L5+ leadership</t>
        </is>
      </c>
      <c r="F233" s="210" t="n"/>
      <c r="G233" s="210" t="n"/>
      <c r="H233" s="210" t="n"/>
      <c r="I233" s="209" t="n"/>
      <c r="J233" s="16" t="inlineStr">
        <is>
          <t>https://jobrise.io/hi/blog/accenture-salary-package-2026-india/</t>
        </is>
      </c>
      <c r="K233" s="210" t="n"/>
      <c r="L233" s="210" t="n"/>
      <c r="M233" s="209" t="n"/>
      <c r="N233" s="16" t="inlineStr">
        <is>
          <t>Indicative</t>
        </is>
      </c>
    </row>
    <row r="234" ht="41" customHeight="1">
      <c r="A234" s="13" t="inlineStr">
        <is>
          <t>S36</t>
        </is>
      </c>
      <c r="B234" s="16" t="inlineStr">
        <is>
          <t>Deloitte India / USI hierarchy</t>
        </is>
      </c>
      <c r="C234" s="210" t="n"/>
      <c r="D234" s="209" t="n"/>
      <c r="E234" s="16" t="inlineStr">
        <is>
          <t>Associate Analyst → Analyst → Consultant → Senior Consultant → Manager → Senior Manager → Managing Director → Partner / Principal</t>
        </is>
      </c>
      <c r="F234" s="210" t="n"/>
      <c r="G234" s="210" t="n"/>
      <c r="H234" s="210" t="n"/>
      <c r="I234" s="209" t="n"/>
      <c r="J234" s="16" t="inlineStr">
        <is>
          <t>https://networkinterview.com/technical-hierarchy-deloitte-india/</t>
        </is>
      </c>
      <c r="K234" s="210" t="n"/>
      <c r="L234" s="210" t="n"/>
      <c r="M234" s="209" t="n"/>
      <c r="N234" s="16" t="inlineStr">
        <is>
          <t>Indicative</t>
        </is>
      </c>
    </row>
    <row r="235" ht="41" customHeight="1">
      <c r="A235" s="13" t="inlineStr">
        <is>
          <t>S37</t>
        </is>
      </c>
      <c r="B235" s="16" t="inlineStr">
        <is>
          <t>GitLab — job frameworks and layers</t>
        </is>
      </c>
      <c r="C235" s="210" t="n"/>
      <c r="D235" s="209" t="n"/>
      <c r="E235" s="16" t="inlineStr">
        <is>
          <t>Two job frameworks · IC, people manager; ≤ 8 layers; Staff ↔ Manager, Principal ↔ Senior Manager, Distinguished ↔ Director, Fellow ↔ VP</t>
        </is>
      </c>
      <c r="F235" s="210" t="n"/>
      <c r="G235" s="210" t="n"/>
      <c r="H235" s="210" t="n"/>
      <c r="I235" s="209" t="n"/>
      <c r="J235" s="16" t="inlineStr">
        <is>
          <t>https://handbook.gitlab.com/handbook/company/structure/</t>
        </is>
      </c>
      <c r="K235" s="210" t="n"/>
      <c r="L235" s="210" t="n"/>
      <c r="M235" s="209" t="n"/>
      <c r="N235" s="16" t="inlineStr">
        <is>
          <t>Primary</t>
        </is>
      </c>
    </row>
    <row r="236" ht="28" customHeight="1">
      <c r="A236" s="13" t="inlineStr">
        <is>
          <t>S38</t>
        </is>
      </c>
      <c r="B236" s="16" t="inlineStr">
        <is>
          <t>Infosys, McKinsey, Unilever / HUL, Google — hiring practices</t>
        </is>
      </c>
      <c r="C236" s="210" t="n"/>
      <c r="D236" s="209" t="n"/>
      <c r="E236" s="16" t="inlineStr">
        <is>
          <t>Tiered campus entry; entry level by qualification; management-trainee programme; independent levelling panel</t>
        </is>
      </c>
      <c r="F236" s="210" t="n"/>
      <c r="G236" s="210" t="n"/>
      <c r="H236" s="210" t="n"/>
      <c r="I236" s="209" t="n"/>
      <c r="J236" s="16" t="inlineStr">
        <is>
          <t>Public careers / recruiting pages</t>
        </is>
      </c>
      <c r="K236" s="210" t="n"/>
      <c r="L236" s="210" t="n"/>
      <c r="M236" s="209" t="n"/>
      <c r="N236" s="16" t="inlineStr">
        <is>
          <t>Secondary</t>
        </is>
      </c>
    </row>
    <row r="237" ht="41" customHeight="1">
      <c r="A237" s="13" t="inlineStr">
        <is>
          <t>S44</t>
        </is>
      </c>
      <c r="B237" s="16" t="inlineStr">
        <is>
          <t>Software Engineering at Google — ch. 5 'How to Lead a Team' · Tech Lead Manager</t>
        </is>
      </c>
      <c r="C237" s="210" t="n"/>
      <c r="D237" s="209" t="n"/>
      <c r="E237" s="16" t="inlineStr">
        <is>
          <t>The Tech Lead Manager · TLM — a hybrid who leads a team and still contributes technically → B+ Player-Coach</t>
        </is>
      </c>
      <c r="F237" s="210" t="n"/>
      <c r="G237" s="210" t="n"/>
      <c r="H237" s="210" t="n"/>
      <c r="I237" s="209" t="n"/>
      <c r="J237" s="16" t="inlineStr">
        <is>
          <t>https://abseil.io/resources/swe-book/html/ch05.html ; https://newsletter.pragmaticengineer.com/p/leading-effective-engineering-teams</t>
        </is>
      </c>
      <c r="K237" s="210" t="n"/>
      <c r="L237" s="210" t="n"/>
      <c r="M237" s="209" t="n"/>
      <c r="N237" s="16" t="inlineStr">
        <is>
          <t>Primary</t>
        </is>
      </c>
    </row>
    <row r="238" ht="67" customHeight="1">
      <c r="A238" s="13" t="inlineStr">
        <is>
          <t>S45</t>
        </is>
      </c>
      <c r="B238" s="16" t="inlineStr">
        <is>
          <t>SaaS player-coach sales and revenue leaders · job postings</t>
        </is>
      </c>
      <c r="C238" s="210" t="n"/>
      <c r="D238" s="209" t="n"/>
      <c r="E238" s="16" t="inlineStr">
        <is>
          <t>Leaders who carry their own quota or book while building and coaching the team → C+ / B+ Player-Coach in commercial roles</t>
        </is>
      </c>
      <c r="F238" s="210" t="n"/>
      <c r="G238" s="210" t="n"/>
      <c r="H238" s="210" t="n"/>
      <c r="I238" s="209" t="n"/>
      <c r="J238" s="16" t="inlineStr">
        <is>
          <t>https://www.itjobswatch.co.uk/jv/Space-Executive/Sales-Lead-Player-Coach-HR-Tech-Job-City-of-London-Greater-London-UK-4vommq ; https://salesgravy.com/the-player-coach-problem-how-to-prospect-and-lead-at-the-same-time-ask-jeb/</t>
        </is>
      </c>
      <c r="K238" s="210" t="n"/>
      <c r="L238" s="210" t="n"/>
      <c r="M238" s="209" t="n"/>
      <c r="N238" s="16" t="inlineStr">
        <is>
          <t>Job postings</t>
        </is>
      </c>
    </row>
    <row r="239" ht="54" customHeight="1">
      <c r="A239" s="13" t="inlineStr">
        <is>
          <t>S46</t>
        </is>
      </c>
      <c r="B239" s="16" t="inlineStr">
        <is>
          <t>Canada Treasury Board — Executive Group Position Evaluation Plan, 2005</t>
        </is>
      </c>
      <c r="C239" s="210" t="n"/>
      <c r="D239" s="209" t="n"/>
      <c r="E239" s="16" t="inlineStr">
        <is>
          <t>Verified Hay point evaluations of real manager and executive jobs; the know-how / problem solving / accountability split by level used in the weight derivation</t>
        </is>
      </c>
      <c r="F239" s="210" t="n"/>
      <c r="G239" s="210" t="n"/>
      <c r="H239" s="210" t="n"/>
      <c r="I239" s="209" t="n"/>
      <c r="J239" s="16" t="inlineStr">
        <is>
          <t>https://www.canada.ca/en/treasury-board-secretariat/services/collective-agreements/job-evaluation/executive-group-position-evaluation-plan-september-2005.html</t>
        </is>
      </c>
      <c r="K239" s="210" t="n"/>
      <c r="L239" s="210" t="n"/>
      <c r="M239" s="209" t="n"/>
      <c r="N239" s="16" t="inlineStr">
        <is>
          <t>Primary</t>
        </is>
      </c>
    </row>
    <row r="240" ht="93" customHeight="1">
      <c r="A240" s="13" t="inlineStr">
        <is>
          <t>S47</t>
        </is>
      </c>
      <c r="B240" s="16" t="inlineStr">
        <is>
          <t>Canada Treasury Board — Executive Group Position Evaluation Plan, 2022</t>
        </is>
      </c>
      <c r="C240" s="210" t="n"/>
      <c r="D240" s="209" t="n"/>
      <c r="E240" s="16" t="inlineStr">
        <is>
          <t>Current version of the same plan with benchmark evaluations; confirms accountability's share rises with seniority</t>
        </is>
      </c>
      <c r="F240" s="210" t="n"/>
      <c r="G240" s="210" t="n"/>
      <c r="H240" s="210" t="n"/>
      <c r="I240" s="209" t="n"/>
      <c r="J240"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K240" s="210" t="n"/>
      <c r="L240" s="210" t="n"/>
      <c r="M240" s="209" t="n"/>
      <c r="N240" s="16" t="inlineStr">
        <is>
          <t>Primary</t>
        </is>
      </c>
    </row>
    <row r="241" ht="41" customHeight="1">
      <c r="A241" s="13" t="inlineStr">
        <is>
          <t>S48</t>
        </is>
      </c>
      <c r="B241" s="16" t="inlineStr">
        <is>
          <t>Hay Group — summary deck of the Guide Chart-Profile method</t>
        </is>
      </c>
      <c r="C241" s="210" t="n"/>
      <c r="D241" s="209" t="n"/>
      <c r="E241" s="16" t="inlineStr">
        <is>
          <t>Typical Hay profiles for clerical, specialist and supervisory jobs; the shares used for the junior and professional rows</t>
        </is>
      </c>
      <c r="F241" s="210" t="n"/>
      <c r="G241" s="210" t="n"/>
      <c r="H241" s="210" t="n"/>
      <c r="I241" s="209" t="n"/>
      <c r="J241" s="16" t="inlineStr">
        <is>
          <t>https://www.slideshare.net/slideshow/hay-summary/55196354</t>
        </is>
      </c>
      <c r="K241" s="210" t="n"/>
      <c r="L241" s="210" t="n"/>
      <c r="M241" s="209" t="n"/>
      <c r="N241" s="16" t="inlineStr">
        <is>
          <t>Secondary</t>
        </is>
      </c>
    </row>
    <row r="242" ht="28" customHeight="1">
      <c r="A242" s="13" t="inlineStr">
        <is>
          <t>S49</t>
        </is>
      </c>
      <c r="B242" s="16" t="inlineStr">
        <is>
          <t>Lincolnshire County Council — Hay Group job evaluation method</t>
        </is>
      </c>
      <c r="C242" s="210" t="n"/>
      <c r="D242" s="209" t="n"/>
      <c r="E242" s="16" t="inlineStr">
        <is>
          <t>Defines know-how as all knowledge and skill however acquired — the basis for not scoring experience on its own</t>
        </is>
      </c>
      <c r="F242" s="210" t="n"/>
      <c r="G242" s="210" t="n"/>
      <c r="H242" s="210" t="n"/>
      <c r="I242" s="209" t="n"/>
      <c r="J242" s="16" t="inlineStr">
        <is>
          <t>https://professionals.lincolnshire.gov.uk/downloads/file/576/hay-group-je-method</t>
        </is>
      </c>
      <c r="K242" s="210" t="n"/>
      <c r="L242" s="210" t="n"/>
      <c r="M242" s="209" t="n"/>
      <c r="N242" s="16" t="inlineStr">
        <is>
          <t>Primary</t>
        </is>
      </c>
    </row>
    <row r="243" ht="28" customHeight="1">
      <c r="A243" s="13" t="inlineStr">
        <is>
          <t>S50</t>
        </is>
      </c>
      <c r="B243" s="16" t="inlineStr">
        <is>
          <t>Western University — Hay method overview</t>
        </is>
      </c>
      <c r="C243" s="210" t="n"/>
      <c r="D243" s="209" t="n"/>
      <c r="E243" s="16" t="inlineStr">
        <is>
          <t>Plain explanation of the three Hay factors and the short profile; cross-check of the Hay shares</t>
        </is>
      </c>
      <c r="F243" s="210" t="n"/>
      <c r="G243" s="210" t="n"/>
      <c r="H243" s="210" t="n"/>
      <c r="I243" s="209" t="n"/>
      <c r="J243" s="16" t="inlineStr">
        <is>
          <t>https://www.uwo.ca/humanresources/wjec/docs/hay_method_overview.pdf</t>
        </is>
      </c>
      <c r="K243" s="210" t="n"/>
      <c r="L243" s="210" t="n"/>
      <c r="M243" s="209" t="n"/>
      <c r="N243" s="16" t="inlineStr">
        <is>
          <t>Secondary</t>
        </is>
      </c>
    </row>
    <row r="244" ht="41" customHeight="1">
      <c r="A244" s="13" t="inlineStr">
        <is>
          <t>S51</t>
        </is>
      </c>
      <c r="B244" s="16" t="inlineStr">
        <is>
          <t>Derbyshire County Council — Korn Ferry Hay scheme</t>
        </is>
      </c>
      <c r="C244" s="210" t="n"/>
      <c r="D244" s="209" t="n"/>
      <c r="E244" s="16" t="inlineStr">
        <is>
          <t>Confirms current Korn Ferry Hay use in UK public employers and the factor definitions</t>
        </is>
      </c>
      <c r="F244" s="210" t="n"/>
      <c r="G244" s="210" t="n"/>
      <c r="H244" s="210" t="n"/>
      <c r="I244" s="209" t="n"/>
      <c r="J244" s="16" t="inlineStr">
        <is>
          <t>https://staff.derbyshire.gov.uk/jobs-and-recruitment/job-evaluation/korn-ferry-hay-scheme/korn-ferry-hay-scheme.aspx</t>
        </is>
      </c>
      <c r="K244" s="210" t="n"/>
      <c r="L244" s="210" t="n"/>
      <c r="M244" s="209" t="n"/>
      <c r="N244" s="16" t="inlineStr">
        <is>
          <t>Secondary</t>
        </is>
      </c>
    </row>
    <row r="245" ht="41" customHeight="1">
      <c r="A245" s="13" t="inlineStr">
        <is>
          <t>S52</t>
        </is>
      </c>
      <c r="B245" s="16" t="inlineStr">
        <is>
          <t>Mercer IPE — position evaluation manual and factor sheet</t>
        </is>
      </c>
      <c r="C245" s="210" t="n"/>
      <c r="D245" s="209" t="n"/>
      <c r="E245" s="16" t="inlineStr">
        <is>
          <t>Maximum points per factor and the factor definitions — Impact, Communication, Innovation, Knowledge — used for the IPE column of the derivation</t>
        </is>
      </c>
      <c r="F245" s="210" t="n"/>
      <c r="G245" s="210" t="n"/>
      <c r="H245" s="210" t="n"/>
      <c r="I245" s="209" t="n"/>
      <c r="J245" s="16" t="inlineStr">
        <is>
          <t>https://www.karlancer.com/api/file/1685038954-V7Gx.pdf ; https://studylib.net/doc/25471018/197145561-evaluation-factors-mercer</t>
        </is>
      </c>
      <c r="K245" s="210" t="n"/>
      <c r="L245" s="210" t="n"/>
      <c r="M245" s="209" t="n"/>
      <c r="N245" s="16" t="inlineStr">
        <is>
          <t>Secondary</t>
        </is>
      </c>
    </row>
    <row r="246" ht="28" customHeight="1">
      <c r="A246" s="13" t="inlineStr">
        <is>
          <t>S53</t>
        </is>
      </c>
      <c r="B246" s="16" t="inlineStr">
        <is>
          <t>NHS Agenda for Change — Job Evaluation Handbook</t>
        </is>
      </c>
      <c r="C246" s="210" t="n"/>
      <c r="D246" s="209" t="n"/>
      <c r="E246" s="16" t="inlineStr">
        <is>
          <t>16 factors and 1,000 points with published weights; knowledge 24%, financial and physical resources 6%</t>
        </is>
      </c>
      <c r="F246" s="210" t="n"/>
      <c r="G246" s="210" t="n"/>
      <c r="H246" s="210" t="n"/>
      <c r="I246" s="209" t="n"/>
      <c r="J246" s="16" t="inlineStr">
        <is>
          <t>https://www.nhsemployers.org/sites/default/files/pdf/22/165.pdf</t>
        </is>
      </c>
      <c r="K246" s="210" t="n"/>
      <c r="L246" s="210" t="n"/>
      <c r="M246" s="209" t="n"/>
      <c r="N246" s="16" t="inlineStr">
        <is>
          <t>Primary</t>
        </is>
      </c>
    </row>
    <row r="247" ht="28" customHeight="1">
      <c r="A247" s="13" t="inlineStr">
        <is>
          <t>S54</t>
        </is>
      </c>
      <c r="B247" s="16" t="inlineStr">
        <is>
          <t>Police Staff Council — job evaluation handbook, NJC 13-factor scheme</t>
        </is>
      </c>
      <c r="C247" s="210" t="n"/>
      <c r="D247" s="209" t="n"/>
      <c r="E247" s="16" t="inlineStr">
        <is>
          <t>Published factor points for the UK local-government scheme; used for the public-plan average</t>
        </is>
      </c>
      <c r="F247" s="210" t="n"/>
      <c r="G247" s="210" t="n"/>
      <c r="H247" s="210" t="n"/>
      <c r="I247" s="209" t="n"/>
      <c r="J247" s="16" t="inlineStr">
        <is>
          <t>https://lb2.local.gov.uk/sites/default/files/documents/police-staff-council-13-f-342.pdf</t>
        </is>
      </c>
      <c r="K247" s="210" t="n"/>
      <c r="L247" s="210" t="n"/>
      <c r="M247" s="209" t="n"/>
      <c r="N247" s="16" t="inlineStr">
        <is>
          <t>Primary</t>
        </is>
      </c>
    </row>
    <row r="248" ht="41" customHeight="1">
      <c r="A248" s="13" t="inlineStr">
        <is>
          <t>S55</t>
        </is>
      </c>
      <c r="B248" s="16" t="inlineStr">
        <is>
          <t>Greater London Provincial Council — points weighting, Denbighshire County Council</t>
        </is>
      </c>
      <c r="C248" s="210" t="n"/>
      <c r="D248" s="209" t="n"/>
      <c r="E248" s="16" t="inlineStr">
        <is>
          <t>11 factors and 948 points with published weights</t>
        </is>
      </c>
      <c r="F248" s="210" t="n"/>
      <c r="G248" s="210" t="n"/>
      <c r="H248" s="210" t="n"/>
      <c r="I248" s="209" t="n"/>
      <c r="J248" s="16" t="inlineStr">
        <is>
          <t>https://www.sirddinbych.gov.uk/en/documents/jobs-and-employees/my-employment/reorganisation-and-change/glpc-points-weighting.pdf</t>
        </is>
      </c>
      <c r="K248" s="210" t="n"/>
      <c r="L248" s="210" t="n"/>
      <c r="M248" s="209" t="n"/>
      <c r="N248" s="16" t="inlineStr">
        <is>
          <t>Primary</t>
        </is>
      </c>
    </row>
    <row r="249" ht="28" customHeight="1">
      <c r="A249" s="13" t="inlineStr">
        <is>
          <t>S56</t>
        </is>
      </c>
      <c r="B249" s="16" t="inlineStr">
        <is>
          <t>Scottish Joint Council scheme — Highland Council scoring matrix</t>
        </is>
      </c>
      <c r="C249" s="210" t="n"/>
      <c r="D249" s="209" t="n"/>
      <c r="E249" s="16" t="inlineStr">
        <is>
          <t>13 factors and 1,000 points with published weights</t>
        </is>
      </c>
      <c r="F249" s="210" t="n"/>
      <c r="G249" s="210" t="n"/>
      <c r="H249" s="210" t="n"/>
      <c r="I249" s="209" t="n"/>
      <c r="J249" s="16" t="inlineStr">
        <is>
          <t>https://www.highland.gov.uk/download/downloads/id/3889/scoring_matrix.pdf</t>
        </is>
      </c>
      <c r="K249" s="210" t="n"/>
      <c r="L249" s="210" t="n"/>
      <c r="M249" s="209" t="n"/>
      <c r="N249" s="16" t="inlineStr">
        <is>
          <t>Primary</t>
        </is>
      </c>
    </row>
    <row r="250" ht="54" customHeight="1">
      <c r="A250" s="13" t="inlineStr">
        <is>
          <t>S57</t>
        </is>
      </c>
      <c r="B250" s="16" t="inlineStr">
        <is>
          <t>US OPM — Introduction to the Position Classification Standards, Factor Evaluation System</t>
        </is>
      </c>
      <c r="C250" s="210" t="n"/>
      <c r="D250" s="209" t="n"/>
      <c r="E250" s="16" t="inlineStr">
        <is>
          <t>9 factors and 4,480 points; the most knowledge-heavy plan, with no separate financial factor</t>
        </is>
      </c>
      <c r="F250" s="210" t="n"/>
      <c r="G250" s="210" t="n"/>
      <c r="H250" s="210" t="n"/>
      <c r="I250" s="209" t="n"/>
      <c r="J250" s="16" t="inlineStr">
        <is>
          <t>https://www.opm.gov/policy-data-oversight/classification-qualifications/classifying-general-schedule-positions/positionclassificationintro.pdf</t>
        </is>
      </c>
      <c r="K250" s="210" t="n"/>
      <c r="L250" s="210" t="n"/>
      <c r="M250" s="209" t="n"/>
      <c r="N250" s="16" t="inlineStr">
        <is>
          <t>Primary</t>
        </is>
      </c>
    </row>
    <row r="251" ht="80" customHeight="1">
      <c r="A251" s="13" t="inlineStr">
        <is>
          <t>S58</t>
        </is>
      </c>
      <c r="B251" s="16" t="inlineStr">
        <is>
          <t>McKinsey — Taking a skills-based approach to building the future workforce, 2022</t>
        </is>
      </c>
      <c r="C251" s="210" t="n"/>
      <c r="D251" s="209" t="n"/>
      <c r="E251" s="16" t="inlineStr">
        <is>
          <t>Hiring for skills is more than twice as predictive as hiring for work experience — support for a low Experience weight</t>
        </is>
      </c>
      <c r="F251" s="210" t="n"/>
      <c r="G251" s="210" t="n"/>
      <c r="H251" s="210" t="n"/>
      <c r="I251" s="209" t="n"/>
      <c r="J251" s="16" t="inlineStr">
        <is>
          <t>https://www.mckinsey.com/~/media/mckinsey/business%20functions/people%20and%20organizational%20performance/our%20insights/taking%20a%20skills%20based%20approach%20to%20building%20the%20future%20workforce/taking-a-skills-based-approach-to-building-the-future-workforce-vf.pdf</t>
        </is>
      </c>
      <c r="K251" s="210" t="n"/>
      <c r="L251" s="210" t="n"/>
      <c r="M251" s="209" t="n"/>
      <c r="N251" s="16" t="inlineStr">
        <is>
          <t>Primary</t>
        </is>
      </c>
    </row>
    <row r="252" ht="41" customHeight="1">
      <c r="A252" s="13" t="inlineStr">
        <is>
          <t>S59</t>
        </is>
      </c>
      <c r="B252" s="16" t="inlineStr">
        <is>
          <t>Deloitte — Human Capital Trends 2023, skills-based model</t>
        </is>
      </c>
      <c r="C252" s="210" t="n"/>
      <c r="D252" s="209" t="n"/>
      <c r="E252" s="16" t="inlineStr">
        <is>
          <t>Organisations moving to deploy and promote on skills rather than tenure or job history</t>
        </is>
      </c>
      <c r="F252" s="210" t="n"/>
      <c r="G252" s="210" t="n"/>
      <c r="H252" s="210" t="n"/>
      <c r="I252" s="209" t="n"/>
      <c r="J252" s="16" t="inlineStr">
        <is>
          <t>https://www.deloitte.com/us/en/insights/topics/talent/human-capital-trends/2023/skills-based-model-end-of-jobs.html</t>
        </is>
      </c>
      <c r="K252" s="210" t="n"/>
      <c r="L252" s="210" t="n"/>
      <c r="M252" s="209" t="n"/>
      <c r="N252" s="16" t="inlineStr">
        <is>
          <t>Primary</t>
        </is>
      </c>
    </row>
    <row r="253" ht="41" customHeight="1">
      <c r="A253" s="13" t="inlineStr">
        <is>
          <t>S60</t>
        </is>
      </c>
      <c r="B253" s="16" t="inlineStr">
        <is>
          <t>World Economic Forum — Skills-first: 6 success factors, 2024</t>
        </is>
      </c>
      <c r="C253" s="210" t="n"/>
      <c r="D253" s="209" t="n"/>
      <c r="E253" s="16" t="inlineStr">
        <is>
          <t>Rethink education and previous experience as proxies for ability</t>
        </is>
      </c>
      <c r="F253" s="210" t="n"/>
      <c r="G253" s="210" t="n"/>
      <c r="H253" s="210" t="n"/>
      <c r="I253" s="209" t="n"/>
      <c r="J253" s="16" t="inlineStr">
        <is>
          <t>https://www.weforum.org/stories/2024/01/skills-first-6-success-factors-recruiting-developing-talent/</t>
        </is>
      </c>
      <c r="K253" s="210" t="n"/>
      <c r="L253" s="210" t="n"/>
      <c r="M253" s="209" t="n"/>
      <c r="N253" s="16" t="inlineStr">
        <is>
          <t>Secondary</t>
        </is>
      </c>
    </row>
    <row r="254" ht="41" customHeight="1">
      <c r="A254" s="13" t="inlineStr">
        <is>
          <t>S61</t>
        </is>
      </c>
      <c r="B254" s="16" t="inlineStr">
        <is>
          <t>EY Future of Pay via People Matters — India's 2026 salary increases to reward skills over seniority</t>
        </is>
      </c>
      <c r="C254" s="210" t="n"/>
      <c r="D254" s="209" t="n"/>
      <c r="E254" s="16" t="inlineStr">
        <is>
          <t>India pay moving away from tenure-based increases towards skills-led, performance-driven frameworks</t>
        </is>
      </c>
      <c r="F254" s="210" t="n"/>
      <c r="G254" s="210" t="n"/>
      <c r="H254" s="210" t="n"/>
      <c r="I254" s="209" t="n"/>
      <c r="J254" s="16" t="inlineStr">
        <is>
          <t>https://www.peoplematters.in/news/compensation-benefits/indias-2026-salary-increases-to-reward-skills-over-seniority-ey-48541</t>
        </is>
      </c>
      <c r="K254" s="210" t="n"/>
      <c r="L254" s="210" t="n"/>
      <c r="M254" s="209" t="n"/>
      <c r="N254" s="16" t="inlineStr">
        <is>
          <t>Secondary</t>
        </is>
      </c>
    </row>
    <row r="255" ht="41" customHeight="1">
      <c r="A255" s="13" t="inlineStr">
        <is>
          <t>S62</t>
        </is>
      </c>
      <c r="B255" s="16" t="inlineStr">
        <is>
          <t>WTW — Building resilient career ecosystems, India 2023</t>
        </is>
      </c>
      <c r="C255" s="210" t="n"/>
      <c r="D255" s="209" t="n"/>
      <c r="E255" s="16" t="inlineStr">
        <is>
          <t>WTW's view of career architecture design in India; complements the WTW GGS factors in S07</t>
        </is>
      </c>
      <c r="F255" s="210" t="n"/>
      <c r="G255" s="210" t="n"/>
      <c r="H255" s="210" t="n"/>
      <c r="I255" s="209" t="n"/>
      <c r="J255" s="16" t="inlineStr">
        <is>
          <t>https://www.wtwco.com/en-in/insights/2023/09/building-resilient-career-ecosystems-with-robust-career-strategy-and-design</t>
        </is>
      </c>
      <c r="K255" s="210" t="n"/>
      <c r="L255" s="210" t="n"/>
      <c r="M255" s="209" t="n"/>
      <c r="N255" s="16" t="inlineStr">
        <is>
          <t>Secondary</t>
        </is>
      </c>
    </row>
    <row r="256" ht="28" customHeight="1">
      <c r="A256" s="13" t="inlineStr">
        <is>
          <t>S63</t>
        </is>
      </c>
      <c r="B256" s="16" t="inlineStr">
        <is>
          <t>iPleaders — Director under the Companies Act 2013</t>
        </is>
      </c>
      <c r="C256" s="210" t="n"/>
      <c r="D256" s="209" t="n"/>
      <c r="E256" s="16" t="inlineStr">
        <is>
          <r>
            <rPr>
              <rFont val="Calibri"/>
              <b val="1"/>
              <sz val="10"/>
            </rPr>
            <t>Section 2, clause 34:</t>
          </r>
          <r>
            <rPr>
              <rFont val="Calibri"/>
              <sz val="10"/>
            </rPr>
            <t xml:space="preserve"> 'director' means a director appointed to the Board — the reason IRIS uses no 'Director' title</t>
          </r>
        </is>
      </c>
      <c r="F256" s="210" t="n"/>
      <c r="G256" s="210" t="n"/>
      <c r="H256" s="210" t="n"/>
      <c r="I256" s="209" t="n"/>
      <c r="J256" s="16" t="inlineStr">
        <is>
          <t>https://blog.ipleaders.in/director-companies-act-2013/</t>
        </is>
      </c>
      <c r="K256" s="210" t="n"/>
      <c r="L256" s="210" t="n"/>
      <c r="M256" s="209" t="n"/>
      <c r="N256" s="16" t="inlineStr">
        <is>
          <t>Primary</t>
        </is>
      </c>
    </row>
    <row r="257" ht="41" customHeight="1">
      <c r="A257" s="13" t="inlineStr">
        <is>
          <t>S64</t>
        </is>
      </c>
      <c r="B257" s="16" t="inlineStr">
        <is>
          <t>Kaanoon — 'Director' as an HR designation but not under the Companies Act</t>
        </is>
      </c>
      <c r="C257" s="210" t="n"/>
      <c r="D257" s="209" t="n"/>
      <c r="E257" s="16" t="inlineStr">
        <is>
          <t>Practitioner view that a 'Director' designation for non-board staff causes confusion and disclosure risk</t>
        </is>
      </c>
      <c r="F257" s="210" t="n"/>
      <c r="G257" s="210" t="n"/>
      <c r="H257" s="210" t="n"/>
      <c r="I257" s="209" t="n"/>
      <c r="J257" s="16" t="inlineStr">
        <is>
          <t>https://www.kaanoon.com/241487/designation-with-word-director-as-per-hr-policy-but-not-as-per-companies-act</t>
        </is>
      </c>
      <c r="K257" s="210" t="n"/>
      <c r="L257" s="210" t="n"/>
      <c r="M257" s="209" t="n"/>
      <c r="N257" s="16" t="inlineStr">
        <is>
          <t>Secondary</t>
        </is>
      </c>
    </row>
    <row r="258" ht="28" customHeight="1">
      <c r="A258" s="13" t="inlineStr">
        <is>
          <t>S65</t>
        </is>
      </c>
      <c r="B258" s="16" t="inlineStr">
        <is>
          <t>Wipro — Distinguished Member of Technical Staff</t>
        </is>
      </c>
      <c r="C258" s="210" t="n"/>
      <c r="D258" s="209" t="n"/>
      <c r="E258" s="16" t="inlineStr">
        <is>
          <t>Indian example of the 'Distinguished' top-specialist title — Option B for the D1 title</t>
        </is>
      </c>
      <c r="F258" s="210" t="n"/>
      <c r="G258" s="210" t="n"/>
      <c r="H258" s="210" t="n"/>
      <c r="I258" s="209" t="n"/>
      <c r="J258" s="16" t="inlineStr">
        <is>
          <t>https://www.wipro.com/innovation/distinguished-member-of-technical-staff/</t>
        </is>
      </c>
      <c r="K258" s="210" t="n"/>
      <c r="L258" s="210" t="n"/>
      <c r="M258" s="209" t="n"/>
      <c r="N258" s="16" t="inlineStr">
        <is>
          <t>Primary</t>
        </is>
      </c>
    </row>
    <row r="259" ht="28" customHeight="1">
      <c r="A259" s="13" t="inlineStr">
        <is>
          <t>S66</t>
        </is>
      </c>
      <c r="B259" s="16" t="inlineStr">
        <is>
          <t>Salesforce engineering levels — AMTS to Distinguished Engineer</t>
        </is>
      </c>
      <c r="C259" s="210" t="n"/>
      <c r="D259" s="209" t="n"/>
      <c r="E259" s="16" t="inlineStr">
        <is>
          <t>Global SaaS example of the top-specialist title above Principal Architect</t>
        </is>
      </c>
      <c r="F259" s="210" t="n"/>
      <c r="G259" s="210" t="n"/>
      <c r="H259" s="210" t="n"/>
      <c r="I259" s="209" t="n"/>
      <c r="J259" s="16" t="inlineStr">
        <is>
          <t>https://www.designgurus.io/blog/salesforce-software-engineer-levels</t>
        </is>
      </c>
      <c r="K259" s="210" t="n"/>
      <c r="L259" s="210" t="n"/>
      <c r="M259" s="209" t="n"/>
      <c r="N259" s="16" t="inlineStr">
        <is>
          <t>Secondary</t>
        </is>
      </c>
    </row>
    <row r="260" ht="28" customHeight="1">
      <c r="A260" s="13" t="inlineStr">
        <is>
          <t>S67</t>
        </is>
      </c>
      <c r="B260" s="16" t="inlineStr">
        <is>
          <t>LeadDev — Who are staff, principal and distinguished engineers</t>
        </is>
      </c>
      <c r="C260" s="210" t="n"/>
      <c r="D260" s="209" t="n"/>
      <c r="E260" s="16" t="inlineStr">
        <is>
          <t>How Principal, Distinguished and Fellow tiers are used and how rare they are</t>
        </is>
      </c>
      <c r="F260" s="210" t="n"/>
      <c r="G260" s="210" t="n"/>
      <c r="H260" s="210" t="n"/>
      <c r="I260" s="209" t="n"/>
      <c r="J260" s="16" t="inlineStr">
        <is>
          <t>https://leaddev.com/career-ladders/who-are-staff-principal-and-distinguished-engineers</t>
        </is>
      </c>
      <c r="K260" s="210" t="n"/>
      <c r="L260" s="210" t="n"/>
      <c r="M260" s="209" t="n"/>
      <c r="N260" s="16" t="inlineStr">
        <is>
          <t>Secondary</t>
        </is>
      </c>
    </row>
    <row r="261" ht="28" customHeight="1">
      <c r="A261" s="13" t="inlineStr">
        <is>
          <t>S68</t>
        </is>
      </c>
      <c r="B261" s="16" t="inlineStr">
        <is>
          <t>Dropbox — engineering career framework</t>
        </is>
      </c>
      <c r="C261" s="210" t="n"/>
      <c r="D261" s="209" t="n"/>
      <c r="E261" s="16" t="inlineStr">
        <is>
          <t>Published IC ladder with top-specialist tiers and their scope</t>
        </is>
      </c>
      <c r="F261" s="210" t="n"/>
      <c r="G261" s="210" t="n"/>
      <c r="H261" s="210" t="n"/>
      <c r="I261" s="209" t="n"/>
      <c r="J261" s="16" t="inlineStr">
        <is>
          <t>https://dropbox.tech/culture/our-updated-engineering-career-framework</t>
        </is>
      </c>
      <c r="K261" s="210" t="n"/>
      <c r="L261" s="210" t="n"/>
      <c r="M261" s="209" t="n"/>
      <c r="N261" s="16" t="inlineStr">
        <is>
          <t>Secondary</t>
        </is>
      </c>
    </row>
    <row r="262" ht="41" customHeight="1">
      <c r="A262" s="13" t="inlineStr">
        <is>
          <t>S69</t>
        </is>
      </c>
      <c r="B262" s="16" t="inlineStr">
        <is>
          <t>Square — growth framework for engineers and engineering managers</t>
        </is>
      </c>
      <c r="C262" s="210" t="n"/>
      <c r="D262" s="209" t="n"/>
      <c r="E262" s="16" t="inlineStr">
        <is>
          <t>Published IC and manager ladders side by side</t>
        </is>
      </c>
      <c r="F262" s="210" t="n"/>
      <c r="G262" s="210" t="n"/>
      <c r="H262" s="210" t="n"/>
      <c r="I262" s="209" t="n"/>
      <c r="J262" s="16" t="inlineStr">
        <is>
          <t>https://developer.squareup.com/blog/squares-growth-framework-for-engineers-and-engineering-managers/</t>
        </is>
      </c>
      <c r="K262" s="210" t="n"/>
      <c r="L262" s="210" t="n"/>
      <c r="M262" s="209" t="n"/>
      <c r="N262" s="16" t="inlineStr">
        <is>
          <t>Secondary</t>
        </is>
      </c>
    </row>
    <row r="263" ht="41" customHeight="1">
      <c r="A263" s="13" t="inlineStr">
        <is>
          <t>S70</t>
        </is>
      </c>
      <c r="B263" s="16" t="inlineStr">
        <is>
          <t>Carta and Pave — job levelling frameworks</t>
        </is>
      </c>
      <c r="C263" s="210" t="n"/>
      <c r="D263" s="209" t="n"/>
      <c r="E263" s="16" t="inlineStr">
        <is>
          <t>Market levelling guides used to check the level count and the IC ↔ manager pairing</t>
        </is>
      </c>
      <c r="F263" s="210" t="n"/>
      <c r="G263" s="210" t="n"/>
      <c r="H263" s="210" t="n"/>
      <c r="I263" s="209" t="n"/>
      <c r="J263" s="16" t="inlineStr">
        <is>
          <t>https://carta.com/learn/startups/compensation/job-leveling/ ; https://pave.com/blog-posts/job-leveling-framework</t>
        </is>
      </c>
      <c r="K263" s="210" t="n"/>
      <c r="L263" s="210" t="n"/>
      <c r="M263" s="209" t="n"/>
      <c r="N263" s="16" t="inlineStr">
        <is>
          <t>Secondary</t>
        </is>
      </c>
    </row>
    <row r="264" ht="28" customHeight="1">
      <c r="A264" s="13" t="inlineStr">
        <is>
          <t>S71</t>
        </is>
      </c>
      <c r="B264" s="16" t="inlineStr">
        <is>
          <t>Figures — Figures levels</t>
        </is>
      </c>
      <c r="C264" s="210" t="n"/>
      <c r="D264" s="209" t="n"/>
      <c r="E264" s="16" t="inlineStr">
        <is>
          <t>Second levelling crosswalk alongside the Mercer levels in S03</t>
        </is>
      </c>
      <c r="F264" s="210" t="n"/>
      <c r="G264" s="210" t="n"/>
      <c r="H264" s="210" t="n"/>
      <c r="I264" s="209" t="n"/>
      <c r="J264" s="16" t="inlineStr">
        <is>
          <t>https://help.figures.hr/en/articles/389317-figures-levels</t>
        </is>
      </c>
      <c r="K264" s="210" t="n"/>
      <c r="L264" s="210" t="n"/>
      <c r="M264" s="209" t="n"/>
      <c r="N264" s="16" t="inlineStr">
        <is>
          <t>Secondary</t>
        </is>
      </c>
    </row>
    <row r="265" ht="28" customHeight="1">
      <c r="A265" s="13" t="inlineStr">
        <is>
          <t>S72</t>
        </is>
      </c>
      <c r="B265" s="16" t="inlineStr">
        <is>
          <t>PayScale India — Chief Architect, IT</t>
        </is>
      </c>
      <c r="C265" s="210" t="n"/>
      <c r="D265" s="209" t="n"/>
      <c r="E265" s="16" t="inlineStr">
        <is>
          <t>Shows Chief Architect, IT tracked as an experienced and late-career role in India — Option A for the D1 title</t>
        </is>
      </c>
      <c r="F265" s="210" t="n"/>
      <c r="G265" s="210" t="n"/>
      <c r="H265" s="210" t="n"/>
      <c r="I265" s="209" t="n"/>
      <c r="J265" s="16" t="inlineStr">
        <is>
          <t>https://www.payscale.com/research/IN/Job=Chief_Architect%2C_IT/Skill-Experience</t>
        </is>
      </c>
      <c r="K265" s="210" t="n"/>
      <c r="L265" s="210" t="n"/>
      <c r="M265" s="209" t="n"/>
      <c r="N265" s="16" t="inlineStr">
        <is>
          <t>Indicative</t>
        </is>
      </c>
    </row>
    <row r="266" ht="28" customHeight="1">
      <c r="A266" s="13" t="inlineStr">
        <is>
          <t>S40</t>
        </is>
      </c>
      <c r="B266" s="16" t="inlineStr">
        <is>
          <t>Employee Master_New_23092026 and Employee Master_OLD</t>
        </is>
      </c>
      <c r="C266" s="210" t="n"/>
      <c r="D266" s="209" t="n"/>
      <c r="E266" s="16" t="inlineStr">
        <is>
          <t>Roster, department, manager, experience, qualification, category</t>
        </is>
      </c>
      <c r="F266" s="210" t="n"/>
      <c r="G266" s="210" t="n"/>
      <c r="H266" s="210" t="n"/>
      <c r="I266" s="209" t="n"/>
      <c r="J266" s="16" t="inlineStr">
        <is>
          <t>Internal</t>
        </is>
      </c>
      <c r="K266" s="210" t="n"/>
      <c r="L266" s="210" t="n"/>
      <c r="M266" s="209" t="n"/>
      <c r="N266" s="16" t="inlineStr">
        <is>
          <t>Internal</t>
        </is>
      </c>
    </row>
    <row r="267" ht="28" customHeight="1">
      <c r="A267" s="13" t="inlineStr">
        <is>
          <t>S41</t>
        </is>
      </c>
      <c r="B267" s="16" t="inlineStr">
        <is>
          <t>How We Grow survey · 521 responses</t>
        </is>
      </c>
      <c r="C267" s="210" t="n"/>
      <c r="D267" s="209" t="n"/>
      <c r="E267" s="16" t="inlineStr">
        <is>
          <t>Purpose, deliverables, accountability, decision rights, skills, tools, learning needs</t>
        </is>
      </c>
      <c r="F267" s="210" t="n"/>
      <c r="G267" s="210" t="n"/>
      <c r="H267" s="210" t="n"/>
      <c r="I267" s="209" t="n"/>
      <c r="J267" s="16" t="inlineStr">
        <is>
          <t>Internal</t>
        </is>
      </c>
      <c r="K267" s="210" t="n"/>
      <c r="L267" s="210" t="n"/>
      <c r="M267" s="209" t="n"/>
      <c r="N267" s="16" t="inlineStr">
        <is>
          <t>Internal</t>
        </is>
      </c>
    </row>
    <row r="268" ht="28" customHeight="1">
      <c r="A268" s="13" t="inlineStr">
        <is>
          <t>S42</t>
        </is>
      </c>
      <c r="B268" s="16" t="inlineStr">
        <is>
          <t>Manager talent-mapping files</t>
        </is>
      </c>
      <c r="C268" s="210" t="n"/>
      <c r="D268" s="209" t="n"/>
      <c r="E268" s="16" t="inlineStr">
        <is>
          <t>KRAs, rating, potential, readiness, 9-box, manager training need</t>
        </is>
      </c>
      <c r="F268" s="210" t="n"/>
      <c r="G268" s="210" t="n"/>
      <c r="H268" s="210" t="n"/>
      <c r="I268" s="209" t="n"/>
      <c r="J268" s="16" t="inlineStr">
        <is>
          <t>Internal</t>
        </is>
      </c>
      <c r="K268" s="210" t="n"/>
      <c r="L268" s="210" t="n"/>
      <c r="M268" s="209" t="n"/>
      <c r="N268" s="16" t="inlineStr">
        <is>
          <t>Internal</t>
        </is>
      </c>
    </row>
    <row r="269" ht="28" customHeight="1">
      <c r="A269" s="13" t="inlineStr">
        <is>
          <t>S43</t>
        </is>
      </c>
      <c r="B269" s="16" t="inlineStr">
        <is>
          <t>IRIS talent-mapping workbooks v1 and v2</t>
        </is>
      </c>
      <c r="C269" s="210" t="n"/>
      <c r="D269" s="209" t="n"/>
      <c r="E269" s="16" t="inlineStr">
        <is>
          <t>Factor ratings, competency ratings, duplication and mobility analysis</t>
        </is>
      </c>
      <c r="F269" s="210" t="n"/>
      <c r="G269" s="210" t="n"/>
      <c r="H269" s="210" t="n"/>
      <c r="I269" s="209" t="n"/>
      <c r="J269" s="16" t="inlineStr">
        <is>
          <t>Internal</t>
        </is>
      </c>
      <c r="K269" s="210" t="n"/>
      <c r="L269" s="210" t="n"/>
      <c r="M269" s="209" t="n"/>
      <c r="N269" s="16" t="inlineStr">
        <is>
          <t>Internal</t>
        </is>
      </c>
    </row>
  </sheetData>
  <mergeCells count="731">
    <mergeCell ref="D60:E60"/>
    <mergeCell ref="B231:D231"/>
    <mergeCell ref="E248:I248"/>
    <mergeCell ref="A178:B178"/>
    <mergeCell ref="J59:K59"/>
    <mergeCell ref="K191:N191"/>
    <mergeCell ref="A137:E137"/>
    <mergeCell ref="M99:N99"/>
    <mergeCell ref="A37:N37"/>
    <mergeCell ref="B241:D241"/>
    <mergeCell ref="I182:N182"/>
    <mergeCell ref="D75:H75"/>
    <mergeCell ref="B213:D213"/>
    <mergeCell ref="B78:C78"/>
    <mergeCell ref="A139:E139"/>
    <mergeCell ref="E226:I226"/>
    <mergeCell ref="E201:I201"/>
    <mergeCell ref="B21:E21"/>
    <mergeCell ref="J241:M241"/>
    <mergeCell ref="B242:D242"/>
    <mergeCell ref="E228:I228"/>
    <mergeCell ref="J216:M216"/>
    <mergeCell ref="B23:E23"/>
    <mergeCell ref="H87:I87"/>
    <mergeCell ref="I193:J193"/>
    <mergeCell ref="B208:D208"/>
    <mergeCell ref="H62:I62"/>
    <mergeCell ref="E243:I243"/>
    <mergeCell ref="J62:K62"/>
    <mergeCell ref="A195:D195"/>
    <mergeCell ref="E53:F53"/>
    <mergeCell ref="J218:M218"/>
    <mergeCell ref="B219:D219"/>
    <mergeCell ref="B210:D210"/>
    <mergeCell ref="E223:I223"/>
    <mergeCell ref="F13:I13"/>
    <mergeCell ref="J64:K64"/>
    <mergeCell ref="E55:F55"/>
    <mergeCell ref="F114:H114"/>
    <mergeCell ref="A92:N92"/>
    <mergeCell ref="F35:H35"/>
    <mergeCell ref="A138:E138"/>
    <mergeCell ref="A132:E132"/>
    <mergeCell ref="A190:D190"/>
    <mergeCell ref="E48:F48"/>
    <mergeCell ref="D186:H186"/>
    <mergeCell ref="E254:I254"/>
    <mergeCell ref="D124:E124"/>
    <mergeCell ref="B16:E16"/>
    <mergeCell ref="J244:M244"/>
    <mergeCell ref="A133:E133"/>
    <mergeCell ref="B201:D201"/>
    <mergeCell ref="B239:D239"/>
    <mergeCell ref="D66:E66"/>
    <mergeCell ref="G51:I51"/>
    <mergeCell ref="F66:G66"/>
    <mergeCell ref="D126:E126"/>
    <mergeCell ref="F117:H117"/>
    <mergeCell ref="B18:E18"/>
    <mergeCell ref="M105:N105"/>
    <mergeCell ref="E241:I241"/>
    <mergeCell ref="B203:D203"/>
    <mergeCell ref="J229:M229"/>
    <mergeCell ref="J16:N16"/>
    <mergeCell ref="B11:E11"/>
    <mergeCell ref="B84:C84"/>
    <mergeCell ref="F119:H119"/>
    <mergeCell ref="E170:H170"/>
    <mergeCell ref="M101:N101"/>
    <mergeCell ref="B232:D232"/>
    <mergeCell ref="F61:G61"/>
    <mergeCell ref="A60:C60"/>
    <mergeCell ref="F112:H112"/>
    <mergeCell ref="B215:D215"/>
    <mergeCell ref="B80:C80"/>
    <mergeCell ref="A38:N38"/>
    <mergeCell ref="I183:N183"/>
    <mergeCell ref="F127:H127"/>
    <mergeCell ref="D129:E129"/>
    <mergeCell ref="B263:D263"/>
    <mergeCell ref="E189:F189"/>
    <mergeCell ref="B244:D244"/>
    <mergeCell ref="I196:J196"/>
    <mergeCell ref="I185:N185"/>
    <mergeCell ref="E267:I267"/>
    <mergeCell ref="B229:D229"/>
    <mergeCell ref="J255:M255"/>
    <mergeCell ref="B81:C81"/>
    <mergeCell ref="B6:E6"/>
    <mergeCell ref="D81:E81"/>
    <mergeCell ref="L172:N172"/>
    <mergeCell ref="E269:I269"/>
    <mergeCell ref="B258:D258"/>
    <mergeCell ref="E244:I244"/>
    <mergeCell ref="B245:D245"/>
    <mergeCell ref="J232:M232"/>
    <mergeCell ref="I186:N186"/>
    <mergeCell ref="E231:I231"/>
    <mergeCell ref="J219:M219"/>
    <mergeCell ref="J6:N6"/>
    <mergeCell ref="B260:D260"/>
    <mergeCell ref="I166:K166"/>
    <mergeCell ref="C44:D44"/>
    <mergeCell ref="J65:K65"/>
    <mergeCell ref="K189:N189"/>
    <mergeCell ref="E245:I245"/>
    <mergeCell ref="J163:L163"/>
    <mergeCell ref="A95:N95"/>
    <mergeCell ref="B99:L99"/>
    <mergeCell ref="A135:E135"/>
    <mergeCell ref="L60:M60"/>
    <mergeCell ref="A141:N141"/>
    <mergeCell ref="A193:D193"/>
    <mergeCell ref="M97:N97"/>
    <mergeCell ref="B17:E17"/>
    <mergeCell ref="D117:E117"/>
    <mergeCell ref="I191:J191"/>
    <mergeCell ref="I77:N77"/>
    <mergeCell ref="J250:M250"/>
    <mergeCell ref="D73:H73"/>
    <mergeCell ref="A156:B156"/>
    <mergeCell ref="A28:E28"/>
    <mergeCell ref="D67:E67"/>
    <mergeCell ref="B76:C76"/>
    <mergeCell ref="J237:M237"/>
    <mergeCell ref="B238:D238"/>
    <mergeCell ref="A199:N199"/>
    <mergeCell ref="E255:I255"/>
    <mergeCell ref="J18:N18"/>
    <mergeCell ref="B19:E19"/>
    <mergeCell ref="E242:I242"/>
    <mergeCell ref="C49:D49"/>
    <mergeCell ref="A30:E30"/>
    <mergeCell ref="J239:M239"/>
    <mergeCell ref="J17:N17"/>
    <mergeCell ref="L166:N166"/>
    <mergeCell ref="I192:J192"/>
    <mergeCell ref="B240:D240"/>
    <mergeCell ref="E263:I263"/>
    <mergeCell ref="E195:F195"/>
    <mergeCell ref="C42:D42"/>
    <mergeCell ref="E42:F42"/>
    <mergeCell ref="J19:N19"/>
    <mergeCell ref="B20:E20"/>
    <mergeCell ref="F122:H122"/>
    <mergeCell ref="F14:I14"/>
    <mergeCell ref="F28:H28"/>
    <mergeCell ref="J263:M263"/>
    <mergeCell ref="H64:I64"/>
    <mergeCell ref="E190:F190"/>
    <mergeCell ref="G154:I154"/>
    <mergeCell ref="C55:D55"/>
    <mergeCell ref="G190:H190"/>
    <mergeCell ref="M108:N108"/>
    <mergeCell ref="J55:K55"/>
    <mergeCell ref="A27:E27"/>
    <mergeCell ref="B266:D266"/>
    <mergeCell ref="E252:I252"/>
    <mergeCell ref="B87:C87"/>
    <mergeCell ref="D87:E87"/>
    <mergeCell ref="D122:E122"/>
    <mergeCell ref="B268:D268"/>
    <mergeCell ref="B224:D224"/>
    <mergeCell ref="C52:D52"/>
    <mergeCell ref="C39:D39"/>
    <mergeCell ref="F67:G67"/>
    <mergeCell ref="B261:D261"/>
    <mergeCell ref="D82:E82"/>
    <mergeCell ref="F82:G82"/>
    <mergeCell ref="M103:N103"/>
    <mergeCell ref="K190:N190"/>
    <mergeCell ref="E238:I238"/>
    <mergeCell ref="E47:F47"/>
    <mergeCell ref="M96:N96"/>
    <mergeCell ref="B100:L100"/>
    <mergeCell ref="I75:N75"/>
    <mergeCell ref="C159:F159"/>
    <mergeCell ref="B250:D250"/>
    <mergeCell ref="L66:M66"/>
    <mergeCell ref="M98:N98"/>
    <mergeCell ref="J251:M251"/>
    <mergeCell ref="B102:L102"/>
    <mergeCell ref="C161:F161"/>
    <mergeCell ref="B77:C77"/>
    <mergeCell ref="J238:M238"/>
    <mergeCell ref="J68:K68"/>
    <mergeCell ref="E200:I200"/>
    <mergeCell ref="L68:M68"/>
    <mergeCell ref="K193:N193"/>
    <mergeCell ref="B230:D230"/>
    <mergeCell ref="L168:N168"/>
    <mergeCell ref="A172:B172"/>
    <mergeCell ref="I194:J194"/>
    <mergeCell ref="E265:I265"/>
    <mergeCell ref="J253:M253"/>
    <mergeCell ref="B254:D254"/>
    <mergeCell ref="D76:H76"/>
    <mergeCell ref="C50:D50"/>
    <mergeCell ref="H89:I89"/>
    <mergeCell ref="J240:M240"/>
    <mergeCell ref="L167:N167"/>
    <mergeCell ref="A184:C184"/>
    <mergeCell ref="E202:I202"/>
    <mergeCell ref="B22:E22"/>
    <mergeCell ref="I78:N78"/>
    <mergeCell ref="A163:B163"/>
    <mergeCell ref="B256:D256"/>
    <mergeCell ref="J20:N20"/>
    <mergeCell ref="L169:N169"/>
    <mergeCell ref="E266:I266"/>
    <mergeCell ref="E260:I260"/>
    <mergeCell ref="F15:I15"/>
    <mergeCell ref="J22:N22"/>
    <mergeCell ref="H65:I65"/>
    <mergeCell ref="G155:I155"/>
    <mergeCell ref="E196:F196"/>
    <mergeCell ref="D113:E113"/>
    <mergeCell ref="J266:M266"/>
    <mergeCell ref="E193:F193"/>
    <mergeCell ref="G157:I157"/>
    <mergeCell ref="G193:H193"/>
    <mergeCell ref="D88:E88"/>
    <mergeCell ref="A93:N93"/>
    <mergeCell ref="F88:G88"/>
    <mergeCell ref="B259:D259"/>
    <mergeCell ref="J208:M208"/>
    <mergeCell ref="D115:E115"/>
    <mergeCell ref="A66:C66"/>
    <mergeCell ref="B225:D225"/>
    <mergeCell ref="B90:C90"/>
    <mergeCell ref="D90:E90"/>
    <mergeCell ref="E213:I213"/>
    <mergeCell ref="C45:D45"/>
    <mergeCell ref="J201:M201"/>
    <mergeCell ref="J13:N13"/>
    <mergeCell ref="B267:D267"/>
    <mergeCell ref="F83:G83"/>
    <mergeCell ref="H83:I83"/>
    <mergeCell ref="E215:I215"/>
    <mergeCell ref="J228:M228"/>
    <mergeCell ref="C47:D47"/>
    <mergeCell ref="J203:M203"/>
    <mergeCell ref="J15:N15"/>
    <mergeCell ref="B269:D269"/>
    <mergeCell ref="J49:K49"/>
    <mergeCell ref="F85:G85"/>
    <mergeCell ref="C40:D40"/>
    <mergeCell ref="H85:I85"/>
    <mergeCell ref="E40:F40"/>
    <mergeCell ref="J259:M259"/>
    <mergeCell ref="G54:I54"/>
    <mergeCell ref="B251:D251"/>
    <mergeCell ref="G41:I41"/>
    <mergeCell ref="B216:D216"/>
    <mergeCell ref="B103:L103"/>
    <mergeCell ref="C162:F162"/>
    <mergeCell ref="J261:M261"/>
    <mergeCell ref="G56:I56"/>
    <mergeCell ref="H80:I80"/>
    <mergeCell ref="G43:I43"/>
    <mergeCell ref="D118:E118"/>
    <mergeCell ref="B218:D218"/>
    <mergeCell ref="J254:M254"/>
    <mergeCell ref="A171:B171"/>
    <mergeCell ref="B264:D264"/>
    <mergeCell ref="E268:I268"/>
    <mergeCell ref="J256:M256"/>
    <mergeCell ref="A173:B173"/>
    <mergeCell ref="C53:D53"/>
    <mergeCell ref="C179:D179"/>
    <mergeCell ref="A166:B166"/>
    <mergeCell ref="D63:E63"/>
    <mergeCell ref="E203:I203"/>
    <mergeCell ref="A168:B168"/>
    <mergeCell ref="C155:F155"/>
    <mergeCell ref="I33:N33"/>
    <mergeCell ref="B211:D211"/>
    <mergeCell ref="H60:I60"/>
    <mergeCell ref="A25:N25"/>
    <mergeCell ref="C157:F157"/>
    <mergeCell ref="E221:I221"/>
    <mergeCell ref="J209:M209"/>
    <mergeCell ref="D116:E116"/>
    <mergeCell ref="I35:N35"/>
    <mergeCell ref="C46:D46"/>
    <mergeCell ref="G44:I44"/>
    <mergeCell ref="E46:F46"/>
    <mergeCell ref="F7:I7"/>
    <mergeCell ref="J211:M211"/>
    <mergeCell ref="B212:D212"/>
    <mergeCell ref="A2:N2"/>
    <mergeCell ref="B206:D206"/>
    <mergeCell ref="G158:I158"/>
    <mergeCell ref="H84:I84"/>
    <mergeCell ref="D184:H184"/>
    <mergeCell ref="E216:I216"/>
    <mergeCell ref="C48:D48"/>
    <mergeCell ref="I30:N30"/>
    <mergeCell ref="J269:M269"/>
    <mergeCell ref="I168:K168"/>
    <mergeCell ref="F34:H34"/>
    <mergeCell ref="A182:C182"/>
    <mergeCell ref="J50:K50"/>
    <mergeCell ref="E54:F54"/>
    <mergeCell ref="H86:I86"/>
    <mergeCell ref="E218:I218"/>
    <mergeCell ref="F8:I8"/>
    <mergeCell ref="E41:F41"/>
    <mergeCell ref="J206:M206"/>
    <mergeCell ref="J42:K42"/>
    <mergeCell ref="F30:H30"/>
    <mergeCell ref="J52:K52"/>
    <mergeCell ref="E56:F56"/>
    <mergeCell ref="J39:K39"/>
    <mergeCell ref="E43:F43"/>
    <mergeCell ref="B9:E9"/>
    <mergeCell ref="J44:K44"/>
    <mergeCell ref="A176:N176"/>
    <mergeCell ref="D119:E119"/>
    <mergeCell ref="G49:I49"/>
    <mergeCell ref="I171:K171"/>
    <mergeCell ref="E172:H172"/>
    <mergeCell ref="J264:M264"/>
    <mergeCell ref="E234:I234"/>
    <mergeCell ref="F125:H125"/>
    <mergeCell ref="J9:N9"/>
    <mergeCell ref="I173:K173"/>
    <mergeCell ref="A174:B174"/>
    <mergeCell ref="E236:I236"/>
    <mergeCell ref="J224:M224"/>
    <mergeCell ref="E229:I229"/>
    <mergeCell ref="B73:C73"/>
    <mergeCell ref="G196:H196"/>
    <mergeCell ref="A68:C68"/>
    <mergeCell ref="F120:H120"/>
    <mergeCell ref="D78:H78"/>
    <mergeCell ref="A33:E33"/>
    <mergeCell ref="J63:K63"/>
    <mergeCell ref="L63:M63"/>
    <mergeCell ref="F21:I21"/>
    <mergeCell ref="A196:D196"/>
    <mergeCell ref="B237:D237"/>
    <mergeCell ref="I34:N34"/>
    <mergeCell ref="J47:K47"/>
    <mergeCell ref="B209:D209"/>
    <mergeCell ref="B74:C74"/>
    <mergeCell ref="A35:E35"/>
    <mergeCell ref="D68:E68"/>
    <mergeCell ref="G39:I39"/>
    <mergeCell ref="B214:D214"/>
    <mergeCell ref="D59:E59"/>
    <mergeCell ref="J212:M212"/>
    <mergeCell ref="B253:D253"/>
    <mergeCell ref="F33:H33"/>
    <mergeCell ref="J214:M214"/>
    <mergeCell ref="A162:B162"/>
    <mergeCell ref="I197:J197"/>
    <mergeCell ref="J60:K60"/>
    <mergeCell ref="E219:I219"/>
    <mergeCell ref="E224:I224"/>
    <mergeCell ref="E51:F51"/>
    <mergeCell ref="A185:C185"/>
    <mergeCell ref="F115:H115"/>
    <mergeCell ref="F31:H31"/>
    <mergeCell ref="A153:N153"/>
    <mergeCell ref="C177:D177"/>
    <mergeCell ref="J53:K53"/>
    <mergeCell ref="D61:E61"/>
    <mergeCell ref="F16:I16"/>
    <mergeCell ref="J158:L158"/>
    <mergeCell ref="J45:K45"/>
    <mergeCell ref="A136:E136"/>
    <mergeCell ref="B204:D204"/>
    <mergeCell ref="J230:M230"/>
    <mergeCell ref="G50:I50"/>
    <mergeCell ref="A63:C63"/>
    <mergeCell ref="D125:E125"/>
    <mergeCell ref="J160:L160"/>
    <mergeCell ref="J11:N11"/>
    <mergeCell ref="B12:E12"/>
    <mergeCell ref="D112:E112"/>
    <mergeCell ref="E171:H171"/>
    <mergeCell ref="D62:E62"/>
    <mergeCell ref="J159:L159"/>
    <mergeCell ref="B233:D233"/>
    <mergeCell ref="G52:I52"/>
    <mergeCell ref="D127:E127"/>
    <mergeCell ref="B227:D227"/>
    <mergeCell ref="I174:K174"/>
    <mergeCell ref="E250:I250"/>
    <mergeCell ref="B14:E14"/>
    <mergeCell ref="D114:E114"/>
    <mergeCell ref="A181:N181"/>
    <mergeCell ref="E237:I237"/>
    <mergeCell ref="A131:E131"/>
    <mergeCell ref="E173:H173"/>
    <mergeCell ref="J225:M225"/>
    <mergeCell ref="D64:E64"/>
    <mergeCell ref="F128:H128"/>
    <mergeCell ref="J12:N12"/>
    <mergeCell ref="B13:E13"/>
    <mergeCell ref="E212:I212"/>
    <mergeCell ref="I26:N26"/>
    <mergeCell ref="E166:H166"/>
    <mergeCell ref="E239:I239"/>
    <mergeCell ref="F23:I23"/>
    <mergeCell ref="J227:M227"/>
    <mergeCell ref="B228:D228"/>
    <mergeCell ref="E251:I251"/>
    <mergeCell ref="E214:I214"/>
    <mergeCell ref="A183:C183"/>
    <mergeCell ref="F113:H113"/>
    <mergeCell ref="A34:E34"/>
    <mergeCell ref="E168:H168"/>
    <mergeCell ref="A143:N143"/>
    <mergeCell ref="D183:H183"/>
    <mergeCell ref="A1:N1"/>
    <mergeCell ref="I167:K167"/>
    <mergeCell ref="B217:D217"/>
    <mergeCell ref="F27:H27"/>
    <mergeCell ref="E205:I205"/>
    <mergeCell ref="G55:I55"/>
    <mergeCell ref="D185:H185"/>
    <mergeCell ref="I169:K169"/>
    <mergeCell ref="F62:G62"/>
    <mergeCell ref="J220:M220"/>
    <mergeCell ref="J7:N7"/>
    <mergeCell ref="A67:C67"/>
    <mergeCell ref="E225:I225"/>
    <mergeCell ref="G192:H192"/>
    <mergeCell ref="A186:C186"/>
    <mergeCell ref="F116:H116"/>
    <mergeCell ref="J222:M222"/>
    <mergeCell ref="D74:H74"/>
    <mergeCell ref="A29:E29"/>
    <mergeCell ref="L59:M59"/>
    <mergeCell ref="F17:I17"/>
    <mergeCell ref="A192:D192"/>
    <mergeCell ref="J46:K46"/>
    <mergeCell ref="E227:I227"/>
    <mergeCell ref="F118:H118"/>
    <mergeCell ref="B89:C89"/>
    <mergeCell ref="D89:E89"/>
    <mergeCell ref="A31:E31"/>
    <mergeCell ref="J61:K61"/>
    <mergeCell ref="L61:M61"/>
    <mergeCell ref="J161:L161"/>
    <mergeCell ref="A194:D194"/>
    <mergeCell ref="J48:K48"/>
    <mergeCell ref="A58:N58"/>
    <mergeCell ref="F64:G64"/>
    <mergeCell ref="B235:D235"/>
    <mergeCell ref="E258:I258"/>
    <mergeCell ref="J246:M246"/>
    <mergeCell ref="B97:L97"/>
    <mergeCell ref="B72:C72"/>
    <mergeCell ref="J233:M233"/>
    <mergeCell ref="G53:I53"/>
    <mergeCell ref="D128:E128"/>
    <mergeCell ref="J14:N14"/>
    <mergeCell ref="B15:E15"/>
    <mergeCell ref="I189:J189"/>
    <mergeCell ref="J248:M248"/>
    <mergeCell ref="E174:H174"/>
    <mergeCell ref="B249:D249"/>
    <mergeCell ref="B243:D243"/>
    <mergeCell ref="D65:E65"/>
    <mergeCell ref="F129:H129"/>
    <mergeCell ref="J162:L162"/>
    <mergeCell ref="J235:M235"/>
    <mergeCell ref="E259:I259"/>
    <mergeCell ref="E253:I253"/>
    <mergeCell ref="F121:H121"/>
    <mergeCell ref="E240:I240"/>
    <mergeCell ref="M109:N109"/>
    <mergeCell ref="K196:N196"/>
    <mergeCell ref="A62:C62"/>
    <mergeCell ref="B88:C88"/>
    <mergeCell ref="J243:M243"/>
    <mergeCell ref="F10:I10"/>
    <mergeCell ref="B82:C82"/>
    <mergeCell ref="C51:D51"/>
    <mergeCell ref="E191:F191"/>
    <mergeCell ref="C178:D178"/>
    <mergeCell ref="M104:N104"/>
    <mergeCell ref="A59:C59"/>
    <mergeCell ref="B108:L108"/>
    <mergeCell ref="B83:C83"/>
    <mergeCell ref="D83:E83"/>
    <mergeCell ref="M106:N106"/>
    <mergeCell ref="A61:C61"/>
    <mergeCell ref="B220:D220"/>
    <mergeCell ref="B85:C85"/>
    <mergeCell ref="B247:D247"/>
    <mergeCell ref="J234:M234"/>
    <mergeCell ref="D85:E85"/>
    <mergeCell ref="E233:I233"/>
    <mergeCell ref="E208:I208"/>
    <mergeCell ref="J221:M221"/>
    <mergeCell ref="J157:L157"/>
    <mergeCell ref="G160:I160"/>
    <mergeCell ref="J8:N8"/>
    <mergeCell ref="B262:D262"/>
    <mergeCell ref="H67:I67"/>
    <mergeCell ref="J67:K67"/>
    <mergeCell ref="J236:M236"/>
    <mergeCell ref="L67:M67"/>
    <mergeCell ref="E210:I210"/>
    <mergeCell ref="E235:I235"/>
    <mergeCell ref="F65:G65"/>
    <mergeCell ref="J223:M223"/>
    <mergeCell ref="F126:H126"/>
    <mergeCell ref="E247:I247"/>
    <mergeCell ref="J10:N10"/>
    <mergeCell ref="D80:E80"/>
    <mergeCell ref="I195:J195"/>
    <mergeCell ref="A70:N70"/>
    <mergeCell ref="B96:L96"/>
    <mergeCell ref="D77:H77"/>
    <mergeCell ref="B246:D246"/>
    <mergeCell ref="L62:M62"/>
    <mergeCell ref="G163:I163"/>
    <mergeCell ref="J247:M247"/>
    <mergeCell ref="B98:L98"/>
    <mergeCell ref="I73:N73"/>
    <mergeCell ref="A158:B158"/>
    <mergeCell ref="L64:M64"/>
    <mergeCell ref="A197:D197"/>
    <mergeCell ref="I190:J190"/>
    <mergeCell ref="E261:I261"/>
    <mergeCell ref="J249:M249"/>
    <mergeCell ref="D72:H72"/>
    <mergeCell ref="A160:B160"/>
    <mergeCell ref="I74:N74"/>
    <mergeCell ref="A159:B159"/>
    <mergeCell ref="B252:D252"/>
    <mergeCell ref="J21:N21"/>
    <mergeCell ref="E256:I256"/>
    <mergeCell ref="F124:H124"/>
    <mergeCell ref="F60:G60"/>
    <mergeCell ref="A161:B161"/>
    <mergeCell ref="A65:C65"/>
    <mergeCell ref="J23:N23"/>
    <mergeCell ref="E264:I264"/>
    <mergeCell ref="E192:F192"/>
    <mergeCell ref="H82:I82"/>
    <mergeCell ref="F68:G68"/>
    <mergeCell ref="I28:N28"/>
    <mergeCell ref="B109:L109"/>
    <mergeCell ref="J267:M267"/>
    <mergeCell ref="E194:F194"/>
    <mergeCell ref="D84:E84"/>
    <mergeCell ref="G194:H194"/>
    <mergeCell ref="F84:G84"/>
    <mergeCell ref="M107:N107"/>
    <mergeCell ref="J204:M204"/>
    <mergeCell ref="B234:D234"/>
    <mergeCell ref="G179:N179"/>
    <mergeCell ref="B86:C86"/>
    <mergeCell ref="C54:D54"/>
    <mergeCell ref="D86:E86"/>
    <mergeCell ref="E209:I209"/>
    <mergeCell ref="F86:G86"/>
    <mergeCell ref="B257:D257"/>
    <mergeCell ref="C41:D41"/>
    <mergeCell ref="F80:G80"/>
    <mergeCell ref="J231:M231"/>
    <mergeCell ref="J262:M262"/>
    <mergeCell ref="E249:I249"/>
    <mergeCell ref="B101:L101"/>
    <mergeCell ref="G189:H189"/>
    <mergeCell ref="C56:D56"/>
    <mergeCell ref="A154:B154"/>
    <mergeCell ref="E211:I211"/>
    <mergeCell ref="C43:D43"/>
    <mergeCell ref="K192:N192"/>
    <mergeCell ref="A26:E26"/>
    <mergeCell ref="E257:I257"/>
    <mergeCell ref="B265:D265"/>
    <mergeCell ref="E49:F49"/>
    <mergeCell ref="F81:G81"/>
    <mergeCell ref="H81:I81"/>
    <mergeCell ref="A71:N71"/>
    <mergeCell ref="K194:N194"/>
    <mergeCell ref="M100:N100"/>
    <mergeCell ref="G42:I42"/>
    <mergeCell ref="J257:M257"/>
    <mergeCell ref="B104:L104"/>
    <mergeCell ref="C163:F163"/>
    <mergeCell ref="A165:N165"/>
    <mergeCell ref="L65:M65"/>
    <mergeCell ref="M102:N102"/>
    <mergeCell ref="K195:N195"/>
    <mergeCell ref="A167:B167"/>
    <mergeCell ref="I76:N76"/>
    <mergeCell ref="B106:L106"/>
    <mergeCell ref="J242:M242"/>
    <mergeCell ref="J217:M217"/>
    <mergeCell ref="E204:I204"/>
    <mergeCell ref="F63:G63"/>
    <mergeCell ref="H63:I63"/>
    <mergeCell ref="J252:M252"/>
    <mergeCell ref="C158:F158"/>
    <mergeCell ref="A169:B169"/>
    <mergeCell ref="L171:N171"/>
    <mergeCell ref="E206:I206"/>
    <mergeCell ref="E262:I262"/>
    <mergeCell ref="H68:I68"/>
    <mergeCell ref="G191:H191"/>
    <mergeCell ref="A177:B177"/>
    <mergeCell ref="F19:I19"/>
    <mergeCell ref="A191:D191"/>
    <mergeCell ref="F6:I6"/>
    <mergeCell ref="I29:N29"/>
    <mergeCell ref="A3:N3"/>
    <mergeCell ref="B207:D207"/>
    <mergeCell ref="A179:B179"/>
    <mergeCell ref="G159:I159"/>
    <mergeCell ref="G195:H195"/>
    <mergeCell ref="I31:N31"/>
    <mergeCell ref="A32:E32"/>
    <mergeCell ref="L170:N170"/>
    <mergeCell ref="A5:N5"/>
    <mergeCell ref="F20:I20"/>
    <mergeCell ref="F29:H29"/>
    <mergeCell ref="G161:I161"/>
    <mergeCell ref="E197:F197"/>
    <mergeCell ref="G197:H197"/>
    <mergeCell ref="J245:M245"/>
    <mergeCell ref="J207:M207"/>
    <mergeCell ref="B202:D202"/>
    <mergeCell ref="J51:K51"/>
    <mergeCell ref="A155:B155"/>
    <mergeCell ref="E217:I217"/>
    <mergeCell ref="J205:M205"/>
    <mergeCell ref="J265:M265"/>
    <mergeCell ref="G156:I156"/>
    <mergeCell ref="E50:F50"/>
    <mergeCell ref="I72:N72"/>
    <mergeCell ref="A157:B157"/>
    <mergeCell ref="F87:G87"/>
    <mergeCell ref="D182:H182"/>
    <mergeCell ref="F9:I9"/>
    <mergeCell ref="F32:H32"/>
    <mergeCell ref="G178:N178"/>
    <mergeCell ref="F26:H26"/>
    <mergeCell ref="I184:N184"/>
    <mergeCell ref="E52:F52"/>
    <mergeCell ref="F89:G89"/>
    <mergeCell ref="E39:F39"/>
    <mergeCell ref="J40:K40"/>
    <mergeCell ref="E44:F44"/>
    <mergeCell ref="K197:N197"/>
    <mergeCell ref="B105:L105"/>
    <mergeCell ref="B255:D255"/>
    <mergeCell ref="B226:D226"/>
    <mergeCell ref="G45:I45"/>
    <mergeCell ref="D120:E120"/>
    <mergeCell ref="J200:M200"/>
    <mergeCell ref="B7:E7"/>
    <mergeCell ref="B107:L107"/>
    <mergeCell ref="E230:I230"/>
    <mergeCell ref="C160:F160"/>
    <mergeCell ref="G47:I47"/>
    <mergeCell ref="L173:N173"/>
    <mergeCell ref="B222:D222"/>
    <mergeCell ref="J202:M202"/>
    <mergeCell ref="J258:M258"/>
    <mergeCell ref="E232:I232"/>
    <mergeCell ref="G177:N177"/>
    <mergeCell ref="G46:I46"/>
    <mergeCell ref="B221:D221"/>
    <mergeCell ref="F123:H123"/>
    <mergeCell ref="G40:I40"/>
    <mergeCell ref="E207:I207"/>
    <mergeCell ref="H66:I66"/>
    <mergeCell ref="J66:K66"/>
    <mergeCell ref="J260:M260"/>
    <mergeCell ref="A64:C64"/>
    <mergeCell ref="F18:I18"/>
    <mergeCell ref="L174:N174"/>
    <mergeCell ref="A134:E134"/>
    <mergeCell ref="A170:B170"/>
    <mergeCell ref="B248:D248"/>
    <mergeCell ref="B75:C75"/>
    <mergeCell ref="F22:I22"/>
    <mergeCell ref="I32:N32"/>
    <mergeCell ref="G162:I162"/>
    <mergeCell ref="J213:M213"/>
    <mergeCell ref="F59:G59"/>
    <mergeCell ref="B205:D205"/>
    <mergeCell ref="H59:I59"/>
    <mergeCell ref="C154:F154"/>
    <mergeCell ref="F11:I11"/>
    <mergeCell ref="I170:K170"/>
    <mergeCell ref="J215:M215"/>
    <mergeCell ref="H61:I61"/>
    <mergeCell ref="H88:I88"/>
    <mergeCell ref="C156:F156"/>
    <mergeCell ref="E220:I220"/>
    <mergeCell ref="I172:K172"/>
    <mergeCell ref="J54:K54"/>
    <mergeCell ref="F90:G90"/>
    <mergeCell ref="H90:I90"/>
    <mergeCell ref="F12:I12"/>
    <mergeCell ref="J154:L154"/>
    <mergeCell ref="J41:K41"/>
    <mergeCell ref="E45:F45"/>
    <mergeCell ref="J210:M210"/>
    <mergeCell ref="E222:I222"/>
    <mergeCell ref="B200:D200"/>
    <mergeCell ref="J226:M226"/>
    <mergeCell ref="J56:K56"/>
    <mergeCell ref="D121:E121"/>
    <mergeCell ref="A188:N188"/>
    <mergeCell ref="J156:L156"/>
    <mergeCell ref="A189:D189"/>
    <mergeCell ref="B8:E8"/>
    <mergeCell ref="J43:K43"/>
    <mergeCell ref="I27:N27"/>
    <mergeCell ref="E167:H167"/>
    <mergeCell ref="B236:D236"/>
    <mergeCell ref="J155:L155"/>
    <mergeCell ref="G48:I48"/>
    <mergeCell ref="D123:E123"/>
    <mergeCell ref="B223:D223"/>
    <mergeCell ref="E246:I246"/>
    <mergeCell ref="B10:E10"/>
    <mergeCell ref="A111:N111"/>
    <mergeCell ref="J268:M268"/>
    <mergeCell ref="E169:H169"/>
  </mergeCells>
  <conditionalFormatting sqref="J81:J91">
    <cfRule type="colorScale" priority="1">
      <colorScale>
        <cfvo type="num" val="0"/>
        <cfvo type="num" val="0.4"/>
        <color rgb="00FFFFFF"/>
        <color rgb="005B9BD5"/>
      </colorScale>
    </cfRule>
  </conditionalFormatting>
  <conditionalFormatting sqref="K81:K91">
    <cfRule type="colorScale" priority="2">
      <colorScale>
        <cfvo type="num" val="0"/>
        <cfvo type="num" val="0.4"/>
        <color rgb="00FFFFFF"/>
        <color rgb="005B9BD5"/>
      </colorScale>
    </cfRule>
  </conditionalFormatting>
  <conditionalFormatting sqref="L81:L91">
    <cfRule type="colorScale" priority="3">
      <colorScale>
        <cfvo type="num" val="0"/>
        <cfvo type="num" val="0.4"/>
        <color rgb="00FFFFFF"/>
        <color rgb="005B9BD5"/>
      </colorScale>
    </cfRule>
  </conditionalFormatting>
  <conditionalFormatting sqref="M81:M91">
    <cfRule type="colorScale" priority="4">
      <colorScale>
        <cfvo type="num" val="0"/>
        <cfvo type="num" val="0.4"/>
        <color rgb="00FFFFFF"/>
        <color rgb="005B9BD5"/>
      </colorScale>
    </cfRule>
  </conditionalFormatting>
  <conditionalFormatting sqref="N81:N91">
    <cfRule type="colorScale" priority="5">
      <colorScale>
        <cfvo type="num" val="0"/>
        <cfvo type="num" val="0.4"/>
        <color rgb="00FFFFFF"/>
        <color rgb="005B9BD5"/>
      </colorScale>
    </cfRule>
  </conditionalFormatting>
  <conditionalFormatting sqref="O81:O91">
    <cfRule type="colorScale" priority="6">
      <colorScale>
        <cfvo type="num" val="0"/>
        <cfvo type="num" val="0.4"/>
        <color rgb="00FFFFFF"/>
        <color rgb="005B9BD5"/>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7.xml><?xml version="1.0" encoding="utf-8"?>
<worksheet xmlns="http://schemas.openxmlformats.org/spreadsheetml/2006/main">
  <sheetPr>
    <tabColor rgb="00806000"/>
    <outlinePr summaryBelow="1" summaryRight="1"/>
    <pageSetUpPr fitToPage="1"/>
  </sheetPr>
  <dimension ref="A1:P409"/>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34" customHeight="1">
      <c r="A1" s="1" t="inlineStr">
        <is>
          <t>References &amp; Benchmarks — competitors, regtech and SaaS leaders, standards, databases and sites</t>
        </is>
      </c>
      <c r="P1" s="241" t="inlineStr">
        <is>
          <t>◂ Contents</t>
        </is>
      </c>
    </row>
    <row r="2" ht="32" customHeight="1">
      <c r="A2" s="3" t="inlineStr">
        <is>
          <r>
            <rPr>
              <rFont val="Calibri"/>
              <b val="1"/>
              <i val="1"/>
              <color rgb="00404040"/>
              <sz val="10"/>
            </rPr>
            <t>Scope:</t>
          </r>
          <r>
            <rPr>
              <rFont val="Calibri"/>
              <i val="1"/>
              <color rgb="00404040"/>
              <sz val="10"/>
            </rPr>
            <t xml:space="preserve"> Datatech. Every company, standard, database and website used, and — department by department — what the best standard looks like at each IRIS level · A1 → E2 at IRIS's direct competitors, regtech leaders and SaaS leaders. Peer titles are equivalences of scope, not of pay.</t>
          </r>
        </is>
      </c>
    </row>
    <row r="3">
      <c r="A3" s="4" t="inlineStr">
        <is>
          <t>IRIS · Job Architecture &amp; Job Design · Final v1.12 · October 2026 · Internal — Confidential</t>
        </is>
      </c>
    </row>
    <row r="4" ht="15" customHeight="1"/>
    <row r="5" ht="20" customHeight="1">
      <c r="A5" s="6" t="inlineStr">
        <is>
          <t>R0. How to read the evidence</t>
        </is>
      </c>
    </row>
    <row r="6" ht="15" customHeight="1">
      <c r="A6" s="12" t="inlineStr">
        <is>
          <t>Grade</t>
        </is>
      </c>
      <c r="B6" s="209" t="n"/>
      <c r="C6" s="12" t="inlineStr">
        <is>
          <t>Meaning</t>
        </is>
      </c>
      <c r="D6" s="210" t="n"/>
      <c r="E6" s="210" t="n"/>
      <c r="F6" s="210" t="n"/>
      <c r="G6" s="210" t="n"/>
      <c r="H6" s="210" t="n"/>
      <c r="I6" s="210" t="n"/>
      <c r="J6" s="209" t="n"/>
      <c r="K6" s="12" t="inlineStr">
        <is>
          <t>Use</t>
        </is>
      </c>
      <c r="L6" s="210" t="n"/>
      <c r="M6" s="210" t="n"/>
      <c r="N6" s="210" t="n"/>
      <c r="O6" s="209" t="n"/>
    </row>
    <row r="7" ht="15" customHeight="1">
      <c r="A7" s="13" t="inlineStr">
        <is>
          <t>Primary</t>
        </is>
      </c>
      <c r="B7" s="209" t="n"/>
      <c r="C7" s="16" t="inlineStr">
        <is>
          <t>Publisher's own material · standard body, method owner, company newsroom</t>
        </is>
      </c>
      <c r="D7" s="210" t="n"/>
      <c r="E7" s="210" t="n"/>
      <c r="F7" s="210" t="n"/>
      <c r="G7" s="210" t="n"/>
      <c r="H7" s="210" t="n"/>
      <c r="I7" s="210" t="n"/>
      <c r="J7" s="209" t="n"/>
      <c r="K7" s="16" t="inlineStr">
        <is>
          <t>Rely on</t>
        </is>
      </c>
      <c r="L7" s="210" t="n"/>
      <c r="M7" s="210" t="n"/>
      <c r="N7" s="210" t="n"/>
      <c r="O7" s="209" t="n"/>
    </row>
    <row r="8" ht="15" customHeight="1">
      <c r="A8" s="13" t="inlineStr">
        <is>
          <t>Levels.fyi</t>
        </is>
      </c>
      <c r="B8" s="209" t="n"/>
      <c r="C8" s="16" t="inlineStr">
        <is>
          <t>Crowd-sourced level ladder for a named company</t>
        </is>
      </c>
      <c r="D8" s="210" t="n"/>
      <c r="E8" s="210" t="n"/>
      <c r="F8" s="210" t="n"/>
      <c r="G8" s="210" t="n"/>
      <c r="H8" s="210" t="n"/>
      <c r="I8" s="210" t="n"/>
      <c r="J8" s="209" t="n"/>
      <c r="K8" s="16" t="inlineStr">
        <is>
          <t>Rely on for titles and level order; not for pay</t>
        </is>
      </c>
      <c r="L8" s="210" t="n"/>
      <c r="M8" s="210" t="n"/>
      <c r="N8" s="210" t="n"/>
      <c r="O8" s="209" t="n"/>
    </row>
    <row r="9" ht="15" customHeight="1">
      <c r="A9" s="13" t="inlineStr">
        <is>
          <t>Job postings</t>
        </is>
      </c>
      <c r="B9" s="209" t="n"/>
      <c r="C9" s="16" t="inlineStr">
        <is>
          <t>Titles and requirements taken from the company's own live postings</t>
        </is>
      </c>
      <c r="D9" s="210" t="n"/>
      <c r="E9" s="210" t="n"/>
      <c r="F9" s="210" t="n"/>
      <c r="G9" s="210" t="n"/>
      <c r="H9" s="210" t="n"/>
      <c r="I9" s="210" t="n"/>
      <c r="J9" s="209" t="n"/>
      <c r="K9" s="16" t="inlineStr">
        <is>
          <t>Rely on for titles and experience asked</t>
        </is>
      </c>
      <c r="L9" s="210" t="n"/>
      <c r="M9" s="210" t="n"/>
      <c r="N9" s="210" t="n"/>
      <c r="O9" s="209" t="n"/>
    </row>
    <row r="10" ht="15" customHeight="1">
      <c r="A10" s="13" t="inlineStr">
        <is>
          <t>Secondary</t>
        </is>
      </c>
      <c r="B10" s="209" t="n"/>
      <c r="C10" s="16" t="inlineStr">
        <is>
          <t>Reputable analysis or industry publication</t>
        </is>
      </c>
      <c r="D10" s="210" t="n"/>
      <c r="E10" s="210" t="n"/>
      <c r="F10" s="210" t="n"/>
      <c r="G10" s="210" t="n"/>
      <c r="H10" s="210" t="n"/>
      <c r="I10" s="210" t="n"/>
      <c r="J10" s="209" t="n"/>
      <c r="K10" s="16" t="inlineStr">
        <is>
          <t>Use with the primary sources</t>
        </is>
      </c>
      <c r="L10" s="210" t="n"/>
      <c r="M10" s="210" t="n"/>
      <c r="N10" s="210" t="n"/>
      <c r="O10" s="209" t="n"/>
    </row>
    <row r="11" ht="15" customHeight="1">
      <c r="A11" s="13" t="inlineStr">
        <is>
          <t>Indicative</t>
        </is>
      </c>
      <c r="B11" s="209" t="n"/>
      <c r="C11" s="16" t="inlineStr">
        <is>
          <t>Aggregator or forum; widely repeated</t>
        </is>
      </c>
      <c r="D11" s="210" t="n"/>
      <c r="E11" s="210" t="n"/>
      <c r="F11" s="210" t="n"/>
      <c r="G11" s="210" t="n"/>
      <c r="H11" s="210" t="n"/>
      <c r="I11" s="210" t="n"/>
      <c r="J11" s="209" t="n"/>
      <c r="K11" s="16" t="inlineStr">
        <is>
          <t>Confirm before any pay decision</t>
        </is>
      </c>
      <c r="L11" s="210" t="n"/>
      <c r="M11" s="210" t="n"/>
      <c r="N11" s="210" t="n"/>
      <c r="O11" s="209" t="n"/>
    </row>
    <row r="12" ht="15" customHeight="1">
      <c r="A12" s="13" t="inlineStr">
        <is>
          <t>Internal</t>
        </is>
      </c>
      <c r="B12" s="209" t="n"/>
      <c r="C12" s="16" t="inlineStr">
        <is>
          <t>IRIS data · HRIS, survey, manager mapping</t>
        </is>
      </c>
      <c r="D12" s="210" t="n"/>
      <c r="E12" s="210" t="n"/>
      <c r="F12" s="210" t="n"/>
      <c r="G12" s="210" t="n"/>
      <c r="H12" s="210" t="n"/>
      <c r="I12" s="210" t="n"/>
      <c r="J12" s="209" t="n"/>
      <c r="K12" s="16" t="inlineStr">
        <is>
          <t>Primary evidence for placement</t>
        </is>
      </c>
      <c r="L12" s="210" t="n"/>
      <c r="M12" s="210" t="n"/>
      <c r="N12" s="210" t="n"/>
      <c r="O12" s="209" t="n"/>
    </row>
    <row r="13" ht="28" customHeight="1">
      <c r="A13" s="13" t="inlineStr">
        <is>
          <t>IRIS composite</t>
        </is>
      </c>
      <c r="B13" s="209" t="n"/>
      <c r="C13" s="16" t="inlineStr">
        <is>
          <t>A ladder IRIS assembled from the titles and codes of the sources named in brackets; no single company or body publishes it</t>
        </is>
      </c>
      <c r="D13" s="210" t="n"/>
      <c r="E13" s="210" t="n"/>
      <c r="F13" s="210" t="n"/>
      <c r="G13" s="210" t="n"/>
      <c r="H13" s="210" t="n"/>
      <c r="I13" s="210" t="n"/>
      <c r="J13" s="209" t="n"/>
      <c r="K13" s="16" t="inlineStr">
        <is>
          <t>Orientation only; not market evidence</t>
        </is>
      </c>
      <c r="L13" s="210" t="n"/>
      <c r="M13" s="210" t="n"/>
      <c r="N13" s="210" t="n"/>
      <c r="O13" s="209" t="n"/>
    </row>
    <row r="14" ht="15" customHeight="1">
      <c r="A14" s="13" t="inlineStr">
        <is>
          <t>IRIS mapping</t>
        </is>
      </c>
      <c r="B14" s="209" t="n"/>
      <c r="C14" s="16" t="inlineStr">
        <is>
          <t>A published scale or certificate path · CIM, ISTQB, IIBA, XBRL US matched to IRIS levels by IRIS</t>
        </is>
      </c>
      <c r="D14" s="210" t="n"/>
      <c r="E14" s="210" t="n"/>
      <c r="F14" s="210" t="n"/>
      <c r="G14" s="210" t="n"/>
      <c r="H14" s="210" t="n"/>
      <c r="I14" s="210" t="n"/>
      <c r="J14" s="209" t="n"/>
      <c r="K14" s="16" t="inlineStr">
        <is>
          <t>Orientation only; the match is IRIS's</t>
        </is>
      </c>
      <c r="L14" s="210" t="n"/>
      <c r="M14" s="210" t="n"/>
      <c r="N14" s="210" t="n"/>
      <c r="O14" s="209" t="n"/>
    </row>
    <row r="15" ht="15" customHeight="1"/>
    <row r="16" ht="41" customHeight="1">
      <c r="A16" s="11" t="inlineStr">
        <is>
          <r>
            <rPr>
              <rFont val="Calibri"/>
              <b val="1"/>
              <i val="1"/>
              <color rgb="00595959"/>
              <sz val="10"/>
            </rPr>
            <t>Source check · October 2026:</t>
          </r>
          <r>
            <rPr>
              <rFont val="Calibri"/>
              <i val="1"/>
              <color rgb="00595959"/>
              <sz val="10"/>
            </rPr>
            <t xml:space="preserve"> 42 sources and peer ladders were opened and read against the claims made here. 19 support the claim as written; 20 were partly right and have been corrected in this register · wording, counts or link; DFIN's ladder had no supporting source and is no longer used for levels; the Zoho and ClearTax ladders could not be confirmed and are marked unverified. Levels.fyi pages cannot be read automatically, so ladder names there were confirmed from page titles and company postings.</t>
          </r>
        </is>
      </c>
    </row>
    <row r="17" ht="20" customHeight="1">
      <c r="A17" s="6" t="inlineStr">
        <is>
          <t>R1. Peer universe — who IRIS is benchmarked against, and why</t>
        </is>
      </c>
    </row>
    <row r="18" ht="15" customHeight="1">
      <c r="A18" s="11" t="inlineStr">
        <is>
          <t>Direct competitors of IRIS CARBON, iFile and iDEAL; regtech and suptech leaders; global and Indian SaaS leaders; India talent-market anchors.</t>
        </is>
      </c>
    </row>
    <row r="19" ht="28" customHeight="1">
      <c r="A19" s="12" t="inlineStr">
        <is>
          <t>ID · Company</t>
        </is>
      </c>
      <c r="B19" s="209" t="n"/>
      <c r="C19" s="12" t="inlineStr">
        <is>
          <t>Segment</t>
        </is>
      </c>
      <c r="D19" s="209" t="n"/>
      <c r="E19" s="12" t="inlineStr">
        <is>
          <t>Competes with / relevant to</t>
        </is>
      </c>
      <c r="F19" s="209" t="n"/>
      <c r="G19" s="12" t="inlineStr">
        <is>
          <t>Why benchmarked</t>
        </is>
      </c>
      <c r="H19" s="210" t="n"/>
      <c r="I19" s="209" t="n"/>
      <c r="J19" s="12" t="inlineStr">
        <is>
          <t>What we used</t>
        </is>
      </c>
      <c r="K19" s="210" t="n"/>
      <c r="L19" s="209" t="n"/>
      <c r="M19" s="12" t="inlineStr">
        <is>
          <t>Site / source</t>
        </is>
      </c>
      <c r="N19" s="209" t="n"/>
      <c r="O19" s="12" t="inlineStr">
        <is>
          <t>Grade</t>
        </is>
      </c>
    </row>
    <row r="20" ht="145" customHeight="1">
      <c r="A20" s="13" t="inlineStr">
        <is>
          <t>C01 · Workiva</t>
        </is>
      </c>
      <c r="B20" s="209" t="n"/>
      <c r="C20" s="16" t="inlineStr">
        <is>
          <t>Disclosure management, XBRL / iXBRL, ESG reporting SaaS · global leader</t>
        </is>
      </c>
      <c r="D20" s="209" t="n"/>
      <c r="E20" s="16" t="inlineStr">
        <is>
          <t>IRIS CARBON; iFile XBRL</t>
        </is>
      </c>
      <c r="F20" s="209" t="n"/>
      <c r="G20" s="16" t="inlineStr">
        <is>
          <r>
            <rPr>
              <rFont val="Calibri"/>
              <b val="1"/>
              <sz val="10"/>
            </rPr>
            <t>Category leader:</t>
          </r>
          <r>
            <rPr>
              <rFont val="Calibri"/>
              <sz val="10"/>
            </rPr>
            <t xml:space="preserve"> 6,600+ customers, over 85% of the Fortune 1000 · FY2025 10-K; leading ESG disclosure platform</t>
          </r>
        </is>
      </c>
      <c r="H20" s="210" t="n"/>
      <c r="I20" s="209" t="n"/>
      <c r="J20" s="16" t="inlineStr">
        <is>
          <t>Engineering ladder · Associate SE → SE → Senior SE → Staff SE → Senior Staff SE; customer-success titles · CSM, Product Success Manager, Customer Success Architect; Professional Services Manager · XBRL data modelling</t>
        </is>
      </c>
      <c r="K20" s="210" t="n"/>
      <c r="L20" s="209" t="n"/>
      <c r="M20" s="16" t="inlineStr">
        <is>
          <t>https://www.levels.fyi/companies/workiva/salaries/software-engineer ; https://builtin.com/job/professional-services-manager/3581840 ; https://www.cfoshortlist.com/reports/sec-reporting-software ; https://www.sec.gov/Archives/edgar/data/1445305/000144530526000016/wk-20251231.htm</t>
        </is>
      </c>
      <c r="N20" s="209" t="n"/>
      <c r="O20" s="16" t="inlineStr">
        <is>
          <t>Levels.fyi + job postings</t>
        </is>
      </c>
    </row>
    <row r="21" ht="54" customHeight="1">
      <c r="A21" s="13" t="inlineStr">
        <is>
          <t>C02 · Donnelley Financial Solutions · DFIN — ActiveDisclosure, Arc Suite</t>
        </is>
      </c>
      <c r="B21" s="209" t="n"/>
      <c r="C21" s="16" t="inlineStr">
        <is>
          <t>SEC / EDGAR filing, disclosure software and services</t>
        </is>
      </c>
      <c r="D21" s="209" t="n"/>
      <c r="E21" s="16" t="inlineStr">
        <is>
          <t>IRIS CARBON · US SEC filing services</t>
        </is>
      </c>
      <c r="F21" s="209" t="n"/>
      <c r="G21" s="16" t="inlineStr">
        <is>
          <t>Leading US financial-compliance and filing company</t>
        </is>
      </c>
      <c r="H21" s="210" t="n"/>
      <c r="I21" s="209" t="n"/>
      <c r="J21" s="16" t="inlineStr">
        <is>
          <r>
            <rPr>
              <rFont val="Calibri"/>
              <b val="1"/>
              <sz val="10"/>
            </rPr>
            <t>Not used for levels:</t>
          </r>
          <r>
            <rPr>
              <rFont val="Calibri"/>
              <sz val="10"/>
            </rPr>
            <t xml:space="preserve"> no public source for its ladder was found · the earlier link did not support it; kept as a pay-survey peer</t>
          </r>
        </is>
      </c>
      <c r="K21" s="210" t="n"/>
      <c r="L21" s="209" t="n"/>
      <c r="M21" s="16" t="inlineStr">
        <is>
          <t>https://www.dfinsolutions.com</t>
        </is>
      </c>
      <c r="N21" s="209" t="n"/>
      <c r="O21" s="16" t="inlineStr">
        <is>
          <t>Market positioning</t>
        </is>
      </c>
    </row>
    <row r="22" ht="80" customHeight="1">
      <c r="A22" s="13" t="inlineStr">
        <is>
          <t>C03 · Toppan Merrill — Toppan Merrill Bridge, XBRL services</t>
        </is>
      </c>
      <c r="B22" s="209" t="n"/>
      <c r="C22" s="16" t="inlineStr">
        <is>
          <t>EDGAR filing agent, iXBRL / XBRL services</t>
        </is>
      </c>
      <c r="D22" s="209" t="n"/>
      <c r="E22" s="16" t="inlineStr">
        <is>
          <t>IRIS CARBON services · US SEC, FPI filings</t>
        </is>
      </c>
      <c r="F22" s="209" t="n"/>
      <c r="G22" s="16" t="inlineStr">
        <is>
          <t>Direct competitor for XBRL tagging and filing services</t>
        </is>
      </c>
      <c r="H22" s="210" t="n"/>
      <c r="I22" s="209" t="n"/>
      <c r="J22" s="16" t="inlineStr">
        <is>
          <r>
            <rPr>
              <rFont val="Calibri"/>
              <b val="1"/>
              <sz val="10"/>
            </rPr>
            <t>Entry title only:</t>
          </r>
          <r>
            <rPr>
              <rFont val="Calibri"/>
              <sz val="10"/>
            </rPr>
            <t xml:space="preserve"> XBRL Financial Analyst, Associate · the posting gives no higher rung; finance titles</t>
          </r>
        </is>
      </c>
      <c r="K22" s="210" t="n"/>
      <c r="L22" s="209" t="n"/>
      <c r="M22" s="16" t="inlineStr">
        <is>
          <t>https://builtinbengaluru.in/job/xbrl-financial-analyst-assoc/4131532 · Coimbatore posting, closed July 2025; https://toppanmerrill.com/bridge/</t>
        </is>
      </c>
      <c r="N22" s="209" t="n"/>
      <c r="O22" s="16" t="inlineStr">
        <is>
          <t>Job postings</t>
        </is>
      </c>
    </row>
    <row r="23" ht="41" customHeight="1">
      <c r="A23" s="13" t="inlineStr">
        <is>
          <t>C04 · Certent · insightsoftware — Disclosure Management</t>
        </is>
      </c>
      <c r="B23" s="209" t="n"/>
      <c r="C23" s="16" t="inlineStr">
        <is>
          <t>Disclosure management for mid-market filers</t>
        </is>
      </c>
      <c r="D23" s="209" t="n"/>
      <c r="E23" s="16" t="inlineStr">
        <is>
          <t>IRIS CARBON</t>
        </is>
      </c>
      <c r="F23" s="209" t="n"/>
      <c r="G23" s="16" t="inlineStr">
        <is>
          <t>Named alongside IRIS CARBON for cost-driven filers</t>
        </is>
      </c>
      <c r="H23" s="210" t="n"/>
      <c r="I23" s="209" t="n"/>
      <c r="J23" s="16" t="inlineStr">
        <is>
          <t>Market positioning</t>
        </is>
      </c>
      <c r="K23" s="210" t="n"/>
      <c r="L23" s="209" t="n"/>
      <c r="M23" s="16" t="inlineStr">
        <is>
          <t>https://www.cfoshortlist.com/reports/sec-reporting-software</t>
        </is>
      </c>
      <c r="N23" s="209" t="n"/>
      <c r="O23" s="16" t="inlineStr">
        <is>
          <t>Secondary</t>
        </is>
      </c>
    </row>
    <row r="24" ht="67" customHeight="1">
      <c r="A24" s="13" t="inlineStr">
        <is>
          <t>C05 · DataTracks</t>
        </is>
      </c>
      <c r="B24" s="209" t="n"/>
      <c r="C24" s="16" t="inlineStr">
        <is>
          <t>XBRL / iXBRL compliance services and software · India-based</t>
        </is>
      </c>
      <c r="D24" s="209" t="n"/>
      <c r="E24" s="16" t="inlineStr">
        <is>
          <t>IRIS CARBON services · UK, EU, India, South Africa</t>
        </is>
      </c>
      <c r="F24" s="209" t="n"/>
      <c r="G24" s="16" t="inlineStr">
        <is>
          <t>Same services in the same Indian talent market; 30,000+ clients, 26 countries</t>
        </is>
      </c>
      <c r="H24" s="210" t="n"/>
      <c r="I24" s="209" t="n"/>
      <c r="J24" s="16" t="inlineStr">
        <is>
          <r>
            <rPr>
              <rFont val="Calibri"/>
              <b val="1"/>
              <sz val="10"/>
            </rPr>
            <t>Two rungs published on its careers site:</t>
          </r>
          <r>
            <rPr>
              <rFont val="Calibri"/>
              <sz val="10"/>
            </rPr>
            <t xml:space="preserve"> Associate · freshers → Senior Associate · 2–5 yrs. Nothing above is published, so no higher DataTracks equivalent is used</t>
          </r>
        </is>
      </c>
      <c r="K24" s="210" t="n"/>
      <c r="L24" s="209" t="n"/>
      <c r="M24" s="16" t="inlineStr">
        <is>
          <t>https://www.datatracks.com/in/careers/</t>
        </is>
      </c>
      <c r="N24" s="209" t="n"/>
      <c r="O24" s="16" t="inlineStr">
        <is>
          <t>Job postings</t>
        </is>
      </c>
    </row>
    <row r="25" ht="184" customHeight="1">
      <c r="A25" s="13" t="inlineStr">
        <is>
          <t>C06 · Regnology · incl. Vizor Software, BearingPoint RegTech, Vermeg AGILE, and Wolters Kluwer's Finance, Risk &amp; Regulatory Reporting business — OneSumX — acquired December 2025</t>
        </is>
      </c>
      <c r="B25" s="209" t="n"/>
      <c r="C25" s="16" t="inlineStr">
        <is>
          <t>Supervisory · SupTech and regulatory reporting — global leader</t>
        </is>
      </c>
      <c r="D25" s="209" t="n"/>
      <c r="E25" s="16" t="inlineStr">
        <is>
          <t>IRIS iFile · regulator platforms; IRIS iDEAL · bank reporting</t>
        </is>
      </c>
      <c r="F25" s="209" t="n"/>
      <c r="G25" s="16" t="inlineStr">
        <is>
          <t>2,000+ employees; serves regulators and institutions in 100+ countries; Chartis RiskTech100 SupTech category winner; Pune product centre; owns OneSumX since 1 December 2025</t>
        </is>
      </c>
      <c r="H25" s="210" t="n"/>
      <c r="I25" s="209" t="n"/>
      <c r="J25" s="16" t="inlineStr">
        <is>
          <t>Business-analysis ladder · Junior BA → BA → Senior BA, regulatory reporting; product support titles</t>
        </is>
      </c>
      <c r="K25" s="210" t="n"/>
      <c r="L25" s="209" t="n"/>
      <c r="M25" s="16" t="inlineStr">
        <is>
          <t>https://www.regnology.net/en/careers/detail/?id=2527504 ; https://www.businesswire.com/news/home/20241124525888/en/ ; https://www.centralbanking.com/awards/7941536/technology-services-regulatory-regnology ; https://www.regnology.net/en/resources/news/regnology-completes-acquisition-of-wolters-kluwers-finance-risk-regulatory-reporting/</t>
        </is>
      </c>
      <c r="N25" s="209" t="n"/>
      <c r="O25" s="16" t="inlineStr">
        <is>
          <t>Primary + job postings</t>
        </is>
      </c>
    </row>
    <row r="26" ht="54" customHeight="1">
      <c r="A26" s="13" t="inlineStr">
        <is>
          <t>C08 · Nasdaq · AxiomSL / Calypso — regulatory reporting</t>
        </is>
      </c>
      <c r="B26" s="209" t="n"/>
      <c r="C26" s="16" t="inlineStr">
        <is>
          <t>Regulatory reporting and risk for banks</t>
        </is>
      </c>
      <c r="D26" s="209" t="n"/>
      <c r="E26" s="16" t="inlineStr">
        <is>
          <t>IRIS iDEAL</t>
        </is>
      </c>
      <c r="F26" s="209" t="n"/>
      <c r="G26" s="16" t="inlineStr">
        <is>
          <t>AxiomSL is a leading bank regulatory-reporting platform</t>
        </is>
      </c>
      <c r="H26" s="210" t="n"/>
      <c r="I26" s="209" t="n"/>
      <c r="J26" s="16" t="inlineStr">
        <is>
          <t>Engineering ladder SE → Senior SE → Lead SE → Principal SE · Lead and Principal from Nasdaq postings; no Staff title found</t>
        </is>
      </c>
      <c r="K26" s="210" t="n"/>
      <c r="L26" s="209" t="n"/>
      <c r="M26" s="16" t="inlineStr">
        <is>
          <t>https://www.levels.fyi/companies/nasdaq/salaries/software-engineer/levels/senior-software-engineer</t>
        </is>
      </c>
      <c r="N26" s="209" t="n"/>
      <c r="O26" s="16" t="inlineStr">
        <is>
          <t>Levels.fyi + job postings</t>
        </is>
      </c>
    </row>
    <row r="27" ht="41" customHeight="1">
      <c r="A27" s="13" t="inlineStr">
        <is>
          <t>C09 · Broadridge</t>
        </is>
      </c>
      <c r="B27" s="209" t="n"/>
      <c r="C27" s="16" t="inlineStr">
        <is>
          <t>Regulatory, trade and transaction reporting; large India technology centres</t>
        </is>
      </c>
      <c r="D27" s="209" t="n"/>
      <c r="E27" s="16" t="inlineStr">
        <is>
          <t>IRIS iDEAL; IRIS engineering talent market</t>
        </is>
      </c>
      <c r="F27" s="209" t="n"/>
      <c r="G27" s="16" t="inlineStr">
        <is>
          <t>Regtech provider with major Hyderabad / Bengaluru hubs</t>
        </is>
      </c>
      <c r="H27" s="210" t="n"/>
      <c r="I27" s="209" t="n"/>
      <c r="J27" s="16" t="inlineStr">
        <is>
          <t>India engineering ladder SE → Senior SE → Lead SE → Senior Lead SE</t>
        </is>
      </c>
      <c r="K27" s="210" t="n"/>
      <c r="L27" s="209" t="n"/>
      <c r="M27" s="16" t="inlineStr">
        <is>
          <t>https://www.levels.fyi/am-et/companies/broadridge/salaries/software-engineer</t>
        </is>
      </c>
      <c r="N27" s="209" t="n"/>
      <c r="O27" s="16" t="inlineStr">
        <is>
          <t>Levels.fyi</t>
        </is>
      </c>
    </row>
    <row r="28" ht="41" customHeight="1">
      <c r="A28" s="13" t="inlineStr">
        <is>
          <t>C10 · Salesforce</t>
        </is>
      </c>
      <c r="B28" s="209" t="n"/>
      <c r="C28" s="16" t="inlineStr">
        <is>
          <t>Global SaaS leader</t>
        </is>
      </c>
      <c r="D28" s="209" t="n"/>
      <c r="E28" s="16" t="inlineStr">
        <is>
          <t>All SaaS businesses · CARBON, iFile, iDEAL, Datatech</t>
        </is>
      </c>
      <c r="F28" s="209" t="n"/>
      <c r="G28" s="16" t="inlineStr">
        <is>
          <t>Reference SaaS career architecture</t>
        </is>
      </c>
      <c r="H28" s="210" t="n"/>
      <c r="I28" s="209" t="n"/>
      <c r="J28" s="16" t="inlineStr">
        <is>
          <t>Technical ladder AMTS → MTS → SMTS → LMTS → PMTS → Architect → Principal Architect → Distinguished Engineer</t>
        </is>
      </c>
      <c r="K28" s="210" t="n"/>
      <c r="L28" s="209" t="n"/>
      <c r="M28" s="16" t="inlineStr">
        <is>
          <t>https://www.designgurus.io/blog/salesforce-software-engineer-levels</t>
        </is>
      </c>
      <c r="N28" s="209" t="n"/>
      <c r="O28" s="16" t="inlineStr">
        <is>
          <t>Secondary</t>
        </is>
      </c>
    </row>
    <row r="29" ht="80" customHeight="1">
      <c r="A29" s="13" t="inlineStr">
        <is>
          <t>C11 · Atlassian</t>
        </is>
      </c>
      <c r="B29" s="209" t="n"/>
      <c r="C29" s="16" t="inlineStr">
        <is>
          <t>Global SaaS leader with a published level system</t>
        </is>
      </c>
      <c r="D29" s="209" t="n"/>
      <c r="E29" s="16" t="inlineStr">
        <is>
          <t>All SaaS businesses; IT, finance and PM ladders</t>
        </is>
      </c>
      <c r="F29" s="209" t="n"/>
      <c r="G29" s="16" t="inlineStr">
        <is>
          <t>P30–P90 system used across engineering, PM, IT and finance</t>
        </is>
      </c>
      <c r="H29" s="210" t="n"/>
      <c r="I29" s="209" t="n"/>
      <c r="J29" s="16" t="inlineStr">
        <is>
          <t>P30 Junior · 0–2 yrs → P40 → P50 Senior → P60 Principal → P70 Senior Principal → P80 → P90; P-levels shared across job families</t>
        </is>
      </c>
      <c r="K29" s="210" t="n"/>
      <c r="L29" s="209" t="n"/>
      <c r="M29" s="16" t="inlineStr">
        <is>
          <t>https://www.designgurus.io/blog/atlassian-software-engineer-levels ; https://www.levels.fyi/en-gb/companies/atlassian/salaries/accountant/levels/p60</t>
        </is>
      </c>
      <c r="N29" s="209" t="n"/>
      <c r="O29" s="16" t="inlineStr">
        <is>
          <t>Levels.fyi + secondary</t>
        </is>
      </c>
    </row>
    <row r="30" ht="41" customHeight="1">
      <c r="A30" s="13" t="inlineStr">
        <is>
          <t>C12 · Freshworks</t>
        </is>
      </c>
      <c r="B30" s="209" t="n"/>
      <c r="C30" s="16" t="inlineStr">
        <is>
          <t>Indian-origin global SaaS leader · Chennai, Bengaluru, Hyderabad</t>
        </is>
      </c>
      <c r="D30" s="209" t="n"/>
      <c r="E30" s="16" t="inlineStr">
        <is>
          <t>IRIS engineering and SaaS talent market in India</t>
        </is>
      </c>
      <c r="F30" s="209" t="n"/>
      <c r="G30" s="16" t="inlineStr">
        <is>
          <t>Closest Indian SaaS employer brand</t>
        </is>
      </c>
      <c r="H30" s="210" t="n"/>
      <c r="I30" s="209" t="n"/>
      <c r="J30" s="16" t="inlineStr">
        <is>
          <t>SE → Senior SE → Lead SE → Staff SE → Senior Staff SE → Principal Engineer; manager ladder to Senior Director</t>
        </is>
      </c>
      <c r="K30" s="210" t="n"/>
      <c r="L30" s="209" t="n"/>
      <c r="M30" s="16" t="inlineStr">
        <is>
          <t>https://www.levels.fyi/companies/freshworks/salaries/software-engineer</t>
        </is>
      </c>
      <c r="N30" s="209" t="n"/>
      <c r="O30" s="16" t="inlineStr">
        <is>
          <t>Levels.fyi</t>
        </is>
      </c>
    </row>
    <row r="31" ht="54" customHeight="1">
      <c r="A31" s="13" t="inlineStr">
        <is>
          <t>C13 · Zoho</t>
        </is>
      </c>
      <c r="B31" s="209" t="n"/>
      <c r="C31" s="16" t="inlineStr">
        <is>
          <t>Indian SaaS leader</t>
        </is>
      </c>
      <c r="D31" s="209" t="n"/>
      <c r="E31" s="16" t="inlineStr">
        <is>
          <t>IRIS engineering talent market in India</t>
        </is>
      </c>
      <c r="F31" s="209" t="n"/>
      <c r="G31" s="16" t="inlineStr">
        <is>
          <t>Large Indian product employer</t>
        </is>
      </c>
      <c r="H31" s="210" t="n"/>
      <c r="I31" s="209" t="n"/>
      <c r="J31" s="16" t="inlineStr">
        <is>
          <t>Engineering levels L1 → L2 → L3 · L1 and L3 India pages confirmed; titles not confirmed</t>
        </is>
      </c>
      <c r="K31" s="210" t="n"/>
      <c r="L31" s="209" t="n"/>
      <c r="M31" s="16" t="inlineStr">
        <is>
          <t>https://www.levels.fyi/companies/zoho/salaries/software-engineer/levels/l1/locations/india</t>
        </is>
      </c>
      <c r="N31" s="209" t="n"/>
      <c r="O31" s="16" t="inlineStr">
        <is>
          <t>Levels.fyi</t>
        </is>
      </c>
    </row>
    <row r="32" ht="54" customHeight="1">
      <c r="A32" s="13" t="inlineStr">
        <is>
          <t>C14 · Clear · ClearTax</t>
        </is>
      </c>
      <c r="B32" s="209" t="n"/>
      <c r="C32" s="16" t="inlineStr">
        <is>
          <t>Indian compliance SaaS · GST, e-invoicing, tax</t>
        </is>
      </c>
      <c r="D32" s="209" t="n"/>
      <c r="E32" s="16" t="inlineStr">
        <is>
          <t>IRIS e-invoicing / GST · Datatech, Consume and India compliance talent</t>
        </is>
      </c>
      <c r="F32" s="209" t="n"/>
      <c r="G32" s="16" t="inlineStr">
        <is>
          <t>Direct India compliance-SaaS talent competitor</t>
        </is>
      </c>
      <c r="H32" s="210" t="n"/>
      <c r="I32" s="209" t="n"/>
      <c r="J32" s="16" t="inlineStr">
        <is>
          <t>SDE1 → SDE2 → SDE3 / Senior → Staff · unverified: the earlier link was a different company; ClearTax is under /cleartax/</t>
        </is>
      </c>
      <c r="K32" s="210" t="n"/>
      <c r="L32" s="209" t="n"/>
      <c r="M32" s="16" t="inlineStr">
        <is>
          <t>https://www.levels.fyi/companies/cleartax/salaries/software-engineering-manager</t>
        </is>
      </c>
      <c r="N32" s="209" t="n"/>
      <c r="O32" s="16" t="inlineStr">
        <is>
          <t>Indicative</t>
        </is>
      </c>
    </row>
    <row r="33" ht="145" customHeight="1">
      <c r="A33" s="13" t="inlineStr">
        <is>
          <t>C15 · Gainsight · customer-success category leader</t>
        </is>
      </c>
      <c r="B33" s="209" t="n"/>
      <c r="C33" s="16" t="inlineStr">
        <is>
          <t>Customer-success SaaS</t>
        </is>
      </c>
      <c r="D33" s="209" t="n"/>
      <c r="E33" s="16" t="inlineStr">
        <is>
          <t>IRIS Customer Success &amp; Support</t>
        </is>
      </c>
      <c r="F33" s="209" t="n"/>
      <c r="G33" s="16" t="inlineStr">
        <is>
          <t>Defines the customer-success profession</t>
        </is>
      </c>
      <c r="H33" s="210" t="n"/>
      <c r="I33" s="209" t="n"/>
      <c r="J33" s="16" t="inlineStr">
        <is>
          <t>CSM → Senior CSM → Strategic CSM / Enterprise Success Leader → Director CS → VP CS → Chief Customer Officer</t>
        </is>
      </c>
      <c r="K33" s="210" t="n"/>
      <c r="L33" s="209" t="n"/>
      <c r="M33" s="16" t="inlineStr">
        <is>
          <t>https://jobs.insightpartners.com/companies/gainsight/jobs/64120646-director-customer-success ; https://www.gainsight.com/blog/customer-success-career-opportunities/ ; https://www.gainsight.com/press/gainsight-expands-scope-of-executive-team-and-doubles-down-on-product-leadership/</t>
        </is>
      </c>
      <c r="N33" s="209" t="n"/>
      <c r="O33" s="16" t="inlineStr">
        <is>
          <t>Job postings</t>
        </is>
      </c>
    </row>
    <row r="34" ht="80" customHeight="1">
      <c r="A34" s="13" t="inlineStr">
        <is>
          <t>C16 · B2B SaaS sales benchmarks · SaaStr, sales-title hierarchies</t>
        </is>
      </c>
      <c r="B34" s="209" t="n"/>
      <c r="C34" s="16" t="inlineStr">
        <is>
          <t>SaaS go-to-market</t>
        </is>
      </c>
      <c r="D34" s="209" t="n"/>
      <c r="E34" s="16" t="inlineStr">
        <is>
          <t>IRIS Sales &amp; BD</t>
        </is>
      </c>
      <c r="F34" s="209" t="n"/>
      <c r="G34" s="16" t="inlineStr">
        <is>
          <t>Standard SaaS sales ladder and promotion timing</t>
        </is>
      </c>
      <c r="H34" s="210" t="n"/>
      <c r="I34" s="209" t="n"/>
      <c r="J34" s="16" t="inlineStr">
        <is>
          <t>SDR / BDR → AE · SMB → Mid-Market AE → Enterprise AE; Sales Manager → Director → VP Sales / CRO; SDR → AE usually within a year</t>
        </is>
      </c>
      <c r="K34" s="210" t="n"/>
      <c r="L34" s="209" t="n"/>
      <c r="M34" s="16" t="inlineStr">
        <is>
          <t>https://www.saastr.com/dear-saastr-do-i-have-to-provide-a-promotion-path-from-sdr-to-ae ; https://prospeo.io/s/sales-titles-hierarchy</t>
        </is>
      </c>
      <c r="N34" s="209" t="n"/>
      <c r="O34" s="16" t="inlineStr">
        <is>
          <t>Secondary</t>
        </is>
      </c>
    </row>
    <row r="35" ht="54" customHeight="1">
      <c r="A35" s="13" t="inlineStr">
        <is>
          <t>C17 · Google · Microsoft · Amazon</t>
        </is>
      </c>
      <c r="B35" s="209" t="n"/>
      <c r="C35" s="16" t="inlineStr">
        <is>
          <t>Global technology · scale anchors</t>
        </is>
      </c>
      <c r="D35" s="209" t="n"/>
      <c r="E35" s="16" t="inlineStr">
        <is>
          <t>Engineering levels</t>
        </is>
      </c>
      <c r="F35" s="209" t="n"/>
      <c r="G35" s="16" t="inlineStr">
        <is>
          <t>Most-cited cross-company level equivalences</t>
        </is>
      </c>
      <c r="H35" s="210" t="n"/>
      <c r="I35" s="209" t="n"/>
      <c r="J35" s="16" t="inlineStr">
        <is>
          <t>L3–L8 · 59–68 · L4–L8</t>
        </is>
      </c>
      <c r="K35" s="210" t="n"/>
      <c r="L35" s="209" t="n"/>
      <c r="M35" s="16" t="inlineStr">
        <is>
          <t>https://testrigor.com/blog/engineering-levels-in-different-companies-compared/</t>
        </is>
      </c>
      <c r="N35" s="209" t="n"/>
      <c r="O35" s="16" t="inlineStr">
        <is>
          <t>Secondary</t>
        </is>
      </c>
    </row>
    <row r="36" ht="93" customHeight="1">
      <c r="A36" s="13" t="inlineStr">
        <is>
          <t>C18 · Infosys · TCS · Accenture India</t>
        </is>
      </c>
      <c r="B36" s="209" t="n"/>
      <c r="C36" s="16" t="inlineStr">
        <is>
          <t>Indian IT services · talent-market anchors</t>
        </is>
      </c>
      <c r="D36" s="209" t="n"/>
      <c r="E36" s="16" t="inlineStr">
        <is>
          <t>Engineering, QA, BA, data operations</t>
        </is>
      </c>
      <c r="F36" s="209" t="n"/>
      <c r="G36" s="16" t="inlineStr">
        <is>
          <t>Largest employers in IRIS's talent market</t>
        </is>
      </c>
      <c r="H36" s="210" t="n"/>
      <c r="I36" s="209" t="n"/>
      <c r="J36" s="16" t="inlineStr">
        <is>
          <t>JL3B–JL6A · C1–SP1 · L12–L5 with experience ranges</t>
        </is>
      </c>
      <c r="K36" s="210" t="n"/>
      <c r="L36" s="209" t="n"/>
      <c r="M36" s="16" t="inlineStr">
        <is>
          <t>https://www.designgurus.io/blog/infosys-job-levels ; https://www.designgurus.io/blog/tcs-job-levels ; https://jobrise.io/hi/blog/accenture-salary-package-2026-india/</t>
        </is>
      </c>
      <c r="N36" s="209" t="n"/>
      <c r="O36" s="16" t="inlineStr">
        <is>
          <t>Indicative</t>
        </is>
      </c>
    </row>
    <row r="37" ht="41" customHeight="1">
      <c r="A37" s="13" t="inlineStr">
        <is>
          <t>C19 · Deloitte · EY · KPMG · PwC · Big Four</t>
        </is>
      </c>
      <c r="B37" s="209" t="n"/>
      <c r="C37" s="16" t="inlineStr">
        <is>
          <t>Professional services / regulatory consulting</t>
        </is>
      </c>
      <c r="D37" s="209" t="n"/>
      <c r="E37" s="16" t="inlineStr">
        <is>
          <t>XBRL consulting, BA, solution consulting, finance</t>
        </is>
      </c>
      <c r="F37" s="209" t="n"/>
      <c r="G37" s="16" t="inlineStr">
        <is>
          <t>Market reference for consulting titles</t>
        </is>
      </c>
      <c r="H37" s="210" t="n"/>
      <c r="I37" s="209" t="n"/>
      <c r="J37" s="16" t="inlineStr">
        <is>
          <t>Analyst → Consultant → Senior Consultant → Manager → Senior Manager / AD → Director → Partner</t>
        </is>
      </c>
      <c r="K37" s="210" t="n"/>
      <c r="L37" s="209" t="n"/>
      <c r="M37" s="16" t="inlineStr">
        <is>
          <t>https://networkinterview.com/technical-hierarchy-deloitte-india/</t>
        </is>
      </c>
      <c r="N37" s="209" t="n"/>
      <c r="O37" s="16" t="inlineStr">
        <is>
          <t>Indicative</t>
        </is>
      </c>
    </row>
    <row r="38" ht="41" customHeight="1">
      <c r="A38" s="13" t="inlineStr">
        <is>
          <t>C20 · GitLab</t>
        </is>
      </c>
      <c r="B38" s="209" t="n"/>
      <c r="C38" s="16" t="inlineStr">
        <is>
          <t>SaaS with a public handbook</t>
        </is>
      </c>
      <c r="D38" s="209" t="n"/>
      <c r="E38" s="16" t="inlineStr">
        <is>
          <t>IC ↔ manager equivalence; layers</t>
        </is>
      </c>
      <c r="F38" s="209" t="n"/>
      <c r="G38" s="16" t="inlineStr">
        <is>
          <t>Most transparent public job framework</t>
        </is>
      </c>
      <c r="H38" s="210" t="n"/>
      <c r="I38" s="209" t="n"/>
      <c r="J38" s="16" t="inlineStr">
        <is>
          <t>Staff ↔ Manager, Principal ↔ Senior Manager, Distinguished ↔ Director, Fellow ↔ VP; ≤ 8 layers</t>
        </is>
      </c>
      <c r="K38" s="210" t="n"/>
      <c r="L38" s="209" t="n"/>
      <c r="M38" s="16" t="inlineStr">
        <is>
          <t>https://handbook.gitlab.com/handbook/company/structure/</t>
        </is>
      </c>
      <c r="N38" s="209" t="n"/>
      <c r="O38" s="16" t="inlineStr">
        <is>
          <t>Primary</t>
        </is>
      </c>
    </row>
    <row r="39" ht="15" customHeight="1"/>
    <row r="40" ht="20" customHeight="1">
      <c r="A40" s="6" t="inlineStr">
        <is>
          <t>R2. Professional standard by job family — the best standard there is</t>
        </is>
      </c>
    </row>
    <row r="41" ht="15" customHeight="1">
      <c r="A41" s="12" t="inlineStr">
        <is>
          <t>Job family</t>
        </is>
      </c>
      <c r="B41" s="210" t="n"/>
      <c r="C41" s="209" t="n"/>
      <c r="D41" s="12" t="inlineStr">
        <is>
          <t>Standard / body / certification pathway</t>
        </is>
      </c>
      <c r="E41" s="210" t="n"/>
      <c r="F41" s="210" t="n"/>
      <c r="G41" s="210" t="n"/>
      <c r="H41" s="210" t="n"/>
      <c r="I41" s="209" t="n"/>
      <c r="J41" s="12" t="inlineStr">
        <is>
          <t>Site</t>
        </is>
      </c>
      <c r="K41" s="210" t="n"/>
      <c r="L41" s="210" t="n"/>
      <c r="M41" s="210" t="n"/>
      <c r="N41" s="209" t="n"/>
      <c r="O41" s="12" t="inlineStr">
        <is>
          <t>People here</t>
        </is>
      </c>
    </row>
    <row r="42" ht="28" customHeight="1">
      <c r="A42" s="13" t="inlineStr">
        <is>
          <t>Sales &amp; Business Development</t>
        </is>
      </c>
      <c r="B42" s="210" t="n"/>
      <c r="C42" s="209" t="n"/>
      <c r="D42" s="16" t="inlineStr">
        <is>
          <t>SaaS sales ladder · SDR → AE → Enterprise AE → VP / CRO; MEDDICC-style qualification</t>
        </is>
      </c>
      <c r="E42" s="210" t="n"/>
      <c r="F42" s="210" t="n"/>
      <c r="G42" s="210" t="n"/>
      <c r="H42" s="210" t="n"/>
      <c r="I42" s="209" t="n"/>
      <c r="J42" s="16" t="inlineStr">
        <is>
          <t>https://prospeo.io/s/sales-titles-hierarchy</t>
        </is>
      </c>
      <c r="K42" s="210" t="n"/>
      <c r="L42" s="210" t="n"/>
      <c r="M42" s="210" t="n"/>
      <c r="N42" s="209" t="n"/>
      <c r="O42" s="15" t="n">
        <v>8</v>
      </c>
    </row>
    <row r="43" ht="28" customHeight="1">
      <c r="A43" s="13" t="inlineStr">
        <is>
          <t>Engineering &amp; Development</t>
        </is>
      </c>
      <c r="B43" s="210" t="n"/>
      <c r="C43" s="209" t="n"/>
      <c r="D43" s="16" t="inlineStr">
        <is>
          <t>SFIA 9 · software development, programming; OWASP secure coding; cloud vendor certifications</t>
        </is>
      </c>
      <c r="E43" s="210" t="n"/>
      <c r="F43" s="210" t="n"/>
      <c r="G43" s="210" t="n"/>
      <c r="H43" s="210" t="n"/>
      <c r="I43" s="209" t="n"/>
      <c r="J43" s="16" t="inlineStr">
        <is>
          <t>https://sfia-online.org</t>
        </is>
      </c>
      <c r="K43" s="210" t="n"/>
      <c r="L43" s="210" t="n"/>
      <c r="M43" s="210" t="n"/>
      <c r="N43" s="209" t="n"/>
      <c r="O43" s="15" t="n">
        <v>7</v>
      </c>
    </row>
    <row r="44" ht="15" customHeight="1">
      <c r="A44" s="13" t="inlineStr">
        <is>
          <t>Product Management</t>
        </is>
      </c>
      <c r="B44" s="210" t="n"/>
      <c r="C44" s="209" t="n"/>
      <c r="D44" s="16" t="inlineStr">
        <is>
          <t>Pragmatic Institute Framework · 37 activities, 7 categories; AIPMM</t>
        </is>
      </c>
      <c r="E44" s="210" t="n"/>
      <c r="F44" s="210" t="n"/>
      <c r="G44" s="210" t="n"/>
      <c r="H44" s="210" t="n"/>
      <c r="I44" s="209" t="n"/>
      <c r="J44" s="16" t="inlineStr">
        <is>
          <t>https://pragmaticinstitute.com/product/framework/launch</t>
        </is>
      </c>
      <c r="K44" s="210" t="n"/>
      <c r="L44" s="210" t="n"/>
      <c r="M44" s="210" t="n"/>
      <c r="N44" s="209" t="n"/>
      <c r="O44" s="15" t="n">
        <v>6</v>
      </c>
    </row>
    <row r="45" ht="28" customHeight="1">
      <c r="A45" s="13" t="inlineStr">
        <is>
          <t>Marketing &amp; Communications</t>
        </is>
      </c>
      <c r="B45" s="210" t="n"/>
      <c r="C45" s="209" t="n"/>
      <c r="D45" s="16" t="inlineStr">
        <is>
          <t>CIM Global Professional Marketing Framework — proficiency Aware → Active learner → Able → Accomplished → Authoritative</t>
        </is>
      </c>
      <c r="E45" s="210" t="n"/>
      <c r="F45" s="210" t="n"/>
      <c r="G45" s="210" t="n"/>
      <c r="H45" s="210" t="n"/>
      <c r="I45" s="209" t="n"/>
      <c r="J45" s="16" t="inlineStr">
        <is>
          <t>https://www.cim.co.uk/more/professional-marketing-competencies</t>
        </is>
      </c>
      <c r="K45" s="210" t="n"/>
      <c r="L45" s="210" t="n"/>
      <c r="M45" s="210" t="n"/>
      <c r="N45" s="209" t="n"/>
      <c r="O45" s="15" t="n">
        <v>4</v>
      </c>
    </row>
    <row r="46" ht="28" customHeight="1">
      <c r="A46" s="13" t="inlineStr">
        <is>
          <t>Design &amp; Creative</t>
        </is>
      </c>
      <c r="B46" s="210" t="n"/>
      <c r="C46" s="209" t="n"/>
      <c r="D46" s="16" t="inlineStr">
        <is>
          <t>UX career ladder Junior → Designer → Senior → Lead → Principal; WCAG accessibility</t>
        </is>
      </c>
      <c r="E46" s="210" t="n"/>
      <c r="F46" s="210" t="n"/>
      <c r="G46" s="210" t="n"/>
      <c r="H46" s="210" t="n"/>
      <c r="I46" s="209" t="n"/>
      <c r="J46" s="16" t="inlineStr">
        <is>
          <t>https://bootcamp.uxdesign.cc/career-ladder-from-junior-to-director-guidance-for-ux-professionals-1b5f9b2bd6b8</t>
        </is>
      </c>
      <c r="K46" s="210" t="n"/>
      <c r="L46" s="210" t="n"/>
      <c r="M46" s="210" t="n"/>
      <c r="N46" s="209" t="n"/>
      <c r="O46" s="15" t="n">
        <v>2</v>
      </c>
    </row>
    <row r="47" ht="15" customHeight="1">
      <c r="A47" s="13" t="inlineStr">
        <is>
          <t>Unassigned</t>
        </is>
      </c>
      <c r="B47" s="210" t="n"/>
      <c r="C47" s="209" t="n"/>
      <c r="D47" s="16" t="inlineStr">
        <is>
          <t>—</t>
        </is>
      </c>
      <c r="E47" s="210" t="n"/>
      <c r="F47" s="210" t="n"/>
      <c r="G47" s="210" t="n"/>
      <c r="H47" s="210" t="n"/>
      <c r="I47" s="209" t="n"/>
      <c r="J47" s="16" t="inlineStr">
        <is>
          <t>—</t>
        </is>
      </c>
      <c r="K47" s="210" t="n"/>
      <c r="L47" s="210" t="n"/>
      <c r="M47" s="210" t="n"/>
      <c r="N47" s="209" t="n"/>
      <c r="O47" s="15" t="n">
        <v>2</v>
      </c>
    </row>
    <row r="48" ht="15" customHeight="1">
      <c r="A48" s="13" t="inlineStr">
        <is>
          <t>Quality Assurance</t>
        </is>
      </c>
      <c r="B48" s="210" t="n"/>
      <c r="C48" s="209" t="n"/>
      <c r="D48" s="16" t="inlineStr">
        <is>
          <t>ISTQB Foundation → Advanced → Expert; SFIA testing</t>
        </is>
      </c>
      <c r="E48" s="210" t="n"/>
      <c r="F48" s="210" t="n"/>
      <c r="G48" s="210" t="n"/>
      <c r="H48" s="210" t="n"/>
      <c r="I48" s="209" t="n"/>
      <c r="J48" s="16" t="inlineStr">
        <is>
          <t>https://www.istqb.org</t>
        </is>
      </c>
      <c r="K48" s="210" t="n"/>
      <c r="L48" s="210" t="n"/>
      <c r="M48" s="210" t="n"/>
      <c r="N48" s="209" t="n"/>
      <c r="O48" s="15" t="n">
        <v>2</v>
      </c>
    </row>
    <row r="49" ht="28" customHeight="1">
      <c r="A49" s="13" t="inlineStr">
        <is>
          <t>Data &amp; Analytics</t>
        </is>
      </c>
      <c r="B49" s="210" t="n"/>
      <c r="C49" s="209" t="n"/>
      <c r="D49" s="16" t="inlineStr">
        <is>
          <t>DAMA-DMBOK · 11 knowledge areas around data governance</t>
        </is>
      </c>
      <c r="E49" s="210" t="n"/>
      <c r="F49" s="210" t="n"/>
      <c r="G49" s="210" t="n"/>
      <c r="H49" s="210" t="n"/>
      <c r="I49" s="209" t="n"/>
      <c r="J49" s="16" t="inlineStr">
        <is>
          <t>https://www.snowflake.com/en/fundamentals/data-governance/framework/dama-dmbok/</t>
        </is>
      </c>
      <c r="K49" s="210" t="n"/>
      <c r="L49" s="210" t="n"/>
      <c r="M49" s="210" t="n"/>
      <c r="N49" s="209" t="n"/>
      <c r="O49" s="15" t="n">
        <v>1</v>
      </c>
    </row>
    <row r="50" ht="28" customHeight="1">
      <c r="A50" s="13" t="inlineStr">
        <is>
          <t>Executive Leadership</t>
        </is>
      </c>
      <c r="B50" s="210" t="n"/>
      <c r="C50" s="209" t="n"/>
      <c r="D50" s="16" t="inlineStr">
        <is>
          <t>Aon Radford executive levels E1–E6; Mercer ET1–ET3; Korn Ferry Leadership Architect</t>
        </is>
      </c>
      <c r="E50" s="210" t="n"/>
      <c r="F50" s="210" t="n"/>
      <c r="G50" s="210" t="n"/>
      <c r="H50" s="210" t="n"/>
      <c r="I50" s="209" t="n"/>
      <c r="J50" s="16" t="inlineStr">
        <is>
          <t>https://support.pave.com/articles/understand-job-levels-SiKTjMHZtr.md</t>
        </is>
      </c>
      <c r="K50" s="210" t="n"/>
      <c r="L50" s="210" t="n"/>
      <c r="M50" s="210" t="n"/>
      <c r="N50" s="209" t="n"/>
      <c r="O50" s="15" t="n">
        <v>1</v>
      </c>
    </row>
    <row r="51" ht="15" customHeight="1">
      <c r="A51" s="13" t="inlineStr">
        <is>
          <t>Engineering &amp; Architecture</t>
        </is>
      </c>
      <c r="B51" s="210" t="n"/>
      <c r="C51" s="209" t="n"/>
      <c r="D51" s="16" t="inlineStr">
        <is>
          <t>SFIA 9 · solution architecture; TOGAF; AWS / Azure architect certifications</t>
        </is>
      </c>
      <c r="E51" s="210" t="n"/>
      <c r="F51" s="210" t="n"/>
      <c r="G51" s="210" t="n"/>
      <c r="H51" s="210" t="n"/>
      <c r="I51" s="209" t="n"/>
      <c r="J51" s="16" t="inlineStr">
        <is>
          <t>https://sfia-online.org</t>
        </is>
      </c>
      <c r="K51" s="210" t="n"/>
      <c r="L51" s="210" t="n"/>
      <c r="M51" s="210" t="n"/>
      <c r="N51" s="209" t="n"/>
      <c r="O51" s="15" t="n">
        <v>1</v>
      </c>
    </row>
    <row r="52" ht="15" customHeight="1"/>
    <row r="53" ht="20" customHeight="1">
      <c r="A53" s="6" t="inlineStr">
        <is>
          <t>R3. Department × level benchmark — IRIS level vs competitors, regtech leaders and SaaS leaders · bottom to top</t>
        </is>
      </c>
    </row>
    <row r="54" ht="28" customHeight="1">
      <c r="A54" s="11" t="inlineStr">
        <is>
          <r>
            <rPr>
              <rFont val="Calibri"/>
              <b val="1"/>
              <i val="1"/>
              <color rgb="00595959"/>
              <sz val="10"/>
            </rPr>
            <t>For each department and each job family in it:</t>
          </r>
          <r>
            <rPr>
              <rFont val="Calibri"/>
              <i val="1"/>
              <color rgb="00595959"/>
              <sz val="10"/>
            </rPr>
            <t xml:space="preserve"> the IRIS title at each level, then the equivalent title at each benchmark company or standard. Blank = that company has no published equivalent at that level. Rows headed 'IRIS Vs Competitor Benchmark' · an IRIS composite or 'IRIS Vs Market Benchmark' · an IRIS mapping are IRIS's own assembly, not a published ladder.</t>
          </r>
        </is>
      </c>
    </row>
    <row r="55" ht="20" customHeight="1">
      <c r="A55" s="172" t="inlineStr">
        <is>
          <t>Technology — 10 people</t>
        </is>
      </c>
    </row>
    <row r="56" ht="15" customHeight="1">
      <c r="A56" s="208" t="inlineStr">
        <is>
          <t>IRIS Engineering &amp; Development Vs · Standard: SFIA 9 · software development, programming; OWASP secure coding; cloud vendor certifications · 7 here</t>
        </is>
      </c>
      <c r="B56" s="210" t="n"/>
      <c r="C56" s="210" t="n"/>
      <c r="D56" s="210" t="n"/>
      <c r="E56" s="210" t="n"/>
      <c r="F56" s="210" t="n"/>
      <c r="G56" s="210" t="n"/>
      <c r="H56" s="210" t="n"/>
      <c r="I56" s="210" t="n"/>
      <c r="J56" s="210" t="n"/>
      <c r="K56" s="210" t="n"/>
      <c r="L56" s="210" t="n"/>
      <c r="M56" s="210" t="n"/>
      <c r="N56" s="210" t="n"/>
      <c r="O56" s="209" t="n"/>
    </row>
    <row r="57" ht="15" customHeight="1">
      <c r="A57" s="92" t="inlineStr">
        <is>
          <t>Ladder / company</t>
        </is>
      </c>
      <c r="B57" s="92" t="inlineStr">
        <is>
          <t>A1</t>
        </is>
      </c>
      <c r="C57" s="92" t="inlineStr">
        <is>
          <t>A2</t>
        </is>
      </c>
      <c r="D57" s="92" t="inlineStr">
        <is>
          <t>A3</t>
        </is>
      </c>
      <c r="E57" s="92" t="inlineStr">
        <is>
          <t>B1</t>
        </is>
      </c>
      <c r="F57" s="92" t="inlineStr">
        <is>
          <t>B2</t>
        </is>
      </c>
      <c r="G57" s="92" t="inlineStr">
        <is>
          <t>B3</t>
        </is>
      </c>
      <c r="H57" s="92" t="inlineStr">
        <is>
          <t>B+</t>
        </is>
      </c>
      <c r="I57" s="92" t="inlineStr">
        <is>
          <t>C1</t>
        </is>
      </c>
      <c r="J57" s="92" t="inlineStr">
        <is>
          <t>C2</t>
        </is>
      </c>
      <c r="K57" s="92" t="inlineStr">
        <is>
          <t>C+</t>
        </is>
      </c>
      <c r="L57" s="92" t="inlineStr">
        <is>
          <t>D1</t>
        </is>
      </c>
      <c r="M57" s="92" t="inlineStr">
        <is>
          <t>D2</t>
        </is>
      </c>
      <c r="N57" s="92" t="inlineStr">
        <is>
          <t>E1</t>
        </is>
      </c>
      <c r="O57" s="92" t="inlineStr">
        <is>
          <t>E2</t>
        </is>
      </c>
    </row>
    <row r="58" ht="54" customHeight="1">
      <c r="A58" s="46" t="inlineStr">
        <is>
          <t>IRIS — IC title</t>
        </is>
      </c>
      <c r="B58" s="26" t="inlineStr">
        <is>
          <t>Intern / Trainee</t>
        </is>
      </c>
      <c r="C58" s="26" t="inlineStr">
        <is>
          <t>Associate</t>
        </is>
      </c>
      <c r="D58" s="26" t="inlineStr">
        <is>
          <t>Senior Associate</t>
        </is>
      </c>
      <c r="E58" s="20" t="inlineStr">
        <is>
          <t>Specialist</t>
        </is>
      </c>
      <c r="F58" s="20" t="inlineStr">
        <is>
          <t>Senior Specialist</t>
        </is>
      </c>
      <c r="G58" s="20" t="inlineStr">
        <is>
          <t>Lead Specialist</t>
        </is>
      </c>
      <c r="H58" s="30" t="inlineStr">
        <is>
          <t>Practice Lead · Player-Coach</t>
        </is>
      </c>
      <c r="I58" s="33" t="inlineStr">
        <is>
          <t>Principal</t>
        </is>
      </c>
      <c r="J58" s="33" t="inlineStr">
        <is>
          <t>Senior Principal / Architect</t>
        </is>
      </c>
      <c r="K58" s="36" t="inlineStr">
        <is>
          <t>Group Head · Player-Coach</t>
        </is>
      </c>
      <c r="L58" s="39" t="inlineStr">
        <is>
          <t>Chief Specialist / Distinguished Principal</t>
        </is>
      </c>
      <c r="M58" s="39" t="inlineStr">
        <is>
          <t>—</t>
        </is>
      </c>
      <c r="N58" s="42" t="inlineStr">
        <is>
          <t>—</t>
        </is>
      </c>
      <c r="O58" s="42" t="inlineStr">
        <is>
          <t>—</t>
        </is>
      </c>
    </row>
    <row r="59" ht="54" customHeight="1">
      <c r="A59" s="46" t="inlineStr">
        <is>
          <t>IRIS — Manager title</t>
        </is>
      </c>
      <c r="B59" s="26" t="inlineStr"/>
      <c r="C59" s="26" t="inlineStr"/>
      <c r="D59" s="26" t="inlineStr"/>
      <c r="E59" s="20" t="inlineStr">
        <is>
          <t>Team Lead</t>
        </is>
      </c>
      <c r="F59" s="20" t="inlineStr">
        <is>
          <t>Manager</t>
        </is>
      </c>
      <c r="G59" s="20" t="inlineStr">
        <is>
          <t>Senior Manager</t>
        </is>
      </c>
      <c r="H59" s="30" t="inlineStr">
        <is>
          <t>Practice Lead · Player-Coach</t>
        </is>
      </c>
      <c r="I59" s="33" t="inlineStr">
        <is>
          <t>Associate Head</t>
        </is>
      </c>
      <c r="J59" s="33" t="inlineStr">
        <is>
          <t>Head of Function</t>
        </is>
      </c>
      <c r="K59" s="36" t="inlineStr">
        <is>
          <t>Group Head · Player-Coach</t>
        </is>
      </c>
      <c r="L59" s="39" t="inlineStr">
        <is>
          <t>Associate Vice President / Business Head</t>
        </is>
      </c>
      <c r="M59" s="39" t="inlineStr">
        <is>
          <t>Vice President</t>
        </is>
      </c>
      <c r="N59" s="42" t="inlineStr">
        <is>
          <t>CXO / President</t>
        </is>
      </c>
      <c r="O59" s="42" t="inlineStr">
        <is>
          <t>Chief Executive Officer</t>
        </is>
      </c>
    </row>
    <row r="60" ht="15" customHeight="1">
      <c r="A60" s="46" t="inlineStr">
        <is>
          <t>IRIS — people at level</t>
        </is>
      </c>
      <c r="B60" s="26" t="inlineStr"/>
      <c r="C60" s="26" t="n">
        <v>1</v>
      </c>
      <c r="D60" s="26" t="n">
        <v>2</v>
      </c>
      <c r="E60" s="20" t="inlineStr"/>
      <c r="F60" s="20" t="n">
        <v>1</v>
      </c>
      <c r="G60" s="20" t="inlineStr"/>
      <c r="H60" s="30" t="inlineStr"/>
      <c r="I60" s="33" t="inlineStr"/>
      <c r="J60" s="33" t="inlineStr"/>
      <c r="K60" s="36" t="inlineStr"/>
      <c r="L60" s="39" t="inlineStr"/>
      <c r="M60" s="39" t="inlineStr"/>
      <c r="N60" s="42" t="inlineStr"/>
      <c r="O60" s="42" t="inlineStr"/>
    </row>
    <row r="61" ht="28" customHeight="1">
      <c r="A61" s="13" t="inlineStr">
        <is>
          <t>Workiva</t>
        </is>
      </c>
      <c r="B61" s="15" t="inlineStr"/>
      <c r="C61" s="15" t="inlineStr">
        <is>
          <t>Associate SE</t>
        </is>
      </c>
      <c r="D61" s="15" t="inlineStr">
        <is>
          <t>SE</t>
        </is>
      </c>
      <c r="E61" s="15" t="inlineStr">
        <is>
          <t>SE / Senior SE</t>
        </is>
      </c>
      <c r="F61" s="15" t="inlineStr">
        <is>
          <t>Senior SE</t>
        </is>
      </c>
      <c r="G61" s="15" t="inlineStr">
        <is>
          <t>Staff SE</t>
        </is>
      </c>
      <c r="H61" s="15" t="inlineStr"/>
      <c r="I61" s="15" t="inlineStr"/>
      <c r="J61" s="15" t="inlineStr"/>
      <c r="K61" s="15" t="inlineStr"/>
      <c r="L61" s="15" t="inlineStr"/>
      <c r="M61" s="15" t="inlineStr"/>
      <c r="N61" s="15" t="inlineStr"/>
      <c r="O61" s="15" t="inlineStr"/>
    </row>
    <row r="62" ht="28" customHeight="1">
      <c r="A62" s="13" t="inlineStr">
        <is>
          <t>Broadridge India</t>
        </is>
      </c>
      <c r="B62" s="15" t="inlineStr"/>
      <c r="C62" s="15" t="inlineStr">
        <is>
          <t>SE</t>
        </is>
      </c>
      <c r="D62" s="15" t="inlineStr">
        <is>
          <t>SE</t>
        </is>
      </c>
      <c r="E62" s="15" t="inlineStr">
        <is>
          <t>Senior SE</t>
        </is>
      </c>
      <c r="F62" s="15" t="inlineStr">
        <is>
          <t>Lead SE</t>
        </is>
      </c>
      <c r="G62" s="15" t="inlineStr">
        <is>
          <t>Senior Lead SE</t>
        </is>
      </c>
      <c r="H62" s="15" t="inlineStr"/>
      <c r="I62" s="15" t="inlineStr"/>
      <c r="J62" s="15" t="inlineStr"/>
      <c r="K62" s="15" t="inlineStr"/>
      <c r="L62" s="15" t="inlineStr"/>
      <c r="M62" s="15" t="inlineStr"/>
      <c r="N62" s="15" t="inlineStr"/>
      <c r="O62" s="15" t="inlineStr"/>
    </row>
    <row r="63" ht="15" customHeight="1">
      <c r="A63" s="13" t="inlineStr">
        <is>
          <t>Nasdaq / AxiomSL</t>
        </is>
      </c>
      <c r="B63" s="15" t="inlineStr"/>
      <c r="C63" s="15" t="inlineStr">
        <is>
          <t>SE</t>
        </is>
      </c>
      <c r="D63" s="15" t="inlineStr">
        <is>
          <t>SE</t>
        </is>
      </c>
      <c r="E63" s="15" t="inlineStr">
        <is>
          <t>Senior SE</t>
        </is>
      </c>
      <c r="F63" s="15" t="inlineStr">
        <is>
          <t>Senior SE</t>
        </is>
      </c>
      <c r="G63" s="15" t="inlineStr">
        <is>
          <t>Lead SE</t>
        </is>
      </c>
      <c r="H63" s="15" t="inlineStr"/>
      <c r="I63" s="15" t="inlineStr">
        <is>
          <t>Principal SE</t>
        </is>
      </c>
      <c r="J63" s="15" t="inlineStr"/>
      <c r="K63" s="15" t="inlineStr"/>
      <c r="L63" s="15" t="inlineStr"/>
      <c r="M63" s="15" t="inlineStr"/>
      <c r="N63" s="15" t="inlineStr"/>
      <c r="O63" s="15" t="inlineStr"/>
    </row>
    <row r="64" ht="41" customHeight="1">
      <c r="A64" s="13" t="inlineStr">
        <is>
          <t>Salesforce</t>
        </is>
      </c>
      <c r="B64" s="15" t="inlineStr"/>
      <c r="C64" s="15" t="inlineStr">
        <is>
          <t>AMTS</t>
        </is>
      </c>
      <c r="D64" s="15" t="inlineStr">
        <is>
          <t>MTS</t>
        </is>
      </c>
      <c r="E64" s="15" t="inlineStr">
        <is>
          <t>MTS</t>
        </is>
      </c>
      <c r="F64" s="15" t="inlineStr">
        <is>
          <t>SMTS</t>
        </is>
      </c>
      <c r="G64" s="15" t="inlineStr">
        <is>
          <t>LMTS</t>
        </is>
      </c>
      <c r="H64" s="15" t="inlineStr"/>
      <c r="I64" s="15" t="inlineStr">
        <is>
          <t>PMTS</t>
        </is>
      </c>
      <c r="J64" s="15" t="inlineStr">
        <is>
          <t>Architect / Principal Architect</t>
        </is>
      </c>
      <c r="K64" s="15" t="inlineStr"/>
      <c r="L64" s="15" t="inlineStr">
        <is>
          <t>Distinguished Engineer</t>
        </is>
      </c>
      <c r="M64" s="15" t="inlineStr"/>
      <c r="N64" s="15" t="inlineStr"/>
      <c r="O64" s="15" t="inlineStr"/>
    </row>
    <row r="65" ht="28" customHeight="1">
      <c r="A65" s="13" t="inlineStr">
        <is>
          <t>Atlassian</t>
        </is>
      </c>
      <c r="B65" s="15" t="inlineStr"/>
      <c r="C65" s="15" t="inlineStr">
        <is>
          <t>P30 Junior · 0–2 yrs</t>
        </is>
      </c>
      <c r="D65" s="15" t="inlineStr">
        <is>
          <t>P40 · 3–7 yrs</t>
        </is>
      </c>
      <c r="E65" s="15" t="inlineStr">
        <is>
          <t>P40</t>
        </is>
      </c>
      <c r="F65" s="15" t="inlineStr">
        <is>
          <t>P50 Senior · 6–12 yrs</t>
        </is>
      </c>
      <c r="G65" s="15" t="inlineStr">
        <is>
          <t>P50 Senior</t>
        </is>
      </c>
      <c r="H65" s="15" t="inlineStr"/>
      <c r="I65" s="15" t="inlineStr">
        <is>
          <t>P60 Principal · 10+ yrs</t>
        </is>
      </c>
      <c r="J65" s="15" t="inlineStr">
        <is>
          <t>P70</t>
        </is>
      </c>
      <c r="K65" s="15" t="inlineStr"/>
      <c r="L65" s="15" t="inlineStr"/>
      <c r="M65" s="15" t="inlineStr"/>
      <c r="N65" s="15" t="inlineStr"/>
      <c r="O65" s="15" t="inlineStr"/>
    </row>
    <row r="66" ht="28" customHeight="1">
      <c r="A66" s="13" t="inlineStr">
        <is>
          <t>Freshworks</t>
        </is>
      </c>
      <c r="B66" s="15" t="inlineStr"/>
      <c r="C66" s="15" t="inlineStr">
        <is>
          <t>SE</t>
        </is>
      </c>
      <c r="D66" s="15" t="inlineStr">
        <is>
          <t>Senior SE</t>
        </is>
      </c>
      <c r="E66" s="15" t="inlineStr">
        <is>
          <t>Senior SE</t>
        </is>
      </c>
      <c r="F66" s="15" t="inlineStr">
        <is>
          <t>Lead SE</t>
        </is>
      </c>
      <c r="G66" s="15" t="inlineStr">
        <is>
          <t>Staff SE</t>
        </is>
      </c>
      <c r="H66" s="15" t="inlineStr"/>
      <c r="I66" s="15" t="inlineStr">
        <is>
          <t>Senior Staff SE</t>
        </is>
      </c>
      <c r="J66" s="15" t="inlineStr">
        <is>
          <t>Principal Engineer</t>
        </is>
      </c>
      <c r="K66" s="15" t="inlineStr"/>
      <c r="L66" s="15" t="inlineStr"/>
      <c r="M66" s="15" t="inlineStr"/>
      <c r="N66" s="15" t="inlineStr"/>
      <c r="O66" s="15" t="inlineStr"/>
    </row>
    <row r="67" ht="28" customHeight="1">
      <c r="A67" s="13" t="inlineStr">
        <is>
          <t>Clear · C14; unverified</t>
        </is>
      </c>
      <c r="B67" s="15" t="inlineStr"/>
      <c r="C67" s="15" t="inlineStr">
        <is>
          <t>SDE1</t>
        </is>
      </c>
      <c r="D67" s="15" t="inlineStr">
        <is>
          <t>SDE2</t>
        </is>
      </c>
      <c r="E67" s="15" t="inlineStr">
        <is>
          <t>SDE2</t>
        </is>
      </c>
      <c r="F67" s="15" t="inlineStr">
        <is>
          <t>SDE3 / Senior</t>
        </is>
      </c>
      <c r="G67" s="15" t="inlineStr">
        <is>
          <t>Staff</t>
        </is>
      </c>
      <c r="H67" s="15" t="inlineStr"/>
      <c r="I67" s="15" t="inlineStr"/>
      <c r="J67" s="15" t="inlineStr"/>
      <c r="K67" s="15" t="inlineStr"/>
      <c r="L67" s="15" t="inlineStr"/>
      <c r="M67" s="15" t="inlineStr"/>
      <c r="N67" s="15" t="inlineStr"/>
      <c r="O67" s="15" t="inlineStr"/>
    </row>
    <row r="68" ht="28" customHeight="1">
      <c r="A68" s="13" t="inlineStr">
        <is>
          <t>Google Tech Lead Manager</t>
        </is>
      </c>
      <c r="B68" s="15" t="inlineStr"/>
      <c r="C68" s="15" t="inlineStr"/>
      <c r="D68" s="15" t="inlineStr"/>
      <c r="E68" s="15" t="inlineStr"/>
      <c r="F68" s="15" t="inlineStr"/>
      <c r="G68" s="15" t="inlineStr"/>
      <c r="H68" s="15" t="inlineStr">
        <is>
          <t>Tech Lead Manager · TLM</t>
        </is>
      </c>
      <c r="I68" s="15" t="inlineStr"/>
      <c r="J68" s="15" t="inlineStr"/>
      <c r="K68" s="15" t="inlineStr">
        <is>
          <t>Senior TLM / Director</t>
        </is>
      </c>
      <c r="L68" s="15" t="inlineStr"/>
      <c r="M68" s="15" t="inlineStr"/>
      <c r="N68" s="15" t="inlineStr"/>
      <c r="O68" s="15" t="inlineStr"/>
    </row>
    <row r="69" ht="54" customHeight="1">
      <c r="A69" s="13" t="inlineStr">
        <is>
          <t>IRIS Vs Competitor Benchmark — engineering managers · informed by Freshworks, GitLab; C12, C20</t>
        </is>
      </c>
      <c r="B69" s="15" t="inlineStr"/>
      <c r="C69" s="15" t="inlineStr"/>
      <c r="D69" s="15" t="inlineStr"/>
      <c r="E69" s="15" t="inlineStr"/>
      <c r="F69" s="15" t="inlineStr">
        <is>
          <t>Engineering Manager</t>
        </is>
      </c>
      <c r="G69" s="15" t="inlineStr">
        <is>
          <t>Senior EM</t>
        </is>
      </c>
      <c r="H69" s="15" t="inlineStr"/>
      <c r="I69" s="15" t="inlineStr">
        <is>
          <t>Senior EM / Director</t>
        </is>
      </c>
      <c r="J69" s="15" t="inlineStr">
        <is>
          <t>Director Engineering</t>
        </is>
      </c>
      <c r="K69" s="15" t="inlineStr"/>
      <c r="L69" s="15" t="inlineStr">
        <is>
          <t>Senior Director</t>
        </is>
      </c>
      <c r="M69" s="15" t="inlineStr">
        <is>
          <t>VP Engineering</t>
        </is>
      </c>
      <c r="N69" s="15" t="inlineStr">
        <is>
          <t>CTO</t>
        </is>
      </c>
      <c r="O69" s="15" t="inlineStr"/>
    </row>
    <row r="70" ht="15" customHeight="1"/>
    <row r="71" ht="15" customHeight="1">
      <c r="A71" s="208" t="inlineStr">
        <is>
          <t>IRIS Engineering &amp; Architecture Vs · Standard: SFIA 9 · solution architecture; TOGAF; AWS / Azure architect certifications · 1 here</t>
        </is>
      </c>
      <c r="B71" s="210" t="n"/>
      <c r="C71" s="210" t="n"/>
      <c r="D71" s="210" t="n"/>
      <c r="E71" s="210" t="n"/>
      <c r="F71" s="210" t="n"/>
      <c r="G71" s="210" t="n"/>
      <c r="H71" s="210" t="n"/>
      <c r="I71" s="210" t="n"/>
      <c r="J71" s="210" t="n"/>
      <c r="K71" s="210" t="n"/>
      <c r="L71" s="210" t="n"/>
      <c r="M71" s="210" t="n"/>
      <c r="N71" s="210" t="n"/>
      <c r="O71" s="209" t="n"/>
    </row>
    <row r="72" ht="15" customHeight="1">
      <c r="A72" s="92" t="inlineStr">
        <is>
          <t>Ladder / company</t>
        </is>
      </c>
      <c r="B72" s="92" t="inlineStr">
        <is>
          <t>A1</t>
        </is>
      </c>
      <c r="C72" s="92" t="inlineStr">
        <is>
          <t>A2</t>
        </is>
      </c>
      <c r="D72" s="92" t="inlineStr">
        <is>
          <t>A3</t>
        </is>
      </c>
      <c r="E72" s="92" t="inlineStr">
        <is>
          <t>B1</t>
        </is>
      </c>
      <c r="F72" s="92" t="inlineStr">
        <is>
          <t>B2</t>
        </is>
      </c>
      <c r="G72" s="92" t="inlineStr">
        <is>
          <t>B3</t>
        </is>
      </c>
      <c r="H72" s="92" t="inlineStr">
        <is>
          <t>B+</t>
        </is>
      </c>
      <c r="I72" s="92" t="inlineStr">
        <is>
          <t>C1</t>
        </is>
      </c>
      <c r="J72" s="92" t="inlineStr">
        <is>
          <t>C2</t>
        </is>
      </c>
      <c r="K72" s="92" t="inlineStr">
        <is>
          <t>C+</t>
        </is>
      </c>
      <c r="L72" s="92" t="inlineStr">
        <is>
          <t>D1</t>
        </is>
      </c>
      <c r="M72" s="92" t="inlineStr">
        <is>
          <t>D2</t>
        </is>
      </c>
      <c r="N72" s="92" t="inlineStr">
        <is>
          <t>E1</t>
        </is>
      </c>
      <c r="O72" s="92" t="inlineStr">
        <is>
          <t>E2</t>
        </is>
      </c>
    </row>
    <row r="73" ht="54" customHeight="1">
      <c r="A73" s="46" t="inlineStr">
        <is>
          <t>IRIS — IC title</t>
        </is>
      </c>
      <c r="B73" s="26" t="inlineStr">
        <is>
          <t>Intern / Trainee</t>
        </is>
      </c>
      <c r="C73" s="26" t="inlineStr">
        <is>
          <t>Associate</t>
        </is>
      </c>
      <c r="D73" s="26" t="inlineStr">
        <is>
          <t>Senior Associate</t>
        </is>
      </c>
      <c r="E73" s="20" t="inlineStr">
        <is>
          <t>Specialist</t>
        </is>
      </c>
      <c r="F73" s="20" t="inlineStr">
        <is>
          <t>Senior Specialist</t>
        </is>
      </c>
      <c r="G73" s="20" t="inlineStr">
        <is>
          <t>Lead Specialist</t>
        </is>
      </c>
      <c r="H73" s="30" t="inlineStr">
        <is>
          <t>Practice Lead · Player-Coach</t>
        </is>
      </c>
      <c r="I73" s="33" t="inlineStr">
        <is>
          <t>Principal</t>
        </is>
      </c>
      <c r="J73" s="33" t="inlineStr">
        <is>
          <t>Senior Principal / Architect</t>
        </is>
      </c>
      <c r="K73" s="36" t="inlineStr">
        <is>
          <t>Group Head · Player-Coach</t>
        </is>
      </c>
      <c r="L73" s="39" t="inlineStr">
        <is>
          <t>Chief Specialist / Distinguished Principal</t>
        </is>
      </c>
      <c r="M73" s="39" t="inlineStr">
        <is>
          <t>—</t>
        </is>
      </c>
      <c r="N73" s="42" t="inlineStr">
        <is>
          <t>—</t>
        </is>
      </c>
      <c r="O73" s="42" t="inlineStr">
        <is>
          <t>—</t>
        </is>
      </c>
    </row>
    <row r="74" ht="54" customHeight="1">
      <c r="A74" s="46" t="inlineStr">
        <is>
          <t>IRIS — Manager title</t>
        </is>
      </c>
      <c r="B74" s="26" t="inlineStr"/>
      <c r="C74" s="26" t="inlineStr"/>
      <c r="D74" s="26" t="inlineStr"/>
      <c r="E74" s="20" t="inlineStr">
        <is>
          <t>Team Lead</t>
        </is>
      </c>
      <c r="F74" s="20" t="inlineStr">
        <is>
          <t>Manager</t>
        </is>
      </c>
      <c r="G74" s="20" t="inlineStr">
        <is>
          <t>Senior Manager</t>
        </is>
      </c>
      <c r="H74" s="30" t="inlineStr">
        <is>
          <t>Practice Lead · Player-Coach</t>
        </is>
      </c>
      <c r="I74" s="33" t="inlineStr">
        <is>
          <t>Associate Head</t>
        </is>
      </c>
      <c r="J74" s="33" t="inlineStr">
        <is>
          <t>Head of Function</t>
        </is>
      </c>
      <c r="K74" s="36" t="inlineStr">
        <is>
          <t>Group Head · Player-Coach</t>
        </is>
      </c>
      <c r="L74" s="39" t="inlineStr">
        <is>
          <t>Associate Vice President / Business Head</t>
        </is>
      </c>
      <c r="M74" s="39" t="inlineStr">
        <is>
          <t>Vice President</t>
        </is>
      </c>
      <c r="N74" s="42" t="inlineStr">
        <is>
          <t>CXO / President</t>
        </is>
      </c>
      <c r="O74" s="42" t="inlineStr">
        <is>
          <t>Chief Executive Officer</t>
        </is>
      </c>
    </row>
    <row r="75" ht="15" customHeight="1">
      <c r="A75" s="46" t="inlineStr">
        <is>
          <t>IRIS — people at level</t>
        </is>
      </c>
      <c r="B75" s="26" t="inlineStr"/>
      <c r="C75" s="26" t="inlineStr"/>
      <c r="D75" s="26" t="inlineStr"/>
      <c r="E75" s="20" t="inlineStr"/>
      <c r="F75" s="20" t="inlineStr"/>
      <c r="G75" s="20" t="inlineStr"/>
      <c r="H75" s="30" t="inlineStr"/>
      <c r="I75" s="33" t="n">
        <v>1</v>
      </c>
      <c r="J75" s="33" t="inlineStr"/>
      <c r="K75" s="36" t="inlineStr"/>
      <c r="L75" s="39" t="inlineStr"/>
      <c r="M75" s="39" t="inlineStr"/>
      <c r="N75" s="42" t="inlineStr"/>
      <c r="O75" s="42" t="inlineStr"/>
    </row>
    <row r="76" ht="28" customHeight="1">
      <c r="A76" s="13" t="inlineStr">
        <is>
          <t>Workiva</t>
        </is>
      </c>
      <c r="B76" s="15" t="inlineStr"/>
      <c r="C76" s="15" t="inlineStr">
        <is>
          <t>Associate SE</t>
        </is>
      </c>
      <c r="D76" s="15" t="inlineStr">
        <is>
          <t>SE</t>
        </is>
      </c>
      <c r="E76" s="15" t="inlineStr">
        <is>
          <t>SE / Senior SE</t>
        </is>
      </c>
      <c r="F76" s="15" t="inlineStr">
        <is>
          <t>Senior SE</t>
        </is>
      </c>
      <c r="G76" s="15" t="inlineStr">
        <is>
          <t>Staff SE</t>
        </is>
      </c>
      <c r="H76" s="15" t="inlineStr"/>
      <c r="I76" s="15" t="inlineStr"/>
      <c r="J76" s="15" t="inlineStr"/>
      <c r="K76" s="15" t="inlineStr"/>
      <c r="L76" s="15" t="inlineStr"/>
      <c r="M76" s="15" t="inlineStr"/>
      <c r="N76" s="15" t="inlineStr"/>
      <c r="O76" s="15" t="inlineStr"/>
    </row>
    <row r="77" ht="28" customHeight="1">
      <c r="A77" s="13" t="inlineStr">
        <is>
          <t>Broadridge India</t>
        </is>
      </c>
      <c r="B77" s="15" t="inlineStr"/>
      <c r="C77" s="15" t="inlineStr">
        <is>
          <t>SE</t>
        </is>
      </c>
      <c r="D77" s="15" t="inlineStr">
        <is>
          <t>SE</t>
        </is>
      </c>
      <c r="E77" s="15" t="inlineStr">
        <is>
          <t>Senior SE</t>
        </is>
      </c>
      <c r="F77" s="15" t="inlineStr">
        <is>
          <t>Lead SE</t>
        </is>
      </c>
      <c r="G77" s="15" t="inlineStr">
        <is>
          <t>Senior Lead SE</t>
        </is>
      </c>
      <c r="H77" s="15" t="inlineStr"/>
      <c r="I77" s="15" t="inlineStr"/>
      <c r="J77" s="15" t="inlineStr"/>
      <c r="K77" s="15" t="inlineStr"/>
      <c r="L77" s="15" t="inlineStr"/>
      <c r="M77" s="15" t="inlineStr"/>
      <c r="N77" s="15" t="inlineStr"/>
      <c r="O77" s="15" t="inlineStr"/>
    </row>
    <row r="78" ht="15" customHeight="1">
      <c r="A78" s="13" t="inlineStr">
        <is>
          <t>Nasdaq / AxiomSL</t>
        </is>
      </c>
      <c r="B78" s="15" t="inlineStr"/>
      <c r="C78" s="15" t="inlineStr">
        <is>
          <t>SE</t>
        </is>
      </c>
      <c r="D78" s="15" t="inlineStr">
        <is>
          <t>SE</t>
        </is>
      </c>
      <c r="E78" s="15" t="inlineStr">
        <is>
          <t>Senior SE</t>
        </is>
      </c>
      <c r="F78" s="15" t="inlineStr">
        <is>
          <t>Senior SE</t>
        </is>
      </c>
      <c r="G78" s="15" t="inlineStr">
        <is>
          <t>Lead SE</t>
        </is>
      </c>
      <c r="H78" s="15" t="inlineStr"/>
      <c r="I78" s="15" t="inlineStr">
        <is>
          <t>Principal SE</t>
        </is>
      </c>
      <c r="J78" s="15" t="inlineStr"/>
      <c r="K78" s="15" t="inlineStr"/>
      <c r="L78" s="15" t="inlineStr"/>
      <c r="M78" s="15" t="inlineStr"/>
      <c r="N78" s="15" t="inlineStr"/>
      <c r="O78" s="15" t="inlineStr"/>
    </row>
    <row r="79" ht="41" customHeight="1">
      <c r="A79" s="13" t="inlineStr">
        <is>
          <t>Salesforce</t>
        </is>
      </c>
      <c r="B79" s="15" t="inlineStr"/>
      <c r="C79" s="15" t="inlineStr">
        <is>
          <t>AMTS</t>
        </is>
      </c>
      <c r="D79" s="15" t="inlineStr">
        <is>
          <t>MTS</t>
        </is>
      </c>
      <c r="E79" s="15" t="inlineStr">
        <is>
          <t>MTS</t>
        </is>
      </c>
      <c r="F79" s="15" t="inlineStr">
        <is>
          <t>SMTS</t>
        </is>
      </c>
      <c r="G79" s="15" t="inlineStr">
        <is>
          <t>LMTS</t>
        </is>
      </c>
      <c r="H79" s="15" t="inlineStr"/>
      <c r="I79" s="15" t="inlineStr">
        <is>
          <t>PMTS</t>
        </is>
      </c>
      <c r="J79" s="15" t="inlineStr">
        <is>
          <t>Architect / Principal Architect</t>
        </is>
      </c>
      <c r="K79" s="15" t="inlineStr"/>
      <c r="L79" s="15" t="inlineStr">
        <is>
          <t>Distinguished Engineer</t>
        </is>
      </c>
      <c r="M79" s="15" t="inlineStr"/>
      <c r="N79" s="15" t="inlineStr"/>
      <c r="O79" s="15" t="inlineStr"/>
    </row>
    <row r="80" ht="28" customHeight="1">
      <c r="A80" s="13" t="inlineStr">
        <is>
          <t>Atlassian</t>
        </is>
      </c>
      <c r="B80" s="15" t="inlineStr"/>
      <c r="C80" s="15" t="inlineStr">
        <is>
          <t>P30 Junior · 0–2 yrs</t>
        </is>
      </c>
      <c r="D80" s="15" t="inlineStr">
        <is>
          <t>P40 · 3–7 yrs</t>
        </is>
      </c>
      <c r="E80" s="15" t="inlineStr">
        <is>
          <t>P40</t>
        </is>
      </c>
      <c r="F80" s="15" t="inlineStr">
        <is>
          <t>P50 Senior · 6–12 yrs</t>
        </is>
      </c>
      <c r="G80" s="15" t="inlineStr">
        <is>
          <t>P50 Senior</t>
        </is>
      </c>
      <c r="H80" s="15" t="inlineStr"/>
      <c r="I80" s="15" t="inlineStr">
        <is>
          <t>P60 Principal · 10+ yrs</t>
        </is>
      </c>
      <c r="J80" s="15" t="inlineStr">
        <is>
          <t>P70</t>
        </is>
      </c>
      <c r="K80" s="15" t="inlineStr"/>
      <c r="L80" s="15" t="inlineStr"/>
      <c r="M80" s="15" t="inlineStr"/>
      <c r="N80" s="15" t="inlineStr"/>
      <c r="O80" s="15" t="inlineStr"/>
    </row>
    <row r="81" ht="28" customHeight="1">
      <c r="A81" s="13" t="inlineStr">
        <is>
          <t>Freshworks</t>
        </is>
      </c>
      <c r="B81" s="15" t="inlineStr"/>
      <c r="C81" s="15" t="inlineStr">
        <is>
          <t>SE</t>
        </is>
      </c>
      <c r="D81" s="15" t="inlineStr">
        <is>
          <t>Senior SE</t>
        </is>
      </c>
      <c r="E81" s="15" t="inlineStr">
        <is>
          <t>Senior SE</t>
        </is>
      </c>
      <c r="F81" s="15" t="inlineStr">
        <is>
          <t>Lead SE</t>
        </is>
      </c>
      <c r="G81" s="15" t="inlineStr">
        <is>
          <t>Staff SE</t>
        </is>
      </c>
      <c r="H81" s="15" t="inlineStr"/>
      <c r="I81" s="15" t="inlineStr">
        <is>
          <t>Senior Staff SE</t>
        </is>
      </c>
      <c r="J81" s="15" t="inlineStr">
        <is>
          <t>Principal Engineer</t>
        </is>
      </c>
      <c r="K81" s="15" t="inlineStr"/>
      <c r="L81" s="15" t="inlineStr"/>
      <c r="M81" s="15" t="inlineStr"/>
      <c r="N81" s="15" t="inlineStr"/>
      <c r="O81" s="15" t="inlineStr"/>
    </row>
    <row r="82" ht="28" customHeight="1">
      <c r="A82" s="13" t="inlineStr">
        <is>
          <t>Clear · C14; unverified</t>
        </is>
      </c>
      <c r="B82" s="15" t="inlineStr"/>
      <c r="C82" s="15" t="inlineStr">
        <is>
          <t>SDE1</t>
        </is>
      </c>
      <c r="D82" s="15" t="inlineStr">
        <is>
          <t>SDE2</t>
        </is>
      </c>
      <c r="E82" s="15" t="inlineStr">
        <is>
          <t>SDE2</t>
        </is>
      </c>
      <c r="F82" s="15" t="inlineStr">
        <is>
          <t>SDE3 / Senior</t>
        </is>
      </c>
      <c r="G82" s="15" t="inlineStr">
        <is>
          <t>Staff</t>
        </is>
      </c>
      <c r="H82" s="15" t="inlineStr"/>
      <c r="I82" s="15" t="inlineStr"/>
      <c r="J82" s="15" t="inlineStr"/>
      <c r="K82" s="15" t="inlineStr"/>
      <c r="L82" s="15" t="inlineStr"/>
      <c r="M82" s="15" t="inlineStr"/>
      <c r="N82" s="15" t="inlineStr"/>
      <c r="O82" s="15" t="inlineStr"/>
    </row>
    <row r="83" ht="28" customHeight="1">
      <c r="A83" s="13" t="inlineStr">
        <is>
          <t>Google Tech Lead Manager</t>
        </is>
      </c>
      <c r="B83" s="15" t="inlineStr"/>
      <c r="C83" s="15" t="inlineStr"/>
      <c r="D83" s="15" t="inlineStr"/>
      <c r="E83" s="15" t="inlineStr"/>
      <c r="F83" s="15" t="inlineStr"/>
      <c r="G83" s="15" t="inlineStr"/>
      <c r="H83" s="15" t="inlineStr">
        <is>
          <t>Tech Lead Manager · TLM</t>
        </is>
      </c>
      <c r="I83" s="15" t="inlineStr"/>
      <c r="J83" s="15" t="inlineStr"/>
      <c r="K83" s="15" t="inlineStr">
        <is>
          <t>Senior TLM / Director</t>
        </is>
      </c>
      <c r="L83" s="15" t="inlineStr"/>
      <c r="M83" s="15" t="inlineStr"/>
      <c r="N83" s="15" t="inlineStr"/>
      <c r="O83" s="15" t="inlineStr"/>
    </row>
    <row r="84" ht="54" customHeight="1">
      <c r="A84" s="13" t="inlineStr">
        <is>
          <t>IRIS Vs Competitor Benchmark — engineering managers · informed by Freshworks, GitLab; C12, C20</t>
        </is>
      </c>
      <c r="B84" s="15" t="inlineStr"/>
      <c r="C84" s="15" t="inlineStr"/>
      <c r="D84" s="15" t="inlineStr"/>
      <c r="E84" s="15" t="inlineStr"/>
      <c r="F84" s="15" t="inlineStr">
        <is>
          <t>Engineering Manager</t>
        </is>
      </c>
      <c r="G84" s="15" t="inlineStr">
        <is>
          <t>Senior EM</t>
        </is>
      </c>
      <c r="H84" s="15" t="inlineStr"/>
      <c r="I84" s="15" t="inlineStr">
        <is>
          <t>Senior EM / Director</t>
        </is>
      </c>
      <c r="J84" s="15" t="inlineStr">
        <is>
          <t>Director Engineering</t>
        </is>
      </c>
      <c r="K84" s="15" t="inlineStr"/>
      <c r="L84" s="15" t="inlineStr">
        <is>
          <t>Senior Director</t>
        </is>
      </c>
      <c r="M84" s="15" t="inlineStr">
        <is>
          <t>VP Engineering</t>
        </is>
      </c>
      <c r="N84" s="15" t="inlineStr">
        <is>
          <t>CTO</t>
        </is>
      </c>
      <c r="O84" s="15" t="inlineStr"/>
    </row>
    <row r="85" ht="15" customHeight="1"/>
    <row r="86" ht="15" customHeight="1">
      <c r="A86" s="208" t="inlineStr">
        <is>
          <t>IRIS Design &amp; Creative Vs · Standard: UX career ladder Junior → Designer → Senior → Lead → Principal; WCAG accessibility · 1 here</t>
        </is>
      </c>
      <c r="B86" s="210" t="n"/>
      <c r="C86" s="210" t="n"/>
      <c r="D86" s="210" t="n"/>
      <c r="E86" s="210" t="n"/>
      <c r="F86" s="210" t="n"/>
      <c r="G86" s="210" t="n"/>
      <c r="H86" s="210" t="n"/>
      <c r="I86" s="210" t="n"/>
      <c r="J86" s="210" t="n"/>
      <c r="K86" s="210" t="n"/>
      <c r="L86" s="210" t="n"/>
      <c r="M86" s="210" t="n"/>
      <c r="N86" s="210" t="n"/>
      <c r="O86" s="209" t="n"/>
    </row>
    <row r="87" ht="15" customHeight="1">
      <c r="A87" s="92" t="inlineStr">
        <is>
          <t>Ladder / company</t>
        </is>
      </c>
      <c r="B87" s="92" t="inlineStr">
        <is>
          <t>A1</t>
        </is>
      </c>
      <c r="C87" s="92" t="inlineStr">
        <is>
          <t>A2</t>
        </is>
      </c>
      <c r="D87" s="92" t="inlineStr">
        <is>
          <t>A3</t>
        </is>
      </c>
      <c r="E87" s="92" t="inlineStr">
        <is>
          <t>B1</t>
        </is>
      </c>
      <c r="F87" s="92" t="inlineStr">
        <is>
          <t>B2</t>
        </is>
      </c>
      <c r="G87" s="92" t="inlineStr">
        <is>
          <t>B3</t>
        </is>
      </c>
      <c r="H87" s="92" t="inlineStr">
        <is>
          <t>B+</t>
        </is>
      </c>
      <c r="I87" s="92" t="inlineStr">
        <is>
          <t>C1</t>
        </is>
      </c>
      <c r="J87" s="92" t="inlineStr">
        <is>
          <t>C2</t>
        </is>
      </c>
      <c r="K87" s="92" t="inlineStr">
        <is>
          <t>C+</t>
        </is>
      </c>
      <c r="L87" s="92" t="inlineStr">
        <is>
          <t>D1</t>
        </is>
      </c>
      <c r="M87" s="92" t="inlineStr">
        <is>
          <t>D2</t>
        </is>
      </c>
      <c r="N87" s="92" t="inlineStr">
        <is>
          <t>E1</t>
        </is>
      </c>
      <c r="O87" s="92" t="inlineStr">
        <is>
          <t>E2</t>
        </is>
      </c>
    </row>
    <row r="88" ht="54" customHeight="1">
      <c r="A88" s="46" t="inlineStr">
        <is>
          <t>IRIS — IC title</t>
        </is>
      </c>
      <c r="B88" s="26" t="inlineStr">
        <is>
          <t>Intern / Trainee</t>
        </is>
      </c>
      <c r="C88" s="26" t="inlineStr">
        <is>
          <t>Associate</t>
        </is>
      </c>
      <c r="D88" s="26" t="inlineStr">
        <is>
          <t>Senior Associate</t>
        </is>
      </c>
      <c r="E88" s="20" t="inlineStr">
        <is>
          <t>Specialist</t>
        </is>
      </c>
      <c r="F88" s="20" t="inlineStr">
        <is>
          <t>Senior Specialist</t>
        </is>
      </c>
      <c r="G88" s="20" t="inlineStr">
        <is>
          <t>Lead Specialist</t>
        </is>
      </c>
      <c r="H88" s="30" t="inlineStr">
        <is>
          <t>Practice Lead · Player-Coach</t>
        </is>
      </c>
      <c r="I88" s="33" t="inlineStr">
        <is>
          <t>Principal</t>
        </is>
      </c>
      <c r="J88" s="33" t="inlineStr">
        <is>
          <t>Senior Principal / Architect</t>
        </is>
      </c>
      <c r="K88" s="36" t="inlineStr">
        <is>
          <t>Group Head · Player-Coach</t>
        </is>
      </c>
      <c r="L88" s="39" t="inlineStr">
        <is>
          <t>Chief Specialist / Distinguished Principal</t>
        </is>
      </c>
      <c r="M88" s="39" t="inlineStr">
        <is>
          <t>—</t>
        </is>
      </c>
      <c r="N88" s="42" t="inlineStr">
        <is>
          <t>—</t>
        </is>
      </c>
      <c r="O88" s="42" t="inlineStr">
        <is>
          <t>—</t>
        </is>
      </c>
    </row>
    <row r="89" ht="54" customHeight="1">
      <c r="A89" s="46" t="inlineStr">
        <is>
          <t>IRIS — Manager title</t>
        </is>
      </c>
      <c r="B89" s="26" t="inlineStr"/>
      <c r="C89" s="26" t="inlineStr"/>
      <c r="D89" s="26" t="inlineStr"/>
      <c r="E89" s="20" t="inlineStr">
        <is>
          <t>Team Lead</t>
        </is>
      </c>
      <c r="F89" s="20" t="inlineStr">
        <is>
          <t>Manager</t>
        </is>
      </c>
      <c r="G89" s="20" t="inlineStr">
        <is>
          <t>Senior Manager</t>
        </is>
      </c>
      <c r="H89" s="30" t="inlineStr">
        <is>
          <t>Practice Lead · Player-Coach</t>
        </is>
      </c>
      <c r="I89" s="33" t="inlineStr">
        <is>
          <t>Associate Head</t>
        </is>
      </c>
      <c r="J89" s="33" t="inlineStr">
        <is>
          <t>Head of Function</t>
        </is>
      </c>
      <c r="K89" s="36" t="inlineStr">
        <is>
          <t>Group Head · Player-Coach</t>
        </is>
      </c>
      <c r="L89" s="39" t="inlineStr">
        <is>
          <t>Associate Vice President / Business Head</t>
        </is>
      </c>
      <c r="M89" s="39" t="inlineStr">
        <is>
          <t>Vice President</t>
        </is>
      </c>
      <c r="N89" s="42" t="inlineStr">
        <is>
          <t>CXO / President</t>
        </is>
      </c>
      <c r="O89" s="42" t="inlineStr">
        <is>
          <t>Chief Executive Officer</t>
        </is>
      </c>
    </row>
    <row r="90" ht="15" customHeight="1">
      <c r="A90" s="46" t="inlineStr">
        <is>
          <t>IRIS — people at level</t>
        </is>
      </c>
      <c r="B90" s="26" t="inlineStr"/>
      <c r="C90" s="26" t="inlineStr"/>
      <c r="D90" s="26" t="n">
        <v>1</v>
      </c>
      <c r="E90" s="20" t="inlineStr"/>
      <c r="F90" s="20" t="inlineStr"/>
      <c r="G90" s="20" t="inlineStr"/>
      <c r="H90" s="30" t="inlineStr"/>
      <c r="I90" s="33" t="inlineStr"/>
      <c r="J90" s="33" t="inlineStr"/>
      <c r="K90" s="36" t="inlineStr"/>
      <c r="L90" s="39" t="inlineStr"/>
      <c r="M90" s="39" t="inlineStr"/>
      <c r="N90" s="42" t="inlineStr"/>
      <c r="O90" s="42" t="inlineStr"/>
    </row>
    <row r="91" ht="41" customHeight="1">
      <c r="A91" s="13" t="inlineStr">
        <is>
          <t>IRIS Vs Competitor Benchmark — UX / design ladder · informed by a UX career-ladder guide</t>
        </is>
      </c>
      <c r="B91" s="15" t="inlineStr"/>
      <c r="C91" s="15" t="inlineStr">
        <is>
          <t>Junior Designer</t>
        </is>
      </c>
      <c r="D91" s="15" t="inlineStr">
        <is>
          <t>Designer</t>
        </is>
      </c>
      <c r="E91" s="15" t="inlineStr">
        <is>
          <t>UX Designer</t>
        </is>
      </c>
      <c r="F91" s="15" t="inlineStr">
        <is>
          <t>Senior Designer</t>
        </is>
      </c>
      <c r="G91" s="15" t="inlineStr">
        <is>
          <t>Lead Designer</t>
        </is>
      </c>
      <c r="H91" s="15" t="inlineStr"/>
      <c r="I91" s="15" t="inlineStr">
        <is>
          <t>Principal Designer</t>
        </is>
      </c>
      <c r="J91" s="15" t="inlineStr">
        <is>
          <t>Design Director</t>
        </is>
      </c>
      <c r="K91" s="15" t="inlineStr"/>
      <c r="L91" s="15" t="inlineStr"/>
      <c r="M91" s="15" t="inlineStr"/>
      <c r="N91" s="15" t="inlineStr"/>
      <c r="O91" s="15" t="inlineStr"/>
    </row>
    <row r="92" ht="15" customHeight="1"/>
    <row r="93" ht="15" customHeight="1">
      <c r="A93" s="208" t="inlineStr">
        <is>
          <t>IRIS Product Management Vs · Standard: Pragmatic Institute Framework · 37 activities, 7 categories; AIPMM · 1 here</t>
        </is>
      </c>
      <c r="B93" s="210" t="n"/>
      <c r="C93" s="210" t="n"/>
      <c r="D93" s="210" t="n"/>
      <c r="E93" s="210" t="n"/>
      <c r="F93" s="210" t="n"/>
      <c r="G93" s="210" t="n"/>
      <c r="H93" s="210" t="n"/>
      <c r="I93" s="210" t="n"/>
      <c r="J93" s="210" t="n"/>
      <c r="K93" s="210" t="n"/>
      <c r="L93" s="210" t="n"/>
      <c r="M93" s="210" t="n"/>
      <c r="N93" s="210" t="n"/>
      <c r="O93" s="209" t="n"/>
    </row>
    <row r="94" ht="15" customHeight="1">
      <c r="A94" s="92" t="inlineStr">
        <is>
          <t>Ladder / company</t>
        </is>
      </c>
      <c r="B94" s="92" t="inlineStr">
        <is>
          <t>A1</t>
        </is>
      </c>
      <c r="C94" s="92" t="inlineStr">
        <is>
          <t>A2</t>
        </is>
      </c>
      <c r="D94" s="92" t="inlineStr">
        <is>
          <t>A3</t>
        </is>
      </c>
      <c r="E94" s="92" t="inlineStr">
        <is>
          <t>B1</t>
        </is>
      </c>
      <c r="F94" s="92" t="inlineStr">
        <is>
          <t>B2</t>
        </is>
      </c>
      <c r="G94" s="92" t="inlineStr">
        <is>
          <t>B3</t>
        </is>
      </c>
      <c r="H94" s="92" t="inlineStr">
        <is>
          <t>B+</t>
        </is>
      </c>
      <c r="I94" s="92" t="inlineStr">
        <is>
          <t>C1</t>
        </is>
      </c>
      <c r="J94" s="92" t="inlineStr">
        <is>
          <t>C2</t>
        </is>
      </c>
      <c r="K94" s="92" t="inlineStr">
        <is>
          <t>C+</t>
        </is>
      </c>
      <c r="L94" s="92" t="inlineStr">
        <is>
          <t>D1</t>
        </is>
      </c>
      <c r="M94" s="92" t="inlineStr">
        <is>
          <t>D2</t>
        </is>
      </c>
      <c r="N94" s="92" t="inlineStr">
        <is>
          <t>E1</t>
        </is>
      </c>
      <c r="O94" s="92" t="inlineStr">
        <is>
          <t>E2</t>
        </is>
      </c>
    </row>
    <row r="95" ht="54" customHeight="1">
      <c r="A95" s="46" t="inlineStr">
        <is>
          <t>IRIS — IC title</t>
        </is>
      </c>
      <c r="B95" s="26" t="inlineStr">
        <is>
          <t>Intern / Trainee</t>
        </is>
      </c>
      <c r="C95" s="26" t="inlineStr">
        <is>
          <t>Associate</t>
        </is>
      </c>
      <c r="D95" s="26" t="inlineStr">
        <is>
          <t>Senior Associate</t>
        </is>
      </c>
      <c r="E95" s="20" t="inlineStr">
        <is>
          <t>Specialist</t>
        </is>
      </c>
      <c r="F95" s="20" t="inlineStr">
        <is>
          <t>Senior Specialist</t>
        </is>
      </c>
      <c r="G95" s="20" t="inlineStr">
        <is>
          <t>Lead Specialist</t>
        </is>
      </c>
      <c r="H95" s="30" t="inlineStr">
        <is>
          <t>Practice Lead · Player-Coach</t>
        </is>
      </c>
      <c r="I95" s="33" t="inlineStr">
        <is>
          <t>Principal</t>
        </is>
      </c>
      <c r="J95" s="33" t="inlineStr">
        <is>
          <t>Senior Principal / Architect</t>
        </is>
      </c>
      <c r="K95" s="36" t="inlineStr">
        <is>
          <t>Group Head · Player-Coach</t>
        </is>
      </c>
      <c r="L95" s="39" t="inlineStr">
        <is>
          <t>Chief Specialist / Distinguished Principal</t>
        </is>
      </c>
      <c r="M95" s="39" t="inlineStr">
        <is>
          <t>—</t>
        </is>
      </c>
      <c r="N95" s="42" t="inlineStr">
        <is>
          <t>—</t>
        </is>
      </c>
      <c r="O95" s="42" t="inlineStr">
        <is>
          <t>—</t>
        </is>
      </c>
    </row>
    <row r="96" ht="54" customHeight="1">
      <c r="A96" s="46" t="inlineStr">
        <is>
          <t>IRIS — Manager title</t>
        </is>
      </c>
      <c r="B96" s="26" t="inlineStr"/>
      <c r="C96" s="26" t="inlineStr"/>
      <c r="D96" s="26" t="inlineStr"/>
      <c r="E96" s="20" t="inlineStr">
        <is>
          <t>Team Lead</t>
        </is>
      </c>
      <c r="F96" s="20" t="inlineStr">
        <is>
          <t>Manager</t>
        </is>
      </c>
      <c r="G96" s="20" t="inlineStr">
        <is>
          <t>Senior Manager</t>
        </is>
      </c>
      <c r="H96" s="30" t="inlineStr">
        <is>
          <t>Practice Lead · Player-Coach</t>
        </is>
      </c>
      <c r="I96" s="33" t="inlineStr">
        <is>
          <t>Associate Head</t>
        </is>
      </c>
      <c r="J96" s="33" t="inlineStr">
        <is>
          <t>Head of Function</t>
        </is>
      </c>
      <c r="K96" s="36" t="inlineStr">
        <is>
          <t>Group Head · Player-Coach</t>
        </is>
      </c>
      <c r="L96" s="39" t="inlineStr">
        <is>
          <t>Associate Vice President / Business Head</t>
        </is>
      </c>
      <c r="M96" s="39" t="inlineStr">
        <is>
          <t>Vice President</t>
        </is>
      </c>
      <c r="N96" s="42" t="inlineStr">
        <is>
          <t>CXO / President</t>
        </is>
      </c>
      <c r="O96" s="42" t="inlineStr">
        <is>
          <t>Chief Executive Officer</t>
        </is>
      </c>
    </row>
    <row r="97" ht="15" customHeight="1">
      <c r="A97" s="46" t="inlineStr">
        <is>
          <t>IRIS — people at level</t>
        </is>
      </c>
      <c r="B97" s="26" t="n">
        <v>1</v>
      </c>
      <c r="C97" s="26" t="inlineStr"/>
      <c r="D97" s="26" t="inlineStr"/>
      <c r="E97" s="20" t="inlineStr"/>
      <c r="F97" s="20" t="inlineStr"/>
      <c r="G97" s="20" t="inlineStr"/>
      <c r="H97" s="30" t="inlineStr"/>
      <c r="I97" s="33" t="inlineStr"/>
      <c r="J97" s="33" t="inlineStr"/>
      <c r="K97" s="36" t="inlineStr"/>
      <c r="L97" s="39" t="inlineStr"/>
      <c r="M97" s="39" t="inlineStr"/>
      <c r="N97" s="42" t="inlineStr"/>
      <c r="O97" s="42" t="inlineStr"/>
    </row>
    <row r="98" ht="41" customHeight="1">
      <c r="A98" s="13" t="inlineStr">
        <is>
          <t>IRIS Vs Competitor Benchmark — SaaS product ladder · informed by Atlassian, Pragmatic</t>
        </is>
      </c>
      <c r="B98" s="15" t="inlineStr"/>
      <c r="C98" s="15" t="inlineStr"/>
      <c r="D98" s="15" t="inlineStr">
        <is>
          <t>Associate PM</t>
        </is>
      </c>
      <c r="E98" s="15" t="inlineStr">
        <is>
          <t>Product Manager</t>
        </is>
      </c>
      <c r="F98" s="15" t="inlineStr">
        <is>
          <t>Senior PM</t>
        </is>
      </c>
      <c r="G98" s="15" t="inlineStr">
        <is>
          <t>Principal / Group PM</t>
        </is>
      </c>
      <c r="H98" s="15" t="inlineStr"/>
      <c r="I98" s="15" t="inlineStr">
        <is>
          <t>Group PM / Head of Product</t>
        </is>
      </c>
      <c r="J98" s="15" t="inlineStr">
        <is>
          <t>Director of Product</t>
        </is>
      </c>
      <c r="K98" s="15" t="inlineStr"/>
      <c r="L98" s="15" t="inlineStr">
        <is>
          <t>VP Product</t>
        </is>
      </c>
      <c r="M98" s="15" t="inlineStr"/>
      <c r="N98" s="15" t="inlineStr">
        <is>
          <t>Chief Product Officer</t>
        </is>
      </c>
      <c r="O98" s="15" t="inlineStr"/>
    </row>
    <row r="99" ht="15" customHeight="1"/>
    <row r="100" ht="20" customHeight="1">
      <c r="A100" s="172" t="inlineStr">
        <is>
          <t>Datatech - Outreach — 8 people</t>
        </is>
      </c>
    </row>
    <row r="101" ht="15" customHeight="1">
      <c r="A101" s="208" t="inlineStr">
        <is>
          <t>IRIS Sales &amp; Business Development Vs · Standard: SaaS sales ladder · SDR → AE → Enterprise AE → VP / CRO; MEDDICC-style qualification · 7 here</t>
        </is>
      </c>
      <c r="B101" s="210" t="n"/>
      <c r="C101" s="210" t="n"/>
      <c r="D101" s="210" t="n"/>
      <c r="E101" s="210" t="n"/>
      <c r="F101" s="210" t="n"/>
      <c r="G101" s="210" t="n"/>
      <c r="H101" s="210" t="n"/>
      <c r="I101" s="210" t="n"/>
      <c r="J101" s="210" t="n"/>
      <c r="K101" s="210" t="n"/>
      <c r="L101" s="210" t="n"/>
      <c r="M101" s="210" t="n"/>
      <c r="N101" s="210" t="n"/>
      <c r="O101" s="209" t="n"/>
    </row>
    <row r="102" ht="15" customHeight="1">
      <c r="A102" s="92" t="inlineStr">
        <is>
          <t>Ladder / company</t>
        </is>
      </c>
      <c r="B102" s="92" t="inlineStr">
        <is>
          <t>A1</t>
        </is>
      </c>
      <c r="C102" s="92" t="inlineStr">
        <is>
          <t>A2</t>
        </is>
      </c>
      <c r="D102" s="92" t="inlineStr">
        <is>
          <t>A3</t>
        </is>
      </c>
      <c r="E102" s="92" t="inlineStr">
        <is>
          <t>B1</t>
        </is>
      </c>
      <c r="F102" s="92" t="inlineStr">
        <is>
          <t>B2</t>
        </is>
      </c>
      <c r="G102" s="92" t="inlineStr">
        <is>
          <t>B3</t>
        </is>
      </c>
      <c r="H102" s="92" t="inlineStr">
        <is>
          <t>B+</t>
        </is>
      </c>
      <c r="I102" s="92" t="inlineStr">
        <is>
          <t>C1</t>
        </is>
      </c>
      <c r="J102" s="92" t="inlineStr">
        <is>
          <t>C2</t>
        </is>
      </c>
      <c r="K102" s="92" t="inlineStr">
        <is>
          <t>C+</t>
        </is>
      </c>
      <c r="L102" s="92" t="inlineStr">
        <is>
          <t>D1</t>
        </is>
      </c>
      <c r="M102" s="92" t="inlineStr">
        <is>
          <t>D2</t>
        </is>
      </c>
      <c r="N102" s="92" t="inlineStr">
        <is>
          <t>E1</t>
        </is>
      </c>
      <c r="O102" s="92" t="inlineStr">
        <is>
          <t>E2</t>
        </is>
      </c>
    </row>
    <row r="103" ht="54" customHeight="1">
      <c r="A103" s="46" t="inlineStr">
        <is>
          <t>IRIS — IC title</t>
        </is>
      </c>
      <c r="B103" s="26" t="inlineStr">
        <is>
          <t>Intern / Trainee</t>
        </is>
      </c>
      <c r="C103" s="26" t="inlineStr">
        <is>
          <t>Associate</t>
        </is>
      </c>
      <c r="D103" s="26" t="inlineStr">
        <is>
          <t>Senior Associate</t>
        </is>
      </c>
      <c r="E103" s="20" t="inlineStr">
        <is>
          <t>Specialist</t>
        </is>
      </c>
      <c r="F103" s="20" t="inlineStr">
        <is>
          <t>Senior Specialist</t>
        </is>
      </c>
      <c r="G103" s="20" t="inlineStr">
        <is>
          <t>Lead Specialist</t>
        </is>
      </c>
      <c r="H103" s="30" t="inlineStr">
        <is>
          <t>Practice Lead · Player-Coach</t>
        </is>
      </c>
      <c r="I103" s="33" t="inlineStr">
        <is>
          <t>Principal</t>
        </is>
      </c>
      <c r="J103" s="33" t="inlineStr">
        <is>
          <t>Senior Principal / Architect</t>
        </is>
      </c>
      <c r="K103" s="36" t="inlineStr">
        <is>
          <t>Group Head · Player-Coach</t>
        </is>
      </c>
      <c r="L103" s="39" t="inlineStr">
        <is>
          <t>Chief Specialist / Distinguished Principal</t>
        </is>
      </c>
      <c r="M103" s="39" t="inlineStr">
        <is>
          <t>—</t>
        </is>
      </c>
      <c r="N103" s="42" t="inlineStr">
        <is>
          <t>—</t>
        </is>
      </c>
      <c r="O103" s="42" t="inlineStr">
        <is>
          <t>—</t>
        </is>
      </c>
    </row>
    <row r="104" ht="54" customHeight="1">
      <c r="A104" s="46" t="inlineStr">
        <is>
          <t>IRIS — Manager title</t>
        </is>
      </c>
      <c r="B104" s="26" t="inlineStr"/>
      <c r="C104" s="26" t="inlineStr"/>
      <c r="D104" s="26" t="inlineStr"/>
      <c r="E104" s="20" t="inlineStr">
        <is>
          <t>Team Lead</t>
        </is>
      </c>
      <c r="F104" s="20" t="inlineStr">
        <is>
          <t>Manager</t>
        </is>
      </c>
      <c r="G104" s="20" t="inlineStr">
        <is>
          <t>Senior Manager</t>
        </is>
      </c>
      <c r="H104" s="30" t="inlineStr">
        <is>
          <t>Practice Lead · Player-Coach</t>
        </is>
      </c>
      <c r="I104" s="33" t="inlineStr">
        <is>
          <t>Associate Head</t>
        </is>
      </c>
      <c r="J104" s="33" t="inlineStr">
        <is>
          <t>Head of Function</t>
        </is>
      </c>
      <c r="K104" s="36" t="inlineStr">
        <is>
          <t>Group Head · Player-Coach</t>
        </is>
      </c>
      <c r="L104" s="39" t="inlineStr">
        <is>
          <t>Associate Vice President / Business Head</t>
        </is>
      </c>
      <c r="M104" s="39" t="inlineStr">
        <is>
          <t>Vice President</t>
        </is>
      </c>
      <c r="N104" s="42" t="inlineStr">
        <is>
          <t>CXO / President</t>
        </is>
      </c>
      <c r="O104" s="42" t="inlineStr">
        <is>
          <t>Chief Executive Officer</t>
        </is>
      </c>
    </row>
    <row r="105" ht="15" customHeight="1">
      <c r="A105" s="46" t="inlineStr">
        <is>
          <t>IRIS — people at level</t>
        </is>
      </c>
      <c r="B105" s="26" t="inlineStr"/>
      <c r="C105" s="26" t="n">
        <v>2</v>
      </c>
      <c r="D105" s="26" t="n">
        <v>3</v>
      </c>
      <c r="E105" s="20" t="inlineStr"/>
      <c r="F105" s="20" t="n">
        <v>2</v>
      </c>
      <c r="G105" s="20" t="inlineStr"/>
      <c r="H105" s="30" t="inlineStr"/>
      <c r="I105" s="33" t="inlineStr"/>
      <c r="J105" s="33" t="inlineStr"/>
      <c r="K105" s="36" t="inlineStr"/>
      <c r="L105" s="39" t="inlineStr"/>
      <c r="M105" s="39" t="inlineStr"/>
      <c r="N105" s="42" t="inlineStr"/>
      <c r="O105" s="42" t="inlineStr"/>
    </row>
    <row r="106" ht="54" customHeight="1">
      <c r="A106" s="13" t="inlineStr">
        <is>
          <t>IRIS Vs Competitor Benchmark — SaaS sales ladder — IC · informed by SaaStr and title guides, C16</t>
        </is>
      </c>
      <c r="B106" s="15" t="inlineStr"/>
      <c r="C106" s="15" t="inlineStr">
        <is>
          <t>SDR / BDR</t>
        </is>
      </c>
      <c r="D106" s="15" t="inlineStr">
        <is>
          <t>Senior SDR</t>
        </is>
      </c>
      <c r="E106" s="15" t="inlineStr">
        <is>
          <t>Account Executive · SMB</t>
        </is>
      </c>
      <c r="F106" s="15" t="inlineStr">
        <is>
          <t>Mid-Market AE</t>
        </is>
      </c>
      <c r="G106" s="15" t="inlineStr">
        <is>
          <t>Enterprise AE</t>
        </is>
      </c>
      <c r="H106" s="15" t="inlineStr"/>
      <c r="I106" s="15" t="inlineStr">
        <is>
          <t>Strategic / Principal AE</t>
        </is>
      </c>
      <c r="J106" s="15" t="inlineStr"/>
      <c r="K106" s="15" t="inlineStr"/>
      <c r="L106" s="15" t="inlineStr"/>
      <c r="M106" s="15" t="inlineStr"/>
      <c r="N106" s="15" t="inlineStr"/>
      <c r="O106" s="15" t="inlineStr"/>
    </row>
    <row r="107" ht="54" customHeight="1">
      <c r="A107" s="13" t="inlineStr">
        <is>
          <t>Job postings: player-coach sales leaders</t>
        </is>
      </c>
      <c r="B107" s="15" t="inlineStr"/>
      <c r="C107" s="15" t="inlineStr"/>
      <c r="D107" s="15" t="inlineStr"/>
      <c r="E107" s="15" t="inlineStr"/>
      <c r="F107" s="15" t="inlineStr"/>
      <c r="G107" s="15" t="inlineStr"/>
      <c r="H107" s="15" t="inlineStr">
        <is>
          <t>Sales Lead — Player/Coach · carries quota</t>
        </is>
      </c>
      <c r="I107" s="15" t="inlineStr"/>
      <c r="J107" s="15" t="inlineStr"/>
      <c r="K107" s="15" t="inlineStr">
        <is>
          <t>Head of Revenue — Player/Coach</t>
        </is>
      </c>
      <c r="L107" s="15" t="inlineStr"/>
      <c r="M107" s="15" t="inlineStr"/>
      <c r="N107" s="15" t="inlineStr"/>
      <c r="O107" s="15" t="inlineStr"/>
    </row>
    <row r="108" ht="54" customHeight="1">
      <c r="A108" s="13" t="inlineStr">
        <is>
          <t>IRIS Vs Competitor Benchmark — SaaS sales ladder — management · informed by title guides, C16</t>
        </is>
      </c>
      <c r="B108" s="15" t="inlineStr"/>
      <c r="C108" s="15" t="inlineStr"/>
      <c r="D108" s="15" t="inlineStr"/>
      <c r="E108" s="15" t="inlineStr">
        <is>
          <t>SDR Team Lead</t>
        </is>
      </c>
      <c r="F108" s="15" t="inlineStr">
        <is>
          <t>Sales Manager</t>
        </is>
      </c>
      <c r="G108" s="15" t="inlineStr">
        <is>
          <t>Senior Sales Manager</t>
        </is>
      </c>
      <c r="H108" s="15" t="inlineStr"/>
      <c r="I108" s="15" t="inlineStr">
        <is>
          <t>Regional Sales Head</t>
        </is>
      </c>
      <c r="J108" s="15" t="inlineStr">
        <is>
          <t>Director of Sales</t>
        </is>
      </c>
      <c r="K108" s="15" t="inlineStr"/>
      <c r="L108" s="15" t="inlineStr">
        <is>
          <t>VP Sales</t>
        </is>
      </c>
      <c r="M108" s="15" t="inlineStr">
        <is>
          <t>SVP Sales</t>
        </is>
      </c>
      <c r="N108" s="15" t="inlineStr">
        <is>
          <t>Chief Revenue Officer</t>
        </is>
      </c>
      <c r="O108" s="15" t="inlineStr"/>
    </row>
    <row r="109" ht="15" customHeight="1"/>
    <row r="110" ht="15" customHeight="1">
      <c r="A110" s="208" t="inlineStr">
        <is>
          <t>IRIS Data &amp; Analytics Vs · Standard: DAMA-DMBOK · 11 knowledge areas around data governance · 1 here</t>
        </is>
      </c>
      <c r="B110" s="210" t="n"/>
      <c r="C110" s="210" t="n"/>
      <c r="D110" s="210" t="n"/>
      <c r="E110" s="210" t="n"/>
      <c r="F110" s="210" t="n"/>
      <c r="G110" s="210" t="n"/>
      <c r="H110" s="210" t="n"/>
      <c r="I110" s="210" t="n"/>
      <c r="J110" s="210" t="n"/>
      <c r="K110" s="210" t="n"/>
      <c r="L110" s="210" t="n"/>
      <c r="M110" s="210" t="n"/>
      <c r="N110" s="210" t="n"/>
      <c r="O110" s="209" t="n"/>
    </row>
    <row r="111" ht="15" customHeight="1">
      <c r="A111" s="92" t="inlineStr">
        <is>
          <t>Ladder / company</t>
        </is>
      </c>
      <c r="B111" s="92" t="inlineStr">
        <is>
          <t>A1</t>
        </is>
      </c>
      <c r="C111" s="92" t="inlineStr">
        <is>
          <t>A2</t>
        </is>
      </c>
      <c r="D111" s="92" t="inlineStr">
        <is>
          <t>A3</t>
        </is>
      </c>
      <c r="E111" s="92" t="inlineStr">
        <is>
          <t>B1</t>
        </is>
      </c>
      <c r="F111" s="92" t="inlineStr">
        <is>
          <t>B2</t>
        </is>
      </c>
      <c r="G111" s="92" t="inlineStr">
        <is>
          <t>B3</t>
        </is>
      </c>
      <c r="H111" s="92" t="inlineStr">
        <is>
          <t>B+</t>
        </is>
      </c>
      <c r="I111" s="92" t="inlineStr">
        <is>
          <t>C1</t>
        </is>
      </c>
      <c r="J111" s="92" t="inlineStr">
        <is>
          <t>C2</t>
        </is>
      </c>
      <c r="K111" s="92" t="inlineStr">
        <is>
          <t>C+</t>
        </is>
      </c>
      <c r="L111" s="92" t="inlineStr">
        <is>
          <t>D1</t>
        </is>
      </c>
      <c r="M111" s="92" t="inlineStr">
        <is>
          <t>D2</t>
        </is>
      </c>
      <c r="N111" s="92" t="inlineStr">
        <is>
          <t>E1</t>
        </is>
      </c>
      <c r="O111" s="92" t="inlineStr">
        <is>
          <t>E2</t>
        </is>
      </c>
    </row>
    <row r="112" ht="54" customHeight="1">
      <c r="A112" s="46" t="inlineStr">
        <is>
          <t>IRIS — IC title</t>
        </is>
      </c>
      <c r="B112" s="26" t="inlineStr">
        <is>
          <t>Intern / Trainee</t>
        </is>
      </c>
      <c r="C112" s="26" t="inlineStr">
        <is>
          <t>Associate</t>
        </is>
      </c>
      <c r="D112" s="26" t="inlineStr">
        <is>
          <t>Senior Associate</t>
        </is>
      </c>
      <c r="E112" s="20" t="inlineStr">
        <is>
          <t>Specialist</t>
        </is>
      </c>
      <c r="F112" s="20" t="inlineStr">
        <is>
          <t>Senior Specialist</t>
        </is>
      </c>
      <c r="G112" s="20" t="inlineStr">
        <is>
          <t>Lead Specialist</t>
        </is>
      </c>
      <c r="H112" s="30" t="inlineStr">
        <is>
          <t>Practice Lead · Player-Coach</t>
        </is>
      </c>
      <c r="I112" s="33" t="inlineStr">
        <is>
          <t>Principal</t>
        </is>
      </c>
      <c r="J112" s="33" t="inlineStr">
        <is>
          <t>Senior Principal / Architect</t>
        </is>
      </c>
      <c r="K112" s="36" t="inlineStr">
        <is>
          <t>Group Head · Player-Coach</t>
        </is>
      </c>
      <c r="L112" s="39" t="inlineStr">
        <is>
          <t>Chief Specialist / Distinguished Principal</t>
        </is>
      </c>
      <c r="M112" s="39" t="inlineStr">
        <is>
          <t>—</t>
        </is>
      </c>
      <c r="N112" s="42" t="inlineStr">
        <is>
          <t>—</t>
        </is>
      </c>
      <c r="O112" s="42" t="inlineStr">
        <is>
          <t>—</t>
        </is>
      </c>
    </row>
    <row r="113" ht="54" customHeight="1">
      <c r="A113" s="46" t="inlineStr">
        <is>
          <t>IRIS — Manager title</t>
        </is>
      </c>
      <c r="B113" s="26" t="inlineStr"/>
      <c r="C113" s="26" t="inlineStr"/>
      <c r="D113" s="26" t="inlineStr"/>
      <c r="E113" s="20" t="inlineStr">
        <is>
          <t>Team Lead</t>
        </is>
      </c>
      <c r="F113" s="20" t="inlineStr">
        <is>
          <t>Manager</t>
        </is>
      </c>
      <c r="G113" s="20" t="inlineStr">
        <is>
          <t>Senior Manager</t>
        </is>
      </c>
      <c r="H113" s="30" t="inlineStr">
        <is>
          <t>Practice Lead · Player-Coach</t>
        </is>
      </c>
      <c r="I113" s="33" t="inlineStr">
        <is>
          <t>Associate Head</t>
        </is>
      </c>
      <c r="J113" s="33" t="inlineStr">
        <is>
          <t>Head of Function</t>
        </is>
      </c>
      <c r="K113" s="36" t="inlineStr">
        <is>
          <t>Group Head · Player-Coach</t>
        </is>
      </c>
      <c r="L113" s="39" t="inlineStr">
        <is>
          <t>Associate Vice President / Business Head</t>
        </is>
      </c>
      <c r="M113" s="39" t="inlineStr">
        <is>
          <t>Vice President</t>
        </is>
      </c>
      <c r="N113" s="42" t="inlineStr">
        <is>
          <t>CXO / President</t>
        </is>
      </c>
      <c r="O113" s="42" t="inlineStr">
        <is>
          <t>Chief Executive Officer</t>
        </is>
      </c>
    </row>
    <row r="114" ht="15" customHeight="1">
      <c r="A114" s="46" t="inlineStr">
        <is>
          <t>IRIS — people at level</t>
        </is>
      </c>
      <c r="B114" s="26" t="inlineStr"/>
      <c r="C114" s="26" t="n">
        <v>1</v>
      </c>
      <c r="D114" s="26" t="inlineStr"/>
      <c r="E114" s="20" t="inlineStr"/>
      <c r="F114" s="20" t="inlineStr"/>
      <c r="G114" s="20" t="inlineStr"/>
      <c r="H114" s="30" t="inlineStr"/>
      <c r="I114" s="33" t="inlineStr"/>
      <c r="J114" s="33" t="inlineStr"/>
      <c r="K114" s="36" t="inlineStr"/>
      <c r="L114" s="39" t="inlineStr"/>
      <c r="M114" s="39" t="inlineStr"/>
      <c r="N114" s="42" t="inlineStr"/>
      <c r="O114" s="42" t="inlineStr"/>
    </row>
    <row r="115" ht="28" customHeight="1">
      <c r="A115" s="13" t="inlineStr">
        <is>
          <t>Atlassian company-wide P-levels</t>
        </is>
      </c>
      <c r="B115" s="15" t="inlineStr"/>
      <c r="C115" s="15" t="inlineStr">
        <is>
          <t>P30 Analyst</t>
        </is>
      </c>
      <c r="D115" s="15" t="inlineStr">
        <is>
          <t>P40 Analyst</t>
        </is>
      </c>
      <c r="E115" s="15" t="inlineStr">
        <is>
          <t>P40</t>
        </is>
      </c>
      <c r="F115" s="15" t="inlineStr">
        <is>
          <t>P50 Senior Analyst</t>
        </is>
      </c>
      <c r="G115" s="15" t="inlineStr">
        <is>
          <t>P50 / Lead</t>
        </is>
      </c>
      <c r="H115" s="15" t="inlineStr"/>
      <c r="I115" s="15" t="inlineStr">
        <is>
          <t>P60 Principal</t>
        </is>
      </c>
      <c r="J115" s="15" t="inlineStr"/>
      <c r="K115" s="15" t="inlineStr"/>
      <c r="L115" s="15" t="inlineStr"/>
      <c r="M115" s="15" t="inlineStr"/>
      <c r="N115" s="15" t="inlineStr"/>
      <c r="O115" s="15" t="inlineStr"/>
    </row>
    <row r="116" ht="41" customHeight="1">
      <c r="A116" s="13" t="inlineStr">
        <is>
          <t>IRIS Vs Competitor Benchmark — data analyst ladder · informed by Radford codes</t>
        </is>
      </c>
      <c r="B116" s="15" t="inlineStr"/>
      <c r="C116" s="15" t="inlineStr">
        <is>
          <t>Data Analyst I</t>
        </is>
      </c>
      <c r="D116" s="15" t="inlineStr">
        <is>
          <t>Data Analyst II</t>
        </is>
      </c>
      <c r="E116" s="15" t="inlineStr">
        <is>
          <t>Senior Data Analyst</t>
        </is>
      </c>
      <c r="F116" s="15" t="inlineStr">
        <is>
          <t>Lead Data Analyst</t>
        </is>
      </c>
      <c r="G116" s="15" t="inlineStr">
        <is>
          <t>Principal / Analytics Manager</t>
        </is>
      </c>
      <c r="H116" s="15" t="inlineStr"/>
      <c r="I116" s="15" t="inlineStr">
        <is>
          <t>Head of Analytics</t>
        </is>
      </c>
      <c r="J116" s="15" t="inlineStr"/>
      <c r="K116" s="15" t="inlineStr"/>
      <c r="L116" s="15" t="inlineStr"/>
      <c r="M116" s="15" t="inlineStr"/>
      <c r="N116" s="15" t="inlineStr"/>
      <c r="O116" s="15" t="inlineStr"/>
    </row>
    <row r="117" ht="15" customHeight="1"/>
    <row r="118" ht="20" customHeight="1">
      <c r="A118" s="172" t="inlineStr">
        <is>
          <t>Marketing — 5 people</t>
        </is>
      </c>
    </row>
    <row r="119" ht="15" customHeight="1">
      <c r="A119" s="208" t="inlineStr">
        <is>
          <t>IRIS Marketing &amp; Communications Vs · Standard: CIM Global Professional Marketing Framework — proficiency Aware → Active learner → Able → Accomplished → Authoritative · 4 here</t>
        </is>
      </c>
      <c r="B119" s="210" t="n"/>
      <c r="C119" s="210" t="n"/>
      <c r="D119" s="210" t="n"/>
      <c r="E119" s="210" t="n"/>
      <c r="F119" s="210" t="n"/>
      <c r="G119" s="210" t="n"/>
      <c r="H119" s="210" t="n"/>
      <c r="I119" s="210" t="n"/>
      <c r="J119" s="210" t="n"/>
      <c r="K119" s="210" t="n"/>
      <c r="L119" s="210" t="n"/>
      <c r="M119" s="210" t="n"/>
      <c r="N119" s="210" t="n"/>
      <c r="O119" s="209" t="n"/>
    </row>
    <row r="120" ht="15" customHeight="1">
      <c r="A120" s="92" t="inlineStr">
        <is>
          <t>Ladder / company</t>
        </is>
      </c>
      <c r="B120" s="92" t="inlineStr">
        <is>
          <t>A1</t>
        </is>
      </c>
      <c r="C120" s="92" t="inlineStr">
        <is>
          <t>A2</t>
        </is>
      </c>
      <c r="D120" s="92" t="inlineStr">
        <is>
          <t>A3</t>
        </is>
      </c>
      <c r="E120" s="92" t="inlineStr">
        <is>
          <t>B1</t>
        </is>
      </c>
      <c r="F120" s="92" t="inlineStr">
        <is>
          <t>B2</t>
        </is>
      </c>
      <c r="G120" s="92" t="inlineStr">
        <is>
          <t>B3</t>
        </is>
      </c>
      <c r="H120" s="92" t="inlineStr">
        <is>
          <t>B+</t>
        </is>
      </c>
      <c r="I120" s="92" t="inlineStr">
        <is>
          <t>C1</t>
        </is>
      </c>
      <c r="J120" s="92" t="inlineStr">
        <is>
          <t>C2</t>
        </is>
      </c>
      <c r="K120" s="92" t="inlineStr">
        <is>
          <t>C+</t>
        </is>
      </c>
      <c r="L120" s="92" t="inlineStr">
        <is>
          <t>D1</t>
        </is>
      </c>
      <c r="M120" s="92" t="inlineStr">
        <is>
          <t>D2</t>
        </is>
      </c>
      <c r="N120" s="92" t="inlineStr">
        <is>
          <t>E1</t>
        </is>
      </c>
      <c r="O120" s="92" t="inlineStr">
        <is>
          <t>E2</t>
        </is>
      </c>
    </row>
    <row r="121" ht="54" customHeight="1">
      <c r="A121" s="46" t="inlineStr">
        <is>
          <t>IRIS — IC title</t>
        </is>
      </c>
      <c r="B121" s="26" t="inlineStr">
        <is>
          <t>Intern / Trainee</t>
        </is>
      </c>
      <c r="C121" s="26" t="inlineStr">
        <is>
          <t>Associate</t>
        </is>
      </c>
      <c r="D121" s="26" t="inlineStr">
        <is>
          <t>Senior Associate</t>
        </is>
      </c>
      <c r="E121" s="20" t="inlineStr">
        <is>
          <t>Specialist</t>
        </is>
      </c>
      <c r="F121" s="20" t="inlineStr">
        <is>
          <t>Senior Specialist</t>
        </is>
      </c>
      <c r="G121" s="20" t="inlineStr">
        <is>
          <t>Lead Specialist</t>
        </is>
      </c>
      <c r="H121" s="30" t="inlineStr">
        <is>
          <t>Practice Lead · Player-Coach</t>
        </is>
      </c>
      <c r="I121" s="33" t="inlineStr">
        <is>
          <t>Principal</t>
        </is>
      </c>
      <c r="J121" s="33" t="inlineStr">
        <is>
          <t>Senior Principal / Architect</t>
        </is>
      </c>
      <c r="K121" s="36" t="inlineStr">
        <is>
          <t>Group Head · Player-Coach</t>
        </is>
      </c>
      <c r="L121" s="39" t="inlineStr">
        <is>
          <t>Chief Specialist / Distinguished Principal</t>
        </is>
      </c>
      <c r="M121" s="39" t="inlineStr">
        <is>
          <t>—</t>
        </is>
      </c>
      <c r="N121" s="42" t="inlineStr">
        <is>
          <t>—</t>
        </is>
      </c>
      <c r="O121" s="42" t="inlineStr">
        <is>
          <t>—</t>
        </is>
      </c>
    </row>
    <row r="122" ht="54" customHeight="1">
      <c r="A122" s="46" t="inlineStr">
        <is>
          <t>IRIS — Manager title</t>
        </is>
      </c>
      <c r="B122" s="26" t="inlineStr"/>
      <c r="C122" s="26" t="inlineStr"/>
      <c r="D122" s="26" t="inlineStr"/>
      <c r="E122" s="20" t="inlineStr">
        <is>
          <t>Team Lead</t>
        </is>
      </c>
      <c r="F122" s="20" t="inlineStr">
        <is>
          <t>Manager</t>
        </is>
      </c>
      <c r="G122" s="20" t="inlineStr">
        <is>
          <t>Senior Manager</t>
        </is>
      </c>
      <c r="H122" s="30" t="inlineStr">
        <is>
          <t>Practice Lead · Player-Coach</t>
        </is>
      </c>
      <c r="I122" s="33" t="inlineStr">
        <is>
          <t>Associate Head</t>
        </is>
      </c>
      <c r="J122" s="33" t="inlineStr">
        <is>
          <t>Head of Function</t>
        </is>
      </c>
      <c r="K122" s="36" t="inlineStr">
        <is>
          <t>Group Head · Player-Coach</t>
        </is>
      </c>
      <c r="L122" s="39" t="inlineStr">
        <is>
          <t>Associate Vice President / Business Head</t>
        </is>
      </c>
      <c r="M122" s="39" t="inlineStr">
        <is>
          <t>Vice President</t>
        </is>
      </c>
      <c r="N122" s="42" t="inlineStr">
        <is>
          <t>CXO / President</t>
        </is>
      </c>
      <c r="O122" s="42" t="inlineStr">
        <is>
          <t>Chief Executive Officer</t>
        </is>
      </c>
    </row>
    <row r="123" ht="15" customHeight="1">
      <c r="A123" s="46" t="inlineStr">
        <is>
          <t>IRIS — people at level</t>
        </is>
      </c>
      <c r="B123" s="26" t="inlineStr"/>
      <c r="C123" s="26" t="inlineStr"/>
      <c r="D123" s="26" t="n">
        <v>2</v>
      </c>
      <c r="E123" s="20" t="inlineStr"/>
      <c r="F123" s="20" t="n">
        <v>1</v>
      </c>
      <c r="G123" s="20" t="inlineStr"/>
      <c r="H123" s="30" t="inlineStr"/>
      <c r="I123" s="33" t="inlineStr"/>
      <c r="J123" s="33" t="inlineStr"/>
      <c r="K123" s="36" t="inlineStr"/>
      <c r="L123" s="39" t="inlineStr"/>
      <c r="M123" s="39" t="inlineStr"/>
      <c r="N123" s="42" t="inlineStr"/>
      <c r="O123" s="42" t="inlineStr"/>
    </row>
    <row r="124" ht="54" customHeight="1">
      <c r="A124" s="13" t="inlineStr">
        <is>
          <t>IRIS Vs Market Benchmark — CIM proficiency scale · CIM sets the scale, not the level match</t>
        </is>
      </c>
      <c r="B124" s="15" t="inlineStr">
        <is>
          <t>1 Aware</t>
        </is>
      </c>
      <c r="C124" s="15" t="inlineStr">
        <is>
          <t>2 Active learner</t>
        </is>
      </c>
      <c r="D124" s="15" t="inlineStr">
        <is>
          <t>2–3</t>
        </is>
      </c>
      <c r="E124" s="15" t="inlineStr">
        <is>
          <t>3 Able</t>
        </is>
      </c>
      <c r="F124" s="15" t="inlineStr">
        <is>
          <t>3–4</t>
        </is>
      </c>
      <c r="G124" s="15" t="inlineStr">
        <is>
          <t>4 Accomplished</t>
        </is>
      </c>
      <c r="H124" s="15" t="inlineStr"/>
      <c r="I124" s="15" t="inlineStr">
        <is>
          <t>4</t>
        </is>
      </c>
      <c r="J124" s="15" t="inlineStr">
        <is>
          <t>5 Authoritative</t>
        </is>
      </c>
      <c r="K124" s="15" t="inlineStr"/>
      <c r="L124" s="15" t="inlineStr"/>
      <c r="M124" s="15" t="inlineStr"/>
      <c r="N124" s="15" t="inlineStr"/>
      <c r="O124" s="15" t="inlineStr"/>
    </row>
    <row r="125" ht="41" customHeight="1">
      <c r="A125" s="13" t="inlineStr">
        <is>
          <t>IRIS Vs Competitor Benchmark — SaaS marketing ladder · informed by Radford codes</t>
        </is>
      </c>
      <c r="B125" s="15" t="inlineStr"/>
      <c r="C125" s="15" t="inlineStr">
        <is>
          <t>Marketing Associate</t>
        </is>
      </c>
      <c r="D125" s="15" t="inlineStr">
        <is>
          <t>Marketing Specialist</t>
        </is>
      </c>
      <c r="E125" s="15" t="inlineStr">
        <is>
          <t>Senior Marketing Specialist</t>
        </is>
      </c>
      <c r="F125" s="15" t="inlineStr">
        <is>
          <t>Marketing Manager</t>
        </is>
      </c>
      <c r="G125" s="15" t="inlineStr">
        <is>
          <t>Senior Marketing Manager</t>
        </is>
      </c>
      <c r="H125" s="15" t="inlineStr"/>
      <c r="I125" s="15" t="inlineStr">
        <is>
          <t>Head of Marketing · function</t>
        </is>
      </c>
      <c r="J125" s="15" t="inlineStr">
        <is>
          <t>Director of Marketing</t>
        </is>
      </c>
      <c r="K125" s="15" t="inlineStr"/>
      <c r="L125" s="15" t="inlineStr">
        <is>
          <t>VP Marketing</t>
        </is>
      </c>
      <c r="M125" s="15" t="inlineStr"/>
      <c r="N125" s="15" t="inlineStr">
        <is>
          <t>CMO</t>
        </is>
      </c>
      <c r="O125" s="15" t="inlineStr"/>
    </row>
    <row r="126" ht="15" customHeight="1"/>
    <row r="127" ht="15" customHeight="1">
      <c r="A127" s="208" t="inlineStr">
        <is>
          <t>IRIS Design &amp; Creative Vs · Standard: UX career ladder Junior → Designer → Senior → Lead → Principal; WCAG accessibility · 1 here</t>
        </is>
      </c>
      <c r="B127" s="210" t="n"/>
      <c r="C127" s="210" t="n"/>
      <c r="D127" s="210" t="n"/>
      <c r="E127" s="210" t="n"/>
      <c r="F127" s="210" t="n"/>
      <c r="G127" s="210" t="n"/>
      <c r="H127" s="210" t="n"/>
      <c r="I127" s="210" t="n"/>
      <c r="J127" s="210" t="n"/>
      <c r="K127" s="210" t="n"/>
      <c r="L127" s="210" t="n"/>
      <c r="M127" s="210" t="n"/>
      <c r="N127" s="210" t="n"/>
      <c r="O127" s="209" t="n"/>
    </row>
    <row r="128" ht="15" customHeight="1">
      <c r="A128" s="92" t="inlineStr">
        <is>
          <t>Ladder / company</t>
        </is>
      </c>
      <c r="B128" s="92" t="inlineStr">
        <is>
          <t>A1</t>
        </is>
      </c>
      <c r="C128" s="92" t="inlineStr">
        <is>
          <t>A2</t>
        </is>
      </c>
      <c r="D128" s="92" t="inlineStr">
        <is>
          <t>A3</t>
        </is>
      </c>
      <c r="E128" s="92" t="inlineStr">
        <is>
          <t>B1</t>
        </is>
      </c>
      <c r="F128" s="92" t="inlineStr">
        <is>
          <t>B2</t>
        </is>
      </c>
      <c r="G128" s="92" t="inlineStr">
        <is>
          <t>B3</t>
        </is>
      </c>
      <c r="H128" s="92" t="inlineStr">
        <is>
          <t>B+</t>
        </is>
      </c>
      <c r="I128" s="92" t="inlineStr">
        <is>
          <t>C1</t>
        </is>
      </c>
      <c r="J128" s="92" t="inlineStr">
        <is>
          <t>C2</t>
        </is>
      </c>
      <c r="K128" s="92" t="inlineStr">
        <is>
          <t>C+</t>
        </is>
      </c>
      <c r="L128" s="92" t="inlineStr">
        <is>
          <t>D1</t>
        </is>
      </c>
      <c r="M128" s="92" t="inlineStr">
        <is>
          <t>D2</t>
        </is>
      </c>
      <c r="N128" s="92" t="inlineStr">
        <is>
          <t>E1</t>
        </is>
      </c>
      <c r="O128" s="92" t="inlineStr">
        <is>
          <t>E2</t>
        </is>
      </c>
    </row>
    <row r="129" ht="54" customHeight="1">
      <c r="A129" s="46" t="inlineStr">
        <is>
          <t>IRIS — IC title</t>
        </is>
      </c>
      <c r="B129" s="26" t="inlineStr">
        <is>
          <t>Intern / Trainee</t>
        </is>
      </c>
      <c r="C129" s="26" t="inlineStr">
        <is>
          <t>Associate</t>
        </is>
      </c>
      <c r="D129" s="26" t="inlineStr">
        <is>
          <t>Senior Associate</t>
        </is>
      </c>
      <c r="E129" s="20" t="inlineStr">
        <is>
          <t>Specialist</t>
        </is>
      </c>
      <c r="F129" s="20" t="inlineStr">
        <is>
          <t>Senior Specialist</t>
        </is>
      </c>
      <c r="G129" s="20" t="inlineStr">
        <is>
          <t>Lead Specialist</t>
        </is>
      </c>
      <c r="H129" s="30" t="inlineStr">
        <is>
          <t>Practice Lead · Player-Coach</t>
        </is>
      </c>
      <c r="I129" s="33" t="inlineStr">
        <is>
          <t>Principal</t>
        </is>
      </c>
      <c r="J129" s="33" t="inlineStr">
        <is>
          <t>Senior Principal / Architect</t>
        </is>
      </c>
      <c r="K129" s="36" t="inlineStr">
        <is>
          <t>Group Head · Player-Coach</t>
        </is>
      </c>
      <c r="L129" s="39" t="inlineStr">
        <is>
          <t>Chief Specialist / Distinguished Principal</t>
        </is>
      </c>
      <c r="M129" s="39" t="inlineStr">
        <is>
          <t>—</t>
        </is>
      </c>
      <c r="N129" s="42" t="inlineStr">
        <is>
          <t>—</t>
        </is>
      </c>
      <c r="O129" s="42" t="inlineStr">
        <is>
          <t>—</t>
        </is>
      </c>
    </row>
    <row r="130" ht="54" customHeight="1">
      <c r="A130" s="46" t="inlineStr">
        <is>
          <t>IRIS — Manager title</t>
        </is>
      </c>
      <c r="B130" s="26" t="inlineStr"/>
      <c r="C130" s="26" t="inlineStr"/>
      <c r="D130" s="26" t="inlineStr"/>
      <c r="E130" s="20" t="inlineStr">
        <is>
          <t>Team Lead</t>
        </is>
      </c>
      <c r="F130" s="20" t="inlineStr">
        <is>
          <t>Manager</t>
        </is>
      </c>
      <c r="G130" s="20" t="inlineStr">
        <is>
          <t>Senior Manager</t>
        </is>
      </c>
      <c r="H130" s="30" t="inlineStr">
        <is>
          <t>Practice Lead · Player-Coach</t>
        </is>
      </c>
      <c r="I130" s="33" t="inlineStr">
        <is>
          <t>Associate Head</t>
        </is>
      </c>
      <c r="J130" s="33" t="inlineStr">
        <is>
          <t>Head of Function</t>
        </is>
      </c>
      <c r="K130" s="36" t="inlineStr">
        <is>
          <t>Group Head · Player-Coach</t>
        </is>
      </c>
      <c r="L130" s="39" t="inlineStr">
        <is>
          <t>Associate Vice President / Business Head</t>
        </is>
      </c>
      <c r="M130" s="39" t="inlineStr">
        <is>
          <t>Vice President</t>
        </is>
      </c>
      <c r="N130" s="42" t="inlineStr">
        <is>
          <t>CXO / President</t>
        </is>
      </c>
      <c r="O130" s="42" t="inlineStr">
        <is>
          <t>Chief Executive Officer</t>
        </is>
      </c>
    </row>
    <row r="131" ht="15" customHeight="1">
      <c r="A131" s="46" t="inlineStr">
        <is>
          <t>IRIS — people at level</t>
        </is>
      </c>
      <c r="B131" s="26" t="inlineStr"/>
      <c r="C131" s="26" t="n">
        <v>1</v>
      </c>
      <c r="D131" s="26" t="inlineStr"/>
      <c r="E131" s="20" t="inlineStr"/>
      <c r="F131" s="20" t="inlineStr"/>
      <c r="G131" s="20" t="inlineStr"/>
      <c r="H131" s="30" t="inlineStr"/>
      <c r="I131" s="33" t="inlineStr"/>
      <c r="J131" s="33" t="inlineStr"/>
      <c r="K131" s="36" t="inlineStr"/>
      <c r="L131" s="39" t="inlineStr"/>
      <c r="M131" s="39" t="inlineStr"/>
      <c r="N131" s="42" t="inlineStr"/>
      <c r="O131" s="42" t="inlineStr"/>
    </row>
    <row r="132" ht="41" customHeight="1">
      <c r="A132" s="13" t="inlineStr">
        <is>
          <t>IRIS Vs Competitor Benchmark — UX / design ladder · informed by a UX career-ladder guide</t>
        </is>
      </c>
      <c r="B132" s="15" t="inlineStr"/>
      <c r="C132" s="15" t="inlineStr">
        <is>
          <t>Junior Designer</t>
        </is>
      </c>
      <c r="D132" s="15" t="inlineStr">
        <is>
          <t>Designer</t>
        </is>
      </c>
      <c r="E132" s="15" t="inlineStr">
        <is>
          <t>UX Designer</t>
        </is>
      </c>
      <c r="F132" s="15" t="inlineStr">
        <is>
          <t>Senior Designer</t>
        </is>
      </c>
      <c r="G132" s="15" t="inlineStr">
        <is>
          <t>Lead Designer</t>
        </is>
      </c>
      <c r="H132" s="15" t="inlineStr"/>
      <c r="I132" s="15" t="inlineStr">
        <is>
          <t>Principal Designer</t>
        </is>
      </c>
      <c r="J132" s="15" t="inlineStr">
        <is>
          <t>Design Director</t>
        </is>
      </c>
      <c r="K132" s="15" t="inlineStr"/>
      <c r="L132" s="15" t="inlineStr"/>
      <c r="M132" s="15" t="inlineStr"/>
      <c r="N132" s="15" t="inlineStr"/>
      <c r="O132" s="15" t="inlineStr"/>
    </row>
    <row r="133" ht="15" customHeight="1"/>
    <row r="134" ht="20" customHeight="1">
      <c r="A134" s="172" t="inlineStr">
        <is>
          <t>Product Management — 5 people</t>
        </is>
      </c>
    </row>
    <row r="135" ht="15" customHeight="1">
      <c r="A135" s="208" t="inlineStr">
        <is>
          <t>IRIS Product Management Vs · Standard: Pragmatic Institute Framework · 37 activities, 7 categories; AIPMM · 5 here</t>
        </is>
      </c>
      <c r="B135" s="210" t="n"/>
      <c r="C135" s="210" t="n"/>
      <c r="D135" s="210" t="n"/>
      <c r="E135" s="210" t="n"/>
      <c r="F135" s="210" t="n"/>
      <c r="G135" s="210" t="n"/>
      <c r="H135" s="210" t="n"/>
      <c r="I135" s="210" t="n"/>
      <c r="J135" s="210" t="n"/>
      <c r="K135" s="210" t="n"/>
      <c r="L135" s="210" t="n"/>
      <c r="M135" s="210" t="n"/>
      <c r="N135" s="210" t="n"/>
      <c r="O135" s="209" t="n"/>
    </row>
    <row r="136" ht="15" customHeight="1">
      <c r="A136" s="92" t="inlineStr">
        <is>
          <t>Ladder / company</t>
        </is>
      </c>
      <c r="B136" s="92" t="inlineStr">
        <is>
          <t>A1</t>
        </is>
      </c>
      <c r="C136" s="92" t="inlineStr">
        <is>
          <t>A2</t>
        </is>
      </c>
      <c r="D136" s="92" t="inlineStr">
        <is>
          <t>A3</t>
        </is>
      </c>
      <c r="E136" s="92" t="inlineStr">
        <is>
          <t>B1</t>
        </is>
      </c>
      <c r="F136" s="92" t="inlineStr">
        <is>
          <t>B2</t>
        </is>
      </c>
      <c r="G136" s="92" t="inlineStr">
        <is>
          <t>B3</t>
        </is>
      </c>
      <c r="H136" s="92" t="inlineStr">
        <is>
          <t>B+</t>
        </is>
      </c>
      <c r="I136" s="92" t="inlineStr">
        <is>
          <t>C1</t>
        </is>
      </c>
      <c r="J136" s="92" t="inlineStr">
        <is>
          <t>C2</t>
        </is>
      </c>
      <c r="K136" s="92" t="inlineStr">
        <is>
          <t>C+</t>
        </is>
      </c>
      <c r="L136" s="92" t="inlineStr">
        <is>
          <t>D1</t>
        </is>
      </c>
      <c r="M136" s="92" t="inlineStr">
        <is>
          <t>D2</t>
        </is>
      </c>
      <c r="N136" s="92" t="inlineStr">
        <is>
          <t>E1</t>
        </is>
      </c>
      <c r="O136" s="92" t="inlineStr">
        <is>
          <t>E2</t>
        </is>
      </c>
    </row>
    <row r="137" ht="54" customHeight="1">
      <c r="A137" s="46" t="inlineStr">
        <is>
          <t>IRIS — IC title</t>
        </is>
      </c>
      <c r="B137" s="26" t="inlineStr">
        <is>
          <t>Intern / Trainee</t>
        </is>
      </c>
      <c r="C137" s="26" t="inlineStr">
        <is>
          <t>Associate</t>
        </is>
      </c>
      <c r="D137" s="26" t="inlineStr">
        <is>
          <t>Senior Associate</t>
        </is>
      </c>
      <c r="E137" s="20" t="inlineStr">
        <is>
          <t>Specialist</t>
        </is>
      </c>
      <c r="F137" s="20" t="inlineStr">
        <is>
          <t>Senior Specialist</t>
        </is>
      </c>
      <c r="G137" s="20" t="inlineStr">
        <is>
          <t>Lead Specialist</t>
        </is>
      </c>
      <c r="H137" s="30" t="inlineStr">
        <is>
          <t>Practice Lead · Player-Coach</t>
        </is>
      </c>
      <c r="I137" s="33" t="inlineStr">
        <is>
          <t>Principal</t>
        </is>
      </c>
      <c r="J137" s="33" t="inlineStr">
        <is>
          <t>Senior Principal / Architect</t>
        </is>
      </c>
      <c r="K137" s="36" t="inlineStr">
        <is>
          <t>Group Head · Player-Coach</t>
        </is>
      </c>
      <c r="L137" s="39" t="inlineStr">
        <is>
          <t>Chief Specialist / Distinguished Principal</t>
        </is>
      </c>
      <c r="M137" s="39" t="inlineStr">
        <is>
          <t>—</t>
        </is>
      </c>
      <c r="N137" s="42" t="inlineStr">
        <is>
          <t>—</t>
        </is>
      </c>
      <c r="O137" s="42" t="inlineStr">
        <is>
          <t>—</t>
        </is>
      </c>
    </row>
    <row r="138" ht="54" customHeight="1">
      <c r="A138" s="46" t="inlineStr">
        <is>
          <t>IRIS — Manager title</t>
        </is>
      </c>
      <c r="B138" s="26" t="inlineStr"/>
      <c r="C138" s="26" t="inlineStr"/>
      <c r="D138" s="26" t="inlineStr"/>
      <c r="E138" s="20" t="inlineStr">
        <is>
          <t>Team Lead</t>
        </is>
      </c>
      <c r="F138" s="20" t="inlineStr">
        <is>
          <t>Manager</t>
        </is>
      </c>
      <c r="G138" s="20" t="inlineStr">
        <is>
          <t>Senior Manager</t>
        </is>
      </c>
      <c r="H138" s="30" t="inlineStr">
        <is>
          <t>Practice Lead · Player-Coach</t>
        </is>
      </c>
      <c r="I138" s="33" t="inlineStr">
        <is>
          <t>Associate Head</t>
        </is>
      </c>
      <c r="J138" s="33" t="inlineStr">
        <is>
          <t>Head of Function</t>
        </is>
      </c>
      <c r="K138" s="36" t="inlineStr">
        <is>
          <t>Group Head · Player-Coach</t>
        </is>
      </c>
      <c r="L138" s="39" t="inlineStr">
        <is>
          <t>Associate Vice President / Business Head</t>
        </is>
      </c>
      <c r="M138" s="39" t="inlineStr">
        <is>
          <t>Vice President</t>
        </is>
      </c>
      <c r="N138" s="42" t="inlineStr">
        <is>
          <t>CXO / President</t>
        </is>
      </c>
      <c r="O138" s="42" t="inlineStr">
        <is>
          <t>Chief Executive Officer</t>
        </is>
      </c>
    </row>
    <row r="139" ht="15" customHeight="1">
      <c r="A139" s="46" t="inlineStr">
        <is>
          <t>IRIS — people at level</t>
        </is>
      </c>
      <c r="B139" s="26" t="inlineStr"/>
      <c r="C139" s="26" t="inlineStr"/>
      <c r="D139" s="26" t="inlineStr"/>
      <c r="E139" s="20" t="n">
        <v>2</v>
      </c>
      <c r="F139" s="20" t="n">
        <v>3</v>
      </c>
      <c r="G139" s="20" t="inlineStr"/>
      <c r="H139" s="30" t="inlineStr"/>
      <c r="I139" s="33" t="inlineStr"/>
      <c r="J139" s="33" t="inlineStr"/>
      <c r="K139" s="36" t="inlineStr"/>
      <c r="L139" s="39" t="inlineStr"/>
      <c r="M139" s="39" t="inlineStr"/>
      <c r="N139" s="42" t="inlineStr"/>
      <c r="O139" s="42" t="inlineStr"/>
    </row>
    <row r="140" ht="41" customHeight="1">
      <c r="A140" s="13" t="inlineStr">
        <is>
          <t>IRIS Vs Competitor Benchmark — SaaS product ladder · informed by Atlassian, Pragmatic</t>
        </is>
      </c>
      <c r="B140" s="15" t="inlineStr"/>
      <c r="C140" s="15" t="inlineStr"/>
      <c r="D140" s="15" t="inlineStr">
        <is>
          <t>Associate PM</t>
        </is>
      </c>
      <c r="E140" s="15" t="inlineStr">
        <is>
          <t>Product Manager</t>
        </is>
      </c>
      <c r="F140" s="15" t="inlineStr">
        <is>
          <t>Senior PM</t>
        </is>
      </c>
      <c r="G140" s="15" t="inlineStr">
        <is>
          <t>Principal / Group PM</t>
        </is>
      </c>
      <c r="H140" s="15" t="inlineStr"/>
      <c r="I140" s="15" t="inlineStr">
        <is>
          <t>Group PM / Head of Product</t>
        </is>
      </c>
      <c r="J140" s="15" t="inlineStr">
        <is>
          <t>Director of Product</t>
        </is>
      </c>
      <c r="K140" s="15" t="inlineStr"/>
      <c r="L140" s="15" t="inlineStr">
        <is>
          <t>VP Product</t>
        </is>
      </c>
      <c r="M140" s="15" t="inlineStr"/>
      <c r="N140" s="15" t="inlineStr">
        <is>
          <t>Chief Product Officer</t>
        </is>
      </c>
      <c r="O140" s="15" t="inlineStr"/>
    </row>
    <row r="141" ht="15" customHeight="1"/>
    <row r="142" ht="20" customHeight="1">
      <c r="A142" s="172" t="inlineStr">
        <is>
          <t>Not provided · HRIS — 2 people</t>
        </is>
      </c>
    </row>
    <row r="143" ht="15" customHeight="1">
      <c r="A143" s="208" t="inlineStr">
        <is>
          <t>IRIS Unassigned Vs · Standard: — · 2 here</t>
        </is>
      </c>
      <c r="B143" s="210" t="n"/>
      <c r="C143" s="210" t="n"/>
      <c r="D143" s="210" t="n"/>
      <c r="E143" s="210" t="n"/>
      <c r="F143" s="210" t="n"/>
      <c r="G143" s="210" t="n"/>
      <c r="H143" s="210" t="n"/>
      <c r="I143" s="210" t="n"/>
      <c r="J143" s="210" t="n"/>
      <c r="K143" s="210" t="n"/>
      <c r="L143" s="210" t="n"/>
      <c r="M143" s="210" t="n"/>
      <c r="N143" s="210" t="n"/>
      <c r="O143" s="209" t="n"/>
    </row>
    <row r="144" ht="15" customHeight="1">
      <c r="A144" s="92" t="inlineStr">
        <is>
          <t>Ladder / company</t>
        </is>
      </c>
      <c r="B144" s="92" t="inlineStr">
        <is>
          <t>A1</t>
        </is>
      </c>
      <c r="C144" s="92" t="inlineStr">
        <is>
          <t>A2</t>
        </is>
      </c>
      <c r="D144" s="92" t="inlineStr">
        <is>
          <t>A3</t>
        </is>
      </c>
      <c r="E144" s="92" t="inlineStr">
        <is>
          <t>B1</t>
        </is>
      </c>
      <c r="F144" s="92" t="inlineStr">
        <is>
          <t>B2</t>
        </is>
      </c>
      <c r="G144" s="92" t="inlineStr">
        <is>
          <t>B3</t>
        </is>
      </c>
      <c r="H144" s="92" t="inlineStr">
        <is>
          <t>B+</t>
        </is>
      </c>
      <c r="I144" s="92" t="inlineStr">
        <is>
          <t>C1</t>
        </is>
      </c>
      <c r="J144" s="92" t="inlineStr">
        <is>
          <t>C2</t>
        </is>
      </c>
      <c r="K144" s="92" t="inlineStr">
        <is>
          <t>C+</t>
        </is>
      </c>
      <c r="L144" s="92" t="inlineStr">
        <is>
          <t>D1</t>
        </is>
      </c>
      <c r="M144" s="92" t="inlineStr">
        <is>
          <t>D2</t>
        </is>
      </c>
      <c r="N144" s="92" t="inlineStr">
        <is>
          <t>E1</t>
        </is>
      </c>
      <c r="O144" s="92" t="inlineStr">
        <is>
          <t>E2</t>
        </is>
      </c>
    </row>
    <row r="145" ht="54" customHeight="1">
      <c r="A145" s="46" t="inlineStr">
        <is>
          <t>IRIS — IC title</t>
        </is>
      </c>
      <c r="B145" s="26" t="inlineStr">
        <is>
          <t>Intern / Trainee</t>
        </is>
      </c>
      <c r="C145" s="26" t="inlineStr">
        <is>
          <t>Associate</t>
        </is>
      </c>
      <c r="D145" s="26" t="inlineStr">
        <is>
          <t>Senior Associate</t>
        </is>
      </c>
      <c r="E145" s="20" t="inlineStr">
        <is>
          <t>Specialist</t>
        </is>
      </c>
      <c r="F145" s="20" t="inlineStr">
        <is>
          <t>Senior Specialist</t>
        </is>
      </c>
      <c r="G145" s="20" t="inlineStr">
        <is>
          <t>Lead Specialist</t>
        </is>
      </c>
      <c r="H145" s="30" t="inlineStr">
        <is>
          <t>Practice Lead · Player-Coach</t>
        </is>
      </c>
      <c r="I145" s="33" t="inlineStr">
        <is>
          <t>Principal</t>
        </is>
      </c>
      <c r="J145" s="33" t="inlineStr">
        <is>
          <t>Senior Principal / Architect</t>
        </is>
      </c>
      <c r="K145" s="36" t="inlineStr">
        <is>
          <t>Group Head · Player-Coach</t>
        </is>
      </c>
      <c r="L145" s="39" t="inlineStr">
        <is>
          <t>Chief Specialist / Distinguished Principal</t>
        </is>
      </c>
      <c r="M145" s="39" t="inlineStr">
        <is>
          <t>—</t>
        </is>
      </c>
      <c r="N145" s="42" t="inlineStr">
        <is>
          <t>—</t>
        </is>
      </c>
      <c r="O145" s="42" t="inlineStr">
        <is>
          <t>—</t>
        </is>
      </c>
    </row>
    <row r="146" ht="54" customHeight="1">
      <c r="A146" s="46" t="inlineStr">
        <is>
          <t>IRIS — Manager title</t>
        </is>
      </c>
      <c r="B146" s="26" t="inlineStr"/>
      <c r="C146" s="26" t="inlineStr"/>
      <c r="D146" s="26" t="inlineStr"/>
      <c r="E146" s="20" t="inlineStr">
        <is>
          <t>Team Lead</t>
        </is>
      </c>
      <c r="F146" s="20" t="inlineStr">
        <is>
          <t>Manager</t>
        </is>
      </c>
      <c r="G146" s="20" t="inlineStr">
        <is>
          <t>Senior Manager</t>
        </is>
      </c>
      <c r="H146" s="30" t="inlineStr">
        <is>
          <t>Practice Lead · Player-Coach</t>
        </is>
      </c>
      <c r="I146" s="33" t="inlineStr">
        <is>
          <t>Associate Head</t>
        </is>
      </c>
      <c r="J146" s="33" t="inlineStr">
        <is>
          <t>Head of Function</t>
        </is>
      </c>
      <c r="K146" s="36" t="inlineStr">
        <is>
          <t>Group Head · Player-Coach</t>
        </is>
      </c>
      <c r="L146" s="39" t="inlineStr">
        <is>
          <t>Associate Vice President / Business Head</t>
        </is>
      </c>
      <c r="M146" s="39" t="inlineStr">
        <is>
          <t>Vice President</t>
        </is>
      </c>
      <c r="N146" s="42" t="inlineStr">
        <is>
          <t>CXO / President</t>
        </is>
      </c>
      <c r="O146" s="42" t="inlineStr">
        <is>
          <t>Chief Executive Officer</t>
        </is>
      </c>
    </row>
    <row r="147" ht="15" customHeight="1">
      <c r="A147" s="46" t="inlineStr">
        <is>
          <t>IRIS — people at level</t>
        </is>
      </c>
      <c r="B147" s="26" t="inlineStr"/>
      <c r="C147" s="26" t="inlineStr"/>
      <c r="D147" s="26" t="inlineStr"/>
      <c r="E147" s="20" t="inlineStr"/>
      <c r="F147" s="20" t="inlineStr"/>
      <c r="G147" s="20" t="inlineStr"/>
      <c r="H147" s="30" t="inlineStr"/>
      <c r="I147" s="33" t="inlineStr"/>
      <c r="J147" s="33" t="inlineStr"/>
      <c r="K147" s="36" t="inlineStr"/>
      <c r="L147" s="39" t="inlineStr"/>
      <c r="M147" s="39" t="inlineStr"/>
      <c r="N147" s="42" t="inlineStr"/>
      <c r="O147" s="42" t="inlineStr"/>
    </row>
    <row r="148" ht="15" customHeight="1"/>
    <row r="149" ht="20" customHeight="1">
      <c r="A149" s="172" t="inlineStr">
        <is>
          <t>Quality Assurance — 2 people</t>
        </is>
      </c>
    </row>
    <row r="150" ht="15" customHeight="1">
      <c r="A150" s="208" t="inlineStr">
        <is>
          <t>IRIS Quality Assurance Vs · Standard: ISTQB Foundation → Advanced → Expert; SFIA testing · 2 here</t>
        </is>
      </c>
      <c r="B150" s="210" t="n"/>
      <c r="C150" s="210" t="n"/>
      <c r="D150" s="210" t="n"/>
      <c r="E150" s="210" t="n"/>
      <c r="F150" s="210" t="n"/>
      <c r="G150" s="210" t="n"/>
      <c r="H150" s="210" t="n"/>
      <c r="I150" s="210" t="n"/>
      <c r="J150" s="210" t="n"/>
      <c r="K150" s="210" t="n"/>
      <c r="L150" s="210" t="n"/>
      <c r="M150" s="210" t="n"/>
      <c r="N150" s="210" t="n"/>
      <c r="O150" s="209" t="n"/>
    </row>
    <row r="151" ht="15" customHeight="1">
      <c r="A151" s="92" t="inlineStr">
        <is>
          <t>Ladder / company</t>
        </is>
      </c>
      <c r="B151" s="92" t="inlineStr">
        <is>
          <t>A1</t>
        </is>
      </c>
      <c r="C151" s="92" t="inlineStr">
        <is>
          <t>A2</t>
        </is>
      </c>
      <c r="D151" s="92" t="inlineStr">
        <is>
          <t>A3</t>
        </is>
      </c>
      <c r="E151" s="92" t="inlineStr">
        <is>
          <t>B1</t>
        </is>
      </c>
      <c r="F151" s="92" t="inlineStr">
        <is>
          <t>B2</t>
        </is>
      </c>
      <c r="G151" s="92" t="inlineStr">
        <is>
          <t>B3</t>
        </is>
      </c>
      <c r="H151" s="92" t="inlineStr">
        <is>
          <t>B+</t>
        </is>
      </c>
      <c r="I151" s="92" t="inlineStr">
        <is>
          <t>C1</t>
        </is>
      </c>
      <c r="J151" s="92" t="inlineStr">
        <is>
          <t>C2</t>
        </is>
      </c>
      <c r="K151" s="92" t="inlineStr">
        <is>
          <t>C+</t>
        </is>
      </c>
      <c r="L151" s="92" t="inlineStr">
        <is>
          <t>D1</t>
        </is>
      </c>
      <c r="M151" s="92" t="inlineStr">
        <is>
          <t>D2</t>
        </is>
      </c>
      <c r="N151" s="92" t="inlineStr">
        <is>
          <t>E1</t>
        </is>
      </c>
      <c r="O151" s="92" t="inlineStr">
        <is>
          <t>E2</t>
        </is>
      </c>
    </row>
    <row r="152" ht="54" customHeight="1">
      <c r="A152" s="46" t="inlineStr">
        <is>
          <t>IRIS — IC title</t>
        </is>
      </c>
      <c r="B152" s="26" t="inlineStr">
        <is>
          <t>Intern / Trainee</t>
        </is>
      </c>
      <c r="C152" s="26" t="inlineStr">
        <is>
          <t>Associate</t>
        </is>
      </c>
      <c r="D152" s="26" t="inlineStr">
        <is>
          <t>Senior Associate</t>
        </is>
      </c>
      <c r="E152" s="20" t="inlineStr">
        <is>
          <t>Specialist</t>
        </is>
      </c>
      <c r="F152" s="20" t="inlineStr">
        <is>
          <t>Senior Specialist</t>
        </is>
      </c>
      <c r="G152" s="20" t="inlineStr">
        <is>
          <t>Lead Specialist</t>
        </is>
      </c>
      <c r="H152" s="30" t="inlineStr">
        <is>
          <t>Practice Lead · Player-Coach</t>
        </is>
      </c>
      <c r="I152" s="33" t="inlineStr">
        <is>
          <t>Principal</t>
        </is>
      </c>
      <c r="J152" s="33" t="inlineStr">
        <is>
          <t>Senior Principal / Architect</t>
        </is>
      </c>
      <c r="K152" s="36" t="inlineStr">
        <is>
          <t>Group Head · Player-Coach</t>
        </is>
      </c>
      <c r="L152" s="39" t="inlineStr">
        <is>
          <t>Chief Specialist / Distinguished Principal</t>
        </is>
      </c>
      <c r="M152" s="39" t="inlineStr">
        <is>
          <t>—</t>
        </is>
      </c>
      <c r="N152" s="42" t="inlineStr">
        <is>
          <t>—</t>
        </is>
      </c>
      <c r="O152" s="42" t="inlineStr">
        <is>
          <t>—</t>
        </is>
      </c>
    </row>
    <row r="153" ht="54" customHeight="1">
      <c r="A153" s="46" t="inlineStr">
        <is>
          <t>IRIS — Manager title</t>
        </is>
      </c>
      <c r="B153" s="26" t="inlineStr"/>
      <c r="C153" s="26" t="inlineStr"/>
      <c r="D153" s="26" t="inlineStr"/>
      <c r="E153" s="20" t="inlineStr">
        <is>
          <t>Team Lead</t>
        </is>
      </c>
      <c r="F153" s="20" t="inlineStr">
        <is>
          <t>Manager</t>
        </is>
      </c>
      <c r="G153" s="20" t="inlineStr">
        <is>
          <t>Senior Manager</t>
        </is>
      </c>
      <c r="H153" s="30" t="inlineStr">
        <is>
          <t>Practice Lead · Player-Coach</t>
        </is>
      </c>
      <c r="I153" s="33" t="inlineStr">
        <is>
          <t>Associate Head</t>
        </is>
      </c>
      <c r="J153" s="33" t="inlineStr">
        <is>
          <t>Head of Function</t>
        </is>
      </c>
      <c r="K153" s="36" t="inlineStr">
        <is>
          <t>Group Head · Player-Coach</t>
        </is>
      </c>
      <c r="L153" s="39" t="inlineStr">
        <is>
          <t>Associate Vice President / Business Head</t>
        </is>
      </c>
      <c r="M153" s="39" t="inlineStr">
        <is>
          <t>Vice President</t>
        </is>
      </c>
      <c r="N153" s="42" t="inlineStr">
        <is>
          <t>CXO / President</t>
        </is>
      </c>
      <c r="O153" s="42" t="inlineStr">
        <is>
          <t>Chief Executive Officer</t>
        </is>
      </c>
    </row>
    <row r="154" ht="15" customHeight="1">
      <c r="A154" s="46" t="inlineStr">
        <is>
          <t>IRIS — people at level</t>
        </is>
      </c>
      <c r="B154" s="26" t="inlineStr"/>
      <c r="C154" s="26" t="inlineStr"/>
      <c r="D154" s="26" t="n">
        <v>2</v>
      </c>
      <c r="E154" s="20" t="inlineStr"/>
      <c r="F154" s="20" t="inlineStr"/>
      <c r="G154" s="20" t="inlineStr"/>
      <c r="H154" s="30" t="inlineStr"/>
      <c r="I154" s="33" t="inlineStr"/>
      <c r="J154" s="33" t="inlineStr"/>
      <c r="K154" s="36" t="inlineStr"/>
      <c r="L154" s="39" t="inlineStr"/>
      <c r="M154" s="39" t="inlineStr"/>
      <c r="N154" s="42" t="inlineStr"/>
      <c r="O154" s="42" t="inlineStr"/>
    </row>
    <row r="155" ht="28" customHeight="1">
      <c r="A155" s="13" t="inlineStr">
        <is>
          <t>Workiva — QA follows the engineering ladder</t>
        </is>
      </c>
      <c r="B155" s="15" t="inlineStr"/>
      <c r="C155" s="15" t="inlineStr">
        <is>
          <t>Associate SE</t>
        </is>
      </c>
      <c r="D155" s="15" t="inlineStr">
        <is>
          <t>SE</t>
        </is>
      </c>
      <c r="E155" s="15" t="inlineStr">
        <is>
          <t>SE / Senior SE</t>
        </is>
      </c>
      <c r="F155" s="15" t="inlineStr">
        <is>
          <t>Senior SE</t>
        </is>
      </c>
      <c r="G155" s="15" t="inlineStr">
        <is>
          <t>Staff SE</t>
        </is>
      </c>
      <c r="H155" s="15" t="inlineStr"/>
      <c r="I155" s="15" t="inlineStr"/>
      <c r="J155" s="15" t="inlineStr"/>
      <c r="K155" s="15" t="inlineStr"/>
      <c r="L155" s="15" t="inlineStr"/>
      <c r="M155" s="15" t="inlineStr"/>
      <c r="N155" s="15" t="inlineStr"/>
      <c r="O155" s="15" t="inlineStr"/>
    </row>
    <row r="156" ht="28" customHeight="1">
      <c r="A156" s="13" t="inlineStr">
        <is>
          <t>Broadridge India — QA follows the engineering ladder</t>
        </is>
      </c>
      <c r="B156" s="15" t="inlineStr"/>
      <c r="C156" s="15" t="inlineStr">
        <is>
          <t>SE</t>
        </is>
      </c>
      <c r="D156" s="15" t="inlineStr">
        <is>
          <t>SE</t>
        </is>
      </c>
      <c r="E156" s="15" t="inlineStr">
        <is>
          <t>Senior SE</t>
        </is>
      </c>
      <c r="F156" s="15" t="inlineStr">
        <is>
          <t>Lead SE</t>
        </is>
      </c>
      <c r="G156" s="15" t="inlineStr">
        <is>
          <t>Senior Lead SE</t>
        </is>
      </c>
      <c r="H156" s="15" t="inlineStr"/>
      <c r="I156" s="15" t="inlineStr"/>
      <c r="J156" s="15" t="inlineStr"/>
      <c r="K156" s="15" t="inlineStr"/>
      <c r="L156" s="15" t="inlineStr"/>
      <c r="M156" s="15" t="inlineStr"/>
      <c r="N156" s="15" t="inlineStr"/>
      <c r="O156" s="15" t="inlineStr"/>
    </row>
    <row r="157" ht="28" customHeight="1">
      <c r="A157" s="13" t="inlineStr">
        <is>
          <t>Nasdaq / AxiomSL — QA follows the engineering ladder</t>
        </is>
      </c>
      <c r="B157" s="15" t="inlineStr"/>
      <c r="C157" s="15" t="inlineStr">
        <is>
          <t>SE</t>
        </is>
      </c>
      <c r="D157" s="15" t="inlineStr">
        <is>
          <t>SE</t>
        </is>
      </c>
      <c r="E157" s="15" t="inlineStr">
        <is>
          <t>Senior SE</t>
        </is>
      </c>
      <c r="F157" s="15" t="inlineStr">
        <is>
          <t>Senior SE</t>
        </is>
      </c>
      <c r="G157" s="15" t="inlineStr">
        <is>
          <t>Lead SE</t>
        </is>
      </c>
      <c r="H157" s="15" t="inlineStr"/>
      <c r="I157" s="15" t="inlineStr">
        <is>
          <t>Principal SE</t>
        </is>
      </c>
      <c r="J157" s="15" t="inlineStr"/>
      <c r="K157" s="15" t="inlineStr"/>
      <c r="L157" s="15" t="inlineStr"/>
      <c r="M157" s="15" t="inlineStr"/>
      <c r="N157" s="15" t="inlineStr"/>
      <c r="O157" s="15" t="inlineStr"/>
    </row>
    <row r="158" ht="54" customHeight="1">
      <c r="A158" s="13" t="inlineStr">
        <is>
          <t>IRIS Vs Market Benchmark — ISTQB certification pathway · ISTQB sets the certificates, not the level match</t>
        </is>
      </c>
      <c r="B158" s="15" t="inlineStr"/>
      <c r="C158" s="15" t="inlineStr">
        <is>
          <t>Foundation</t>
        </is>
      </c>
      <c r="D158" s="15" t="inlineStr">
        <is>
          <t>Foundation</t>
        </is>
      </c>
      <c r="E158" s="15" t="inlineStr">
        <is>
          <t>Advanced · Test Analyst</t>
        </is>
      </c>
      <c r="F158" s="15" t="inlineStr">
        <is>
          <t>Advanced · Test Manager / TAE</t>
        </is>
      </c>
      <c r="G158" s="15" t="inlineStr">
        <is>
          <t>Expert</t>
        </is>
      </c>
      <c r="H158" s="15" t="inlineStr"/>
      <c r="I158" s="15" t="inlineStr">
        <is>
          <t>Expert</t>
        </is>
      </c>
      <c r="J158" s="15" t="inlineStr"/>
      <c r="K158" s="15" t="inlineStr"/>
      <c r="L158" s="15" t="inlineStr"/>
      <c r="M158" s="15" t="inlineStr"/>
      <c r="N158" s="15" t="inlineStr"/>
      <c r="O158" s="15" t="inlineStr"/>
    </row>
    <row r="159" ht="54" customHeight="1">
      <c r="A159" s="13" t="inlineStr">
        <is>
          <t>IRIS Vs Competitor Benchmark — testing managers · informed by Radford codes and SaaS postings</t>
        </is>
      </c>
      <c r="B159" s="15" t="inlineStr"/>
      <c r="C159" s="15" t="inlineStr"/>
      <c r="D159" s="15" t="inlineStr"/>
      <c r="E159" s="15" t="inlineStr"/>
      <c r="F159" s="15" t="inlineStr">
        <is>
          <t>QA Manager</t>
        </is>
      </c>
      <c r="G159" s="15" t="inlineStr">
        <is>
          <t>Senior QA Manager</t>
        </is>
      </c>
      <c r="H159" s="15" t="inlineStr"/>
      <c r="I159" s="15" t="inlineStr">
        <is>
          <t>Head of Quality</t>
        </is>
      </c>
      <c r="J159" s="15" t="inlineStr">
        <is>
          <t>Director Quality Engineering</t>
        </is>
      </c>
      <c r="K159" s="15" t="inlineStr"/>
      <c r="L159" s="15" t="inlineStr"/>
      <c r="M159" s="15" t="inlineStr"/>
      <c r="N159" s="15" t="inlineStr"/>
      <c r="O159" s="15" t="inlineStr"/>
    </row>
    <row r="160" ht="15" customHeight="1"/>
    <row r="161" ht="20" customHeight="1">
      <c r="A161" s="172" t="inlineStr">
        <is>
          <t>Datatech Business Head — 1 person</t>
        </is>
      </c>
    </row>
    <row r="162" ht="15" customHeight="1">
      <c r="A162" s="208" t="inlineStr">
        <is>
          <t>IRIS Executive Leadership Vs · Standard: Aon Radford executive levels E1–E6; Mercer ET1–ET3; Korn Ferry Leadership Architect · 1 here</t>
        </is>
      </c>
      <c r="B162" s="210" t="n"/>
      <c r="C162" s="210" t="n"/>
      <c r="D162" s="210" t="n"/>
      <c r="E162" s="210" t="n"/>
      <c r="F162" s="210" t="n"/>
      <c r="G162" s="210" t="n"/>
      <c r="H162" s="210" t="n"/>
      <c r="I162" s="210" t="n"/>
      <c r="J162" s="210" t="n"/>
      <c r="K162" s="210" t="n"/>
      <c r="L162" s="210" t="n"/>
      <c r="M162" s="210" t="n"/>
      <c r="N162" s="210" t="n"/>
      <c r="O162" s="209" t="n"/>
    </row>
    <row r="163" ht="15" customHeight="1">
      <c r="A163" s="92" t="inlineStr">
        <is>
          <t>Ladder / company</t>
        </is>
      </c>
      <c r="B163" s="92" t="inlineStr">
        <is>
          <t>A1</t>
        </is>
      </c>
      <c r="C163" s="92" t="inlineStr">
        <is>
          <t>A2</t>
        </is>
      </c>
      <c r="D163" s="92" t="inlineStr">
        <is>
          <t>A3</t>
        </is>
      </c>
      <c r="E163" s="92" t="inlineStr">
        <is>
          <t>B1</t>
        </is>
      </c>
      <c r="F163" s="92" t="inlineStr">
        <is>
          <t>B2</t>
        </is>
      </c>
      <c r="G163" s="92" t="inlineStr">
        <is>
          <t>B3</t>
        </is>
      </c>
      <c r="H163" s="92" t="inlineStr">
        <is>
          <t>B+</t>
        </is>
      </c>
      <c r="I163" s="92" t="inlineStr">
        <is>
          <t>C1</t>
        </is>
      </c>
      <c r="J163" s="92" t="inlineStr">
        <is>
          <t>C2</t>
        </is>
      </c>
      <c r="K163" s="92" t="inlineStr">
        <is>
          <t>C+</t>
        </is>
      </c>
      <c r="L163" s="92" t="inlineStr">
        <is>
          <t>D1</t>
        </is>
      </c>
      <c r="M163" s="92" t="inlineStr">
        <is>
          <t>D2</t>
        </is>
      </c>
      <c r="N163" s="92" t="inlineStr">
        <is>
          <t>E1</t>
        </is>
      </c>
      <c r="O163" s="92" t="inlineStr">
        <is>
          <t>E2</t>
        </is>
      </c>
    </row>
    <row r="164" ht="41" customHeight="1">
      <c r="A164" s="46" t="inlineStr">
        <is>
          <t>IRIS — IC title</t>
        </is>
      </c>
      <c r="B164" s="26" t="inlineStr">
        <is>
          <t>Intern / Trainee</t>
        </is>
      </c>
      <c r="C164" s="26" t="inlineStr">
        <is>
          <t>Associate</t>
        </is>
      </c>
      <c r="D164" s="26" t="inlineStr">
        <is>
          <t>Senior Associate</t>
        </is>
      </c>
      <c r="E164" s="20" t="inlineStr">
        <is>
          <t>Specialist</t>
        </is>
      </c>
      <c r="F164" s="20" t="inlineStr">
        <is>
          <t>Senior Specialist</t>
        </is>
      </c>
      <c r="G164" s="20" t="inlineStr">
        <is>
          <t>Lead Specialist</t>
        </is>
      </c>
      <c r="H164" s="30" t="inlineStr">
        <is>
          <t>Practice Lead · Player-Coach</t>
        </is>
      </c>
      <c r="I164" s="33" t="inlineStr">
        <is>
          <t>Principal</t>
        </is>
      </c>
      <c r="J164" s="33" t="inlineStr">
        <is>
          <t>Senior Principal / Architect</t>
        </is>
      </c>
      <c r="K164" s="36" t="inlineStr">
        <is>
          <t>Group Head · Player-Coach</t>
        </is>
      </c>
      <c r="L164" s="39" t="inlineStr">
        <is>
          <t>—</t>
        </is>
      </c>
      <c r="M164" s="39" t="inlineStr">
        <is>
          <t>—</t>
        </is>
      </c>
      <c r="N164" s="42" t="inlineStr">
        <is>
          <t>—</t>
        </is>
      </c>
      <c r="O164" s="42" t="inlineStr">
        <is>
          <t>—</t>
        </is>
      </c>
    </row>
    <row r="165" ht="41" customHeight="1">
      <c r="A165" s="46" t="inlineStr">
        <is>
          <t>IRIS — Manager title</t>
        </is>
      </c>
      <c r="B165" s="26" t="inlineStr"/>
      <c r="C165" s="26" t="inlineStr"/>
      <c r="D165" s="26" t="inlineStr"/>
      <c r="E165" s="20" t="inlineStr">
        <is>
          <t>Team Lead</t>
        </is>
      </c>
      <c r="F165" s="20" t="inlineStr">
        <is>
          <t>Manager</t>
        </is>
      </c>
      <c r="G165" s="20" t="inlineStr">
        <is>
          <t>Senior Manager</t>
        </is>
      </c>
      <c r="H165" s="30" t="inlineStr">
        <is>
          <t>Practice Lead · Player-Coach</t>
        </is>
      </c>
      <c r="I165" s="33" t="inlineStr">
        <is>
          <t>Associate Head</t>
        </is>
      </c>
      <c r="J165" s="33" t="inlineStr">
        <is>
          <t>Head of Function</t>
        </is>
      </c>
      <c r="K165" s="36" t="inlineStr">
        <is>
          <t>Group Head · Player-Coach</t>
        </is>
      </c>
      <c r="L165" s="39" t="inlineStr">
        <is>
          <t>Business Head</t>
        </is>
      </c>
      <c r="M165" s="39" t="inlineStr">
        <is>
          <t>Vice President</t>
        </is>
      </c>
      <c r="N165" s="42" t="inlineStr">
        <is>
          <t>CXO / President</t>
        </is>
      </c>
      <c r="O165" s="42" t="inlineStr">
        <is>
          <t>Chief Executive Officer</t>
        </is>
      </c>
    </row>
    <row r="166" ht="15" customHeight="1">
      <c r="A166" s="46" t="inlineStr">
        <is>
          <t>IRIS — people at level</t>
        </is>
      </c>
      <c r="B166" s="26" t="inlineStr"/>
      <c r="C166" s="26" t="inlineStr"/>
      <c r="D166" s="26" t="inlineStr"/>
      <c r="E166" s="20" t="inlineStr"/>
      <c r="F166" s="20" t="inlineStr"/>
      <c r="G166" s="20" t="inlineStr"/>
      <c r="H166" s="30" t="inlineStr"/>
      <c r="I166" s="33" t="inlineStr"/>
      <c r="J166" s="33" t="inlineStr"/>
      <c r="K166" s="36" t="inlineStr"/>
      <c r="L166" s="39" t="inlineStr"/>
      <c r="M166" s="39" t="n">
        <v>1</v>
      </c>
      <c r="N166" s="42" t="inlineStr"/>
      <c r="O166" s="42" t="inlineStr"/>
    </row>
    <row r="167" ht="41" customHeight="1">
      <c r="A167" s="13" t="inlineStr">
        <is>
          <t>IRIS Vs Market Benchmark — Aon Radford / Mercer executive codes</t>
        </is>
      </c>
      <c r="B167" s="15" t="inlineStr"/>
      <c r="C167" s="15" t="inlineStr"/>
      <c r="D167" s="15" t="inlineStr"/>
      <c r="E167" s="15" t="inlineStr"/>
      <c r="F167" s="15" t="inlineStr"/>
      <c r="G167" s="15" t="inlineStr"/>
      <c r="H167" s="15" t="inlineStr"/>
      <c r="I167" s="15" t="inlineStr"/>
      <c r="J167" s="15" t="inlineStr"/>
      <c r="K167" s="15" t="inlineStr"/>
      <c r="L167" s="15" t="inlineStr">
        <is>
          <t>E1–E2 VP / Business Head</t>
        </is>
      </c>
      <c r="M167" s="15" t="inlineStr">
        <is>
          <t>E3–E4 SVP</t>
        </is>
      </c>
      <c r="N167" s="15" t="inlineStr">
        <is>
          <t>E5 C-level · functional</t>
        </is>
      </c>
      <c r="O167" s="15" t="inlineStr">
        <is>
          <t>E6 CEO</t>
        </is>
      </c>
    </row>
    <row r="168" ht="41" customHeight="1">
      <c r="A168" s="13" t="inlineStr">
        <is>
          <t>IRIS Vs Competitor Benchmark — regtech / SaaS executive titles</t>
        </is>
      </c>
      <c r="B168" s="15" t="inlineStr"/>
      <c r="C168" s="15" t="inlineStr"/>
      <c r="D168" s="15" t="inlineStr"/>
      <c r="E168" s="15" t="inlineStr"/>
      <c r="F168" s="15" t="inlineStr"/>
      <c r="G168" s="15" t="inlineStr"/>
      <c r="H168" s="15" t="inlineStr"/>
      <c r="I168" s="15" t="inlineStr"/>
      <c r="J168" s="15" t="inlineStr"/>
      <c r="K168" s="15" t="inlineStr"/>
      <c r="L168" s="15" t="inlineStr">
        <is>
          <t>General Manager / VP</t>
        </is>
      </c>
      <c r="M168" s="15" t="inlineStr">
        <is>
          <t>SVP</t>
        </is>
      </c>
      <c r="N168" s="15" t="inlineStr">
        <is>
          <t>CTO · CFO · CRO · CCO · COO</t>
        </is>
      </c>
      <c r="O168" s="15" t="inlineStr">
        <is>
          <t>CEO</t>
        </is>
      </c>
    </row>
    <row r="169" ht="15" customHeight="1"/>
    <row r="170" ht="20" customHeight="1">
      <c r="A170" s="172" t="inlineStr">
        <is>
          <t>Sales — 1 person</t>
        </is>
      </c>
    </row>
    <row r="171" ht="15" customHeight="1">
      <c r="A171" s="208" t="inlineStr">
        <is>
          <t>IRIS Sales &amp; Business Development Vs · Standard: SaaS sales ladder · SDR → AE → Enterprise AE → VP / CRO; MEDDICC-style qualification · 1 here</t>
        </is>
      </c>
      <c r="B171" s="210" t="n"/>
      <c r="C171" s="210" t="n"/>
      <c r="D171" s="210" t="n"/>
      <c r="E171" s="210" t="n"/>
      <c r="F171" s="210" t="n"/>
      <c r="G171" s="210" t="n"/>
      <c r="H171" s="210" t="n"/>
      <c r="I171" s="210" t="n"/>
      <c r="J171" s="210" t="n"/>
      <c r="K171" s="210" t="n"/>
      <c r="L171" s="210" t="n"/>
      <c r="M171" s="210" t="n"/>
      <c r="N171" s="210" t="n"/>
      <c r="O171" s="209" t="n"/>
    </row>
    <row r="172" ht="15" customHeight="1">
      <c r="A172" s="92" t="inlineStr">
        <is>
          <t>Ladder / company</t>
        </is>
      </c>
      <c r="B172" s="92" t="inlineStr">
        <is>
          <t>A1</t>
        </is>
      </c>
      <c r="C172" s="92" t="inlineStr">
        <is>
          <t>A2</t>
        </is>
      </c>
      <c r="D172" s="92" t="inlineStr">
        <is>
          <t>A3</t>
        </is>
      </c>
      <c r="E172" s="92" t="inlineStr">
        <is>
          <t>B1</t>
        </is>
      </c>
      <c r="F172" s="92" t="inlineStr">
        <is>
          <t>B2</t>
        </is>
      </c>
      <c r="G172" s="92" t="inlineStr">
        <is>
          <t>B3</t>
        </is>
      </c>
      <c r="H172" s="92" t="inlineStr">
        <is>
          <t>B+</t>
        </is>
      </c>
      <c r="I172" s="92" t="inlineStr">
        <is>
          <t>C1</t>
        </is>
      </c>
      <c r="J172" s="92" t="inlineStr">
        <is>
          <t>C2</t>
        </is>
      </c>
      <c r="K172" s="92" t="inlineStr">
        <is>
          <t>C+</t>
        </is>
      </c>
      <c r="L172" s="92" t="inlineStr">
        <is>
          <t>D1</t>
        </is>
      </c>
      <c r="M172" s="92" t="inlineStr">
        <is>
          <t>D2</t>
        </is>
      </c>
      <c r="N172" s="92" t="inlineStr">
        <is>
          <t>E1</t>
        </is>
      </c>
      <c r="O172" s="92" t="inlineStr">
        <is>
          <t>E2</t>
        </is>
      </c>
    </row>
    <row r="173" ht="54" customHeight="1">
      <c r="A173" s="46" t="inlineStr">
        <is>
          <t>IRIS — IC title</t>
        </is>
      </c>
      <c r="B173" s="26" t="inlineStr">
        <is>
          <t>Intern / Trainee</t>
        </is>
      </c>
      <c r="C173" s="26" t="inlineStr">
        <is>
          <t>Associate</t>
        </is>
      </c>
      <c r="D173" s="26" t="inlineStr">
        <is>
          <t>Senior Associate</t>
        </is>
      </c>
      <c r="E173" s="20" t="inlineStr">
        <is>
          <t>Specialist</t>
        </is>
      </c>
      <c r="F173" s="20" t="inlineStr">
        <is>
          <t>Senior Specialist</t>
        </is>
      </c>
      <c r="G173" s="20" t="inlineStr">
        <is>
          <t>Lead Specialist</t>
        </is>
      </c>
      <c r="H173" s="30" t="inlineStr">
        <is>
          <t>Practice Lead · Player-Coach</t>
        </is>
      </c>
      <c r="I173" s="33" t="inlineStr">
        <is>
          <t>Principal</t>
        </is>
      </c>
      <c r="J173" s="33" t="inlineStr">
        <is>
          <t>Senior Principal / Architect</t>
        </is>
      </c>
      <c r="K173" s="36" t="inlineStr">
        <is>
          <t>Group Head · Player-Coach</t>
        </is>
      </c>
      <c r="L173" s="39" t="inlineStr">
        <is>
          <t>Chief Specialist / Distinguished Principal</t>
        </is>
      </c>
      <c r="M173" s="39" t="inlineStr">
        <is>
          <t>—</t>
        </is>
      </c>
      <c r="N173" s="42" t="inlineStr">
        <is>
          <t>—</t>
        </is>
      </c>
      <c r="O173" s="42" t="inlineStr">
        <is>
          <t>—</t>
        </is>
      </c>
    </row>
    <row r="174" ht="54" customHeight="1">
      <c r="A174" s="46" t="inlineStr">
        <is>
          <t>IRIS — Manager title</t>
        </is>
      </c>
      <c r="B174" s="26" t="inlineStr"/>
      <c r="C174" s="26" t="inlineStr"/>
      <c r="D174" s="26" t="inlineStr"/>
      <c r="E174" s="20" t="inlineStr">
        <is>
          <t>Team Lead</t>
        </is>
      </c>
      <c r="F174" s="20" t="inlineStr">
        <is>
          <t>Manager</t>
        </is>
      </c>
      <c r="G174" s="20" t="inlineStr">
        <is>
          <t>Senior Manager</t>
        </is>
      </c>
      <c r="H174" s="30" t="inlineStr">
        <is>
          <t>Practice Lead · Player-Coach</t>
        </is>
      </c>
      <c r="I174" s="33" t="inlineStr">
        <is>
          <t>Associate Head</t>
        </is>
      </c>
      <c r="J174" s="33" t="inlineStr">
        <is>
          <t>Head of Function</t>
        </is>
      </c>
      <c r="K174" s="36" t="inlineStr">
        <is>
          <t>Group Head · Player-Coach</t>
        </is>
      </c>
      <c r="L174" s="39" t="inlineStr">
        <is>
          <t>Associate Vice President / Business Head</t>
        </is>
      </c>
      <c r="M174" s="39" t="inlineStr">
        <is>
          <t>Vice President</t>
        </is>
      </c>
      <c r="N174" s="42" t="inlineStr">
        <is>
          <t>CXO / President</t>
        </is>
      </c>
      <c r="O174" s="42" t="inlineStr">
        <is>
          <t>Chief Executive Officer</t>
        </is>
      </c>
    </row>
    <row r="175" ht="15" customHeight="1">
      <c r="A175" s="46" t="inlineStr">
        <is>
          <t>IRIS — people at level</t>
        </is>
      </c>
      <c r="B175" s="26" t="inlineStr"/>
      <c r="C175" s="26" t="inlineStr"/>
      <c r="D175" s="26" t="inlineStr"/>
      <c r="E175" s="20" t="inlineStr"/>
      <c r="F175" s="20" t="inlineStr"/>
      <c r="G175" s="20" t="inlineStr"/>
      <c r="H175" s="30" t="inlineStr"/>
      <c r="I175" s="33" t="n">
        <v>1</v>
      </c>
      <c r="J175" s="33" t="inlineStr"/>
      <c r="K175" s="36" t="inlineStr"/>
      <c r="L175" s="39" t="inlineStr"/>
      <c r="M175" s="39" t="inlineStr"/>
      <c r="N175" s="42" t="inlineStr"/>
      <c r="O175" s="42" t="inlineStr"/>
    </row>
    <row r="176" ht="54" customHeight="1">
      <c r="A176" s="13" t="inlineStr">
        <is>
          <t>IRIS Vs Competitor Benchmark — SaaS sales ladder — IC · informed by SaaStr and title guides, C16</t>
        </is>
      </c>
      <c r="B176" s="15" t="inlineStr"/>
      <c r="C176" s="15" t="inlineStr">
        <is>
          <t>SDR / BDR</t>
        </is>
      </c>
      <c r="D176" s="15" t="inlineStr">
        <is>
          <t>Senior SDR</t>
        </is>
      </c>
      <c r="E176" s="15" t="inlineStr">
        <is>
          <t>Account Executive · SMB</t>
        </is>
      </c>
      <c r="F176" s="15" t="inlineStr">
        <is>
          <t>Mid-Market AE</t>
        </is>
      </c>
      <c r="G176" s="15" t="inlineStr">
        <is>
          <t>Enterprise AE</t>
        </is>
      </c>
      <c r="H176" s="15" t="inlineStr"/>
      <c r="I176" s="15" t="inlineStr">
        <is>
          <t>Strategic / Principal AE</t>
        </is>
      </c>
      <c r="J176" s="15" t="inlineStr"/>
      <c r="K176" s="15" t="inlineStr"/>
      <c r="L176" s="15" t="inlineStr"/>
      <c r="M176" s="15" t="inlineStr"/>
      <c r="N176" s="15" t="inlineStr"/>
      <c r="O176" s="15" t="inlineStr"/>
    </row>
    <row r="177" ht="54" customHeight="1">
      <c r="A177" s="13" t="inlineStr">
        <is>
          <t>Job postings: player-coach sales leaders</t>
        </is>
      </c>
      <c r="B177" s="15" t="inlineStr"/>
      <c r="C177" s="15" t="inlineStr"/>
      <c r="D177" s="15" t="inlineStr"/>
      <c r="E177" s="15" t="inlineStr"/>
      <c r="F177" s="15" t="inlineStr"/>
      <c r="G177" s="15" t="inlineStr"/>
      <c r="H177" s="15" t="inlineStr">
        <is>
          <t>Sales Lead — Player/Coach · carries quota</t>
        </is>
      </c>
      <c r="I177" s="15" t="inlineStr"/>
      <c r="J177" s="15" t="inlineStr"/>
      <c r="K177" s="15" t="inlineStr">
        <is>
          <t>Head of Revenue — Player/Coach</t>
        </is>
      </c>
      <c r="L177" s="15" t="inlineStr"/>
      <c r="M177" s="15" t="inlineStr"/>
      <c r="N177" s="15" t="inlineStr"/>
      <c r="O177" s="15" t="inlineStr"/>
    </row>
    <row r="178" ht="54" customHeight="1">
      <c r="A178" s="13" t="inlineStr">
        <is>
          <t>IRIS Vs Competitor Benchmark — SaaS sales ladder — management · informed by title guides, C16</t>
        </is>
      </c>
      <c r="B178" s="15" t="inlineStr"/>
      <c r="C178" s="15" t="inlineStr"/>
      <c r="D178" s="15" t="inlineStr"/>
      <c r="E178" s="15" t="inlineStr">
        <is>
          <t>SDR Team Lead</t>
        </is>
      </c>
      <c r="F178" s="15" t="inlineStr">
        <is>
          <t>Sales Manager</t>
        </is>
      </c>
      <c r="G178" s="15" t="inlineStr">
        <is>
          <t>Senior Sales Manager</t>
        </is>
      </c>
      <c r="H178" s="15" t="inlineStr"/>
      <c r="I178" s="15" t="inlineStr">
        <is>
          <t>Regional Sales Head</t>
        </is>
      </c>
      <c r="J178" s="15" t="inlineStr">
        <is>
          <t>Director of Sales</t>
        </is>
      </c>
      <c r="K178" s="15" t="inlineStr"/>
      <c r="L178" s="15" t="inlineStr">
        <is>
          <t>VP Sales</t>
        </is>
      </c>
      <c r="M178" s="15" t="inlineStr">
        <is>
          <t>SVP Sales</t>
        </is>
      </c>
      <c r="N178" s="15" t="inlineStr">
        <is>
          <t>Chief Revenue Officer</t>
        </is>
      </c>
      <c r="O178" s="15" t="inlineStr"/>
    </row>
    <row r="179" ht="15" customHeight="1"/>
    <row r="180" ht="20" customHeight="1">
      <c r="A180" s="6" t="inlineStr">
        <is>
          <t>R4. Levelling and market databases used</t>
        </is>
      </c>
    </row>
    <row r="181" ht="15" customHeight="1">
      <c r="A181" s="12" t="inlineStr">
        <is>
          <t>Database / method</t>
        </is>
      </c>
      <c r="B181" s="210" t="n"/>
      <c r="C181" s="209" t="n"/>
      <c r="D181" s="12" t="inlineStr">
        <is>
          <t>What it gave</t>
        </is>
      </c>
      <c r="E181" s="210" t="n"/>
      <c r="F181" s="210" t="n"/>
      <c r="G181" s="210" t="n"/>
      <c r="H181" s="210" t="n"/>
      <c r="I181" s="209" t="n"/>
      <c r="J181" s="12" t="inlineStr">
        <is>
          <t>Site</t>
        </is>
      </c>
      <c r="K181" s="210" t="n"/>
      <c r="L181" s="210" t="n"/>
      <c r="M181" s="209" t="n"/>
      <c r="N181" s="12" t="inlineStr">
        <is>
          <t>Status</t>
        </is>
      </c>
      <c r="O181" s="209" t="n"/>
    </row>
    <row r="182" ht="28" customHeight="1">
      <c r="A182" s="13" t="inlineStr">
        <is>
          <t>Aon Radford · Global Technology Survey</t>
        </is>
      </c>
      <c r="B182" s="210" t="n"/>
      <c r="C182" s="209" t="n"/>
      <c r="D182" s="16" t="inlineStr">
        <is>
          <t>Survey levels P1–P7 / M1–M6 / E1–E6 used on every IRIS level</t>
        </is>
      </c>
      <c r="E182" s="210" t="n"/>
      <c r="F182" s="210" t="n"/>
      <c r="G182" s="210" t="n"/>
      <c r="H182" s="210" t="n"/>
      <c r="I182" s="209" t="n"/>
      <c r="J182" s="16" t="inlineStr">
        <is>
          <t>https://radford.aon.com</t>
        </is>
      </c>
      <c r="K182" s="210" t="n"/>
      <c r="L182" s="210" t="n"/>
      <c r="M182" s="209" t="n"/>
      <c r="N182" s="16" t="inlineStr">
        <is>
          <t>Used — codes; pay data to buy</t>
        </is>
      </c>
      <c r="O182" s="209" t="n"/>
    </row>
    <row r="183" ht="28" customHeight="1">
      <c r="A183" s="13" t="inlineStr">
        <is>
          <t>Mercer TRS / Mercer IPE</t>
        </is>
      </c>
      <c r="B183" s="210" t="n"/>
      <c r="C183" s="209" t="n"/>
      <c r="D183" s="16" t="inlineStr">
        <is>
          <t>Career levels and position evaluation</t>
        </is>
      </c>
      <c r="E183" s="210" t="n"/>
      <c r="F183" s="210" t="n"/>
      <c r="G183" s="210" t="n"/>
      <c r="H183" s="210" t="n"/>
      <c r="I183" s="209" t="n"/>
      <c r="J183" s="16" t="inlineStr">
        <is>
          <t>https://www.mercer.com</t>
        </is>
      </c>
      <c r="K183" s="210" t="n"/>
      <c r="L183" s="210" t="n"/>
      <c r="M183" s="209" t="n"/>
      <c r="N183" s="16" t="inlineStr">
        <is>
          <t>Used — method; pay data to buy</t>
        </is>
      </c>
      <c r="O183" s="209" t="n"/>
    </row>
    <row r="184" ht="15" customHeight="1">
      <c r="A184" s="13" t="inlineStr">
        <is>
          <t>WTW Global Grading System</t>
        </is>
      </c>
      <c r="B184" s="210" t="n"/>
      <c r="C184" s="209" t="n"/>
      <c r="D184" s="16" t="inlineStr">
        <is>
          <t>Banding-then-grading logic</t>
        </is>
      </c>
      <c r="E184" s="210" t="n"/>
      <c r="F184" s="210" t="n"/>
      <c r="G184" s="210" t="n"/>
      <c r="H184" s="210" t="n"/>
      <c r="I184" s="209" t="n"/>
      <c r="J184" s="16" t="inlineStr">
        <is>
          <t>https://www.wtwco.com</t>
        </is>
      </c>
      <c r="K184" s="210" t="n"/>
      <c r="L184" s="210" t="n"/>
      <c r="M184" s="209" t="n"/>
      <c r="N184" s="16" t="inlineStr">
        <is>
          <t>Used — method</t>
        </is>
      </c>
      <c r="O184" s="209" t="n"/>
    </row>
    <row r="185" ht="15" customHeight="1">
      <c r="A185" s="13" t="inlineStr">
        <is>
          <t>Korn Ferry Hay Guide Chart-Profile</t>
        </is>
      </c>
      <c r="B185" s="210" t="n"/>
      <c r="C185" s="209" t="n"/>
      <c r="D185" s="16" t="inlineStr">
        <is>
          <t>Factors and A / L / P profiles</t>
        </is>
      </c>
      <c r="E185" s="210" t="n"/>
      <c r="F185" s="210" t="n"/>
      <c r="G185" s="210" t="n"/>
      <c r="H185" s="210" t="n"/>
      <c r="I185" s="209" t="n"/>
      <c r="J185" s="16" t="inlineStr">
        <is>
          <t>https://www.kornferry.com</t>
        </is>
      </c>
      <c r="K185" s="210" t="n"/>
      <c r="L185" s="210" t="n"/>
      <c r="M185" s="209" t="n"/>
      <c r="N185" s="16" t="inlineStr">
        <is>
          <t>Used — method</t>
        </is>
      </c>
      <c r="O185" s="209" t="n"/>
    </row>
    <row r="186" ht="15" customHeight="1">
      <c r="A186" s="13" t="inlineStr">
        <is>
          <t>Pave</t>
        </is>
      </c>
      <c r="B186" s="210" t="n"/>
      <c r="C186" s="209" t="n"/>
      <c r="D186" s="16" t="inlineStr">
        <is>
          <t>Radford / Mercer level crosswalk</t>
        </is>
      </c>
      <c r="E186" s="210" t="n"/>
      <c r="F186" s="210" t="n"/>
      <c r="G186" s="210" t="n"/>
      <c r="H186" s="210" t="n"/>
      <c r="I186" s="209" t="n"/>
      <c r="J186" s="16" t="inlineStr">
        <is>
          <t>https://support.pave.com</t>
        </is>
      </c>
      <c r="K186" s="210" t="n"/>
      <c r="L186" s="210" t="n"/>
      <c r="M186" s="209" t="n"/>
      <c r="N186" s="16" t="inlineStr">
        <is>
          <t>Used</t>
        </is>
      </c>
      <c r="O186" s="209" t="n"/>
    </row>
    <row r="187" ht="67" customHeight="1">
      <c r="A187" s="13" t="inlineStr">
        <is>
          <t>Levels.fyi</t>
        </is>
      </c>
      <c r="B187" s="210" t="n"/>
      <c r="C187" s="209" t="n"/>
      <c r="D187" s="16" t="inlineStr">
        <is>
          <t>Company level ladders · Workiva, Broadridge, Nasdaq, Freshworks, Zoho, Clear, Atlassian</t>
        </is>
      </c>
      <c r="E187" s="210" t="n"/>
      <c r="F187" s="210" t="n"/>
      <c r="G187" s="210" t="n"/>
      <c r="H187" s="210" t="n"/>
      <c r="I187" s="209" t="n"/>
      <c r="J187" s="16" t="inlineStr">
        <is>
          <t>https://www.levels.fyi</t>
        </is>
      </c>
      <c r="K187" s="210" t="n"/>
      <c r="L187" s="210" t="n"/>
      <c r="M187" s="209" t="n"/>
      <c r="N187" s="16" t="inlineStr">
        <is>
          <t>Used — titles and levels only, not pay; pages did not load in the October 2026 source check, so unverified</t>
        </is>
      </c>
      <c r="O187" s="209" t="n"/>
    </row>
    <row r="188" ht="15" customHeight="1">
      <c r="A188" s="13" t="inlineStr">
        <is>
          <t>SFIA Foundation</t>
        </is>
      </c>
      <c r="B188" s="210" t="n"/>
      <c r="C188" s="209" t="n"/>
      <c r="D188" s="16" t="inlineStr">
        <is>
          <t>Levels of responsibility; skills</t>
        </is>
      </c>
      <c r="E188" s="210" t="n"/>
      <c r="F188" s="210" t="n"/>
      <c r="G188" s="210" t="n"/>
      <c r="H188" s="210" t="n"/>
      <c r="I188" s="209" t="n"/>
      <c r="J188" s="16" t="inlineStr">
        <is>
          <t>https://sfia-online.org</t>
        </is>
      </c>
      <c r="K188" s="210" t="n"/>
      <c r="L188" s="210" t="n"/>
      <c r="M188" s="209" t="n"/>
      <c r="N188" s="16" t="inlineStr">
        <is>
          <t>Used</t>
        </is>
      </c>
      <c r="O188" s="209" t="n"/>
    </row>
    <row r="189" ht="28" customHeight="1">
      <c r="A189" s="13" t="inlineStr">
        <is>
          <t>Built In / company career sites / Personio</t>
        </is>
      </c>
      <c r="B189" s="210" t="n"/>
      <c r="C189" s="209" t="n"/>
      <c r="D189" s="16" t="inlineStr">
        <is>
          <r>
            <rPr>
              <rFont val="Calibri"/>
              <b val="1"/>
              <sz val="10"/>
            </rPr>
            <t>Job postings:</t>
          </r>
          <r>
            <rPr>
              <rFont val="Calibri"/>
              <sz val="10"/>
            </rPr>
            <t xml:space="preserve"> Workiva, DFIN, Toppan Merrill, Regnology, Gainsight</t>
          </r>
        </is>
      </c>
      <c r="E189" s="210" t="n"/>
      <c r="F189" s="210" t="n"/>
      <c r="G189" s="210" t="n"/>
      <c r="H189" s="210" t="n"/>
      <c r="I189" s="209" t="n"/>
      <c r="J189" s="16" t="inlineStr">
        <is>
          <t>https://builtin.com ; https://www.regnology.net/en/careers</t>
        </is>
      </c>
      <c r="K189" s="210" t="n"/>
      <c r="L189" s="210" t="n"/>
      <c r="M189" s="209" t="n"/>
      <c r="N189" s="16" t="inlineStr">
        <is>
          <t>Used — titles and requirements</t>
        </is>
      </c>
      <c r="O189" s="209" t="n"/>
    </row>
    <row r="190" ht="28" customHeight="1">
      <c r="A190" s="13" t="inlineStr">
        <is>
          <t>Chartis RiskTech100, Central Banking awards, CFO Shortlist</t>
        </is>
      </c>
      <c r="B190" s="210" t="n"/>
      <c r="C190" s="209" t="n"/>
      <c r="D190" s="16" t="inlineStr">
        <is>
          <t>Regtech and disclosure-management market leadership</t>
        </is>
      </c>
      <c r="E190" s="210" t="n"/>
      <c r="F190" s="210" t="n"/>
      <c r="G190" s="210" t="n"/>
      <c r="H190" s="210" t="n"/>
      <c r="I190" s="209" t="n"/>
      <c r="J190" s="16" t="inlineStr">
        <is>
          <t>https://www.centralbanking.com ; https://www.cfoshortlist.com</t>
        </is>
      </c>
      <c r="K190" s="210" t="n"/>
      <c r="L190" s="210" t="n"/>
      <c r="M190" s="209" t="n"/>
      <c r="N190" s="16" t="inlineStr">
        <is>
          <t>Used — peer selection</t>
        </is>
      </c>
      <c r="O190" s="209" t="n"/>
    </row>
    <row r="191" ht="15" customHeight="1"/>
    <row r="192" ht="20" customHeight="1">
      <c r="A192" s="6" t="inlineStr">
        <is>
          <t>R5. Full source register · also in the Master, M16</t>
        </is>
      </c>
    </row>
    <row r="193" ht="41" customHeight="1">
      <c r="A193" s="11" t="inlineStr">
        <is>
          <r>
            <rPr>
              <rFont val="Calibri"/>
              <b val="1"/>
              <i val="1"/>
              <color rgb="00595959"/>
              <sz val="10"/>
            </rPr>
            <t>About the references:</t>
          </r>
          <r>
            <rPr>
              <rFont val="Calibri"/>
              <i val="1"/>
              <color rgb="00595959"/>
              <sz val="10"/>
            </rPr>
            <t xml:space="preserve"> each row names the source, what kind of source it is, what it contributed to the IRIS job architecture and where to find it. Grade: Primary = the original publisher or official document; Secondary = a summary, guide or third-party copy of the original; Indicative = used for direction only; Job postings = live adverts used as examples; Internal = IRIS data. S46–S72 were added in v1.12 for the default weights, the Experience and Business Impact evidence, and the title decisions: no Director, and the two D1 specialist-title options.</t>
          </r>
        </is>
      </c>
    </row>
    <row r="194" ht="15" customHeight="1">
      <c r="A194" s="12" t="inlineStr">
        <is>
          <t>ID</t>
        </is>
      </c>
      <c r="B194" s="12" t="inlineStr">
        <is>
          <t>Source</t>
        </is>
      </c>
      <c r="C194" s="210" t="n"/>
      <c r="D194" s="209" t="n"/>
      <c r="E194" s="12" t="inlineStr">
        <is>
          <t>Type</t>
        </is>
      </c>
      <c r="F194" s="209" t="n"/>
      <c r="G194" s="12" t="inlineStr">
        <is>
          <t>What it contributed</t>
        </is>
      </c>
      <c r="H194" s="210" t="n"/>
      <c r="I194" s="210" t="n"/>
      <c r="J194" s="209" t="n"/>
      <c r="K194" s="12" t="inlineStr">
        <is>
          <t>Link / where</t>
        </is>
      </c>
      <c r="L194" s="210" t="n"/>
      <c r="M194" s="210" t="n"/>
      <c r="N194" s="209" t="n"/>
      <c r="O194" s="12" t="inlineStr">
        <is>
          <t>Grade</t>
        </is>
      </c>
    </row>
    <row r="195" ht="28" customHeight="1">
      <c r="A195" s="13" t="inlineStr">
        <is>
          <t>S01</t>
        </is>
      </c>
      <c r="B195" s="16" t="inlineStr">
        <is>
          <t>Aon Radford — Global Job Architecture &amp; Leveling</t>
        </is>
      </c>
      <c r="C195" s="210" t="n"/>
      <c r="D195" s="209" t="n"/>
      <c r="E195" s="16" t="inlineStr">
        <is>
          <t>Salary-survey levelling system</t>
        </is>
      </c>
      <c r="F195" s="209" t="n"/>
      <c r="G195" s="16" t="inlineStr">
        <is>
          <t>P1–P7 / M1–M6 / E1–E6 market codes on every IRIS level; dual IC / management streams</t>
        </is>
      </c>
      <c r="H195" s="210" t="n"/>
      <c r="I195" s="210" t="n"/>
      <c r="J195" s="209" t="n"/>
      <c r="K195" s="16" t="inlineStr">
        <is>
          <t>https://radford.aon.com/en-us/products/release-notes/2021/radford-job-architecture-leveling</t>
        </is>
      </c>
      <c r="L195" s="210" t="n"/>
      <c r="M195" s="210" t="n"/>
      <c r="N195" s="209" t="n"/>
      <c r="O195" s="16" t="inlineStr">
        <is>
          <t>Primary</t>
        </is>
      </c>
    </row>
    <row r="196" ht="41" customHeight="1">
      <c r="A196" s="13" t="inlineStr">
        <is>
          <t>S02</t>
        </is>
      </c>
      <c r="B196" s="16" t="inlineStr">
        <is>
          <t>Pave — job levels and Radford / Mercer crosswalk</t>
        </is>
      </c>
      <c r="C196" s="210" t="n"/>
      <c r="D196" s="209" t="n"/>
      <c r="E196" s="16" t="inlineStr">
        <is>
          <t>Compensation platform</t>
        </is>
      </c>
      <c r="F196" s="209" t="n"/>
      <c r="G196" s="16" t="inlineStr">
        <is>
          <t>Level names · P1 Entry, P2 Developing, P3 Career, P4 Senior, P5 Expert, P6 Principal; M3 Manager … M6 Senior Director and the Radford ↔ Mercer mapping</t>
        </is>
      </c>
      <c r="H196" s="210" t="n"/>
      <c r="I196" s="210" t="n"/>
      <c r="J196" s="209" t="n"/>
      <c r="K196" s="16" t="inlineStr">
        <is>
          <t>https://support.pave.com/articles/understand-job-levels-SiKTjMHZtr.md</t>
        </is>
      </c>
      <c r="L196" s="210" t="n"/>
      <c r="M196" s="210" t="n"/>
      <c r="N196" s="209" t="n"/>
      <c r="O196" s="16" t="inlineStr">
        <is>
          <t>Primary</t>
        </is>
      </c>
    </row>
    <row r="197" ht="67" customHeight="1">
      <c r="A197" s="13" t="inlineStr">
        <is>
          <t>S03</t>
        </is>
      </c>
      <c r="B197" s="16" t="inlineStr">
        <is>
          <t>Mercer career levels · Executive, Management, Professional, Para-professional</t>
        </is>
      </c>
      <c r="C197" s="210" t="n"/>
      <c r="D197" s="209" t="n"/>
      <c r="E197" s="16" t="inlineStr">
        <is>
          <t>Survey levelling system</t>
        </is>
      </c>
      <c r="F197" s="209" t="n"/>
      <c r="G197" s="16" t="inlineStr">
        <is>
          <t>Management · M3+ = more time managing others' work than doing own work; M2 can be a team lead who also does the work; Mercer team-leader roles lead 2+ professionals → IRIS track rules · the 3-report manager threshold is IRIS's own rule</t>
        </is>
      </c>
      <c r="H197" s="210" t="n"/>
      <c r="I197" s="210" t="n"/>
      <c r="J197" s="209" t="n"/>
      <c r="K197" s="16" t="inlineStr">
        <is>
          <t>https://help.figures.hr/en/articles/389223-mercer-levels ; https://info.mercer.com/rs/521-DEV-513/images/MLS-Job-Catalogue.pdf</t>
        </is>
      </c>
      <c r="L197" s="210" t="n"/>
      <c r="M197" s="210" t="n"/>
      <c r="N197" s="209" t="n"/>
      <c r="O197" s="16" t="inlineStr">
        <is>
          <t>Secondary</t>
        </is>
      </c>
    </row>
    <row r="198" ht="41" customHeight="1">
      <c r="A198" s="13" t="inlineStr">
        <is>
          <t>S04</t>
        </is>
      </c>
      <c r="B198" s="16" t="inlineStr">
        <is>
          <t>Mercer IPE · International Position Evaluation</t>
        </is>
      </c>
      <c r="C198" s="210" t="n"/>
      <c r="D198" s="209" t="n"/>
      <c r="E198" s="16" t="inlineStr">
        <is>
          <t>Job-evaluation method</t>
        </is>
      </c>
      <c r="F198" s="209" t="n"/>
      <c r="G198" s="16" t="inlineStr">
        <is>
          <t>Factors Impact, Communication, Innovation, Knowledge · plus Effort &amp; Working Conditions, not used by IRIS → mapped to the IRIS six factors</t>
        </is>
      </c>
      <c r="H198" s="210" t="n"/>
      <c r="I198" s="210" t="n"/>
      <c r="J198" s="209" t="n"/>
      <c r="K198" s="16" t="inlineStr">
        <is>
          <t>https://www.mercer.com/en-in/solutions/talent-and-rewards/job-architecture/job-evaluation-ipe/</t>
        </is>
      </c>
      <c r="L198" s="210" t="n"/>
      <c r="M198" s="210" t="n"/>
      <c r="N198" s="209" t="n"/>
      <c r="O198" s="16" t="inlineStr">
        <is>
          <t>Primary</t>
        </is>
      </c>
    </row>
    <row r="199" ht="67" customHeight="1">
      <c r="A199" s="13" t="inlineStr">
        <is>
          <t>S05</t>
        </is>
      </c>
      <c r="B199" s="16" t="inlineStr">
        <is>
          <t>Korn Ferry Hay Guide Chart-Profile method</t>
        </is>
      </c>
      <c r="C199" s="210" t="n"/>
      <c r="D199" s="209" t="n"/>
      <c r="E199" s="16" t="inlineStr">
        <is>
          <t>Job-evaluation method</t>
        </is>
      </c>
      <c r="F199" s="209" t="n"/>
      <c r="G199" s="16" t="inlineStr">
        <is>
          <t>Factors Know-How, Problem Solving, Accountability · plus Working Conditions where it applies; used by 5,000+ private and public organisations</t>
        </is>
      </c>
      <c r="H199" s="210" t="n"/>
      <c r="I199" s="210" t="n"/>
      <c r="J199" s="209" t="n"/>
      <c r="K199" s="16" t="inlineStr">
        <is>
          <t>https://www.gov.nl.ca/exec/tbs/department/branches/classification/what-is-the-korn-ferry-hay-group-guide-chart-profile-method-of-job-evaluation/ ; https://www.uwo.ca/humanresources/wjec/docs/hay_method_overview.pdf</t>
        </is>
      </c>
      <c r="L199" s="210" t="n"/>
      <c r="M199" s="210" t="n"/>
      <c r="N199" s="209" t="n"/>
      <c r="O199" s="16" t="inlineStr">
        <is>
          <t>Primary</t>
        </is>
      </c>
    </row>
    <row r="200" ht="67" customHeight="1">
      <c r="A200" s="13" t="inlineStr">
        <is>
          <t>S06</t>
        </is>
      </c>
      <c r="B200" s="16" t="inlineStr">
        <is>
          <t>Hay short profile · A / L / P</t>
        </is>
      </c>
      <c r="C200" s="210" t="n"/>
      <c r="D200" s="209" t="n"/>
      <c r="E200" s="16" t="inlineStr">
        <is>
          <t>Job-evaluation method</t>
        </is>
      </c>
      <c r="F200" s="209" t="n"/>
      <c r="G200" s="16" t="inlineStr">
        <is>
          <t>A-profile = accountability exceeds problem solving · line, results-led; L = problem solving equals accountability · level profile; P = problem solving exceeds accountability · research, thinking-led → IRIS work-type tilts</t>
        </is>
      </c>
      <c r="H200" s="210" t="n"/>
      <c r="I200" s="210" t="n"/>
      <c r="J200" s="209" t="n"/>
      <c r="K200" s="16" t="inlineStr">
        <is>
          <t>https://peoplecentre.wordpress.com/2016/10/02/hay-job-evaluation-methodology-the-short-profile/</t>
        </is>
      </c>
      <c r="L200" s="210" t="n"/>
      <c r="M200" s="210" t="n"/>
      <c r="N200" s="209" t="n"/>
      <c r="O200" s="16" t="inlineStr">
        <is>
          <t>Secondary</t>
        </is>
      </c>
    </row>
    <row r="201" ht="41" customHeight="1">
      <c r="A201" s="13" t="inlineStr">
        <is>
          <t>S07</t>
        </is>
      </c>
      <c r="B201" s="16" t="inlineStr">
        <is>
          <t>WTW Global Grading System</t>
        </is>
      </c>
      <c r="C201" s="210" t="n"/>
      <c r="D201" s="209" t="n"/>
      <c r="E201" s="16" t="inlineStr">
        <is>
          <t>Job-levelling method</t>
        </is>
      </c>
      <c r="F201" s="209" t="n"/>
      <c r="G201" s="16" t="inlineStr">
        <is>
          <t>Two-step banding then grading; separate management and IC paths; 16–25 grades by organisation size → IRIS band-then-level design</t>
        </is>
      </c>
      <c r="H201" s="210" t="n"/>
      <c r="I201" s="210" t="n"/>
      <c r="J201" s="209" t="n"/>
      <c r="K201" s="16" t="inlineStr">
        <is>
          <t>https://assets.publishing.service.gov.uk/media/66a370440808eaf43b50d7b2/WTW_OME-STRB_Job_Levelling_FOR_PUBLICATION.pdf</t>
        </is>
      </c>
      <c r="L201" s="210" t="n"/>
      <c r="M201" s="210" t="n"/>
      <c r="N201" s="209" t="n"/>
      <c r="O201" s="16" t="inlineStr">
        <is>
          <t>Primary</t>
        </is>
      </c>
    </row>
    <row r="202" ht="54" customHeight="1">
      <c r="A202" s="13" t="inlineStr">
        <is>
          <t>S08</t>
        </is>
      </c>
      <c r="B202" s="16" t="inlineStr">
        <is>
          <t>SFIA 9 — levels of responsibility</t>
        </is>
      </c>
      <c r="C202" s="210" t="n"/>
      <c r="D202" s="209" t="n"/>
      <c r="E202" s="16" t="inlineStr">
        <is>
          <t>Skills framework</t>
        </is>
      </c>
      <c r="F202" s="209" t="n"/>
      <c r="G202" s="16" t="inlineStr">
        <is>
          <t>7 levels · Follow, Assist, Apply, Enable, Ensure/advise, Initiate/influence, Set strategy defined by autonomy, influence, complexity → factor anchors and the 1–5 proficiency scale</t>
        </is>
      </c>
      <c r="H202" s="210" t="n"/>
      <c r="I202" s="210" t="n"/>
      <c r="J202" s="209" t="n"/>
      <c r="K202" s="16" t="inlineStr">
        <is>
          <t>https://sfia-online.org/en/about-sfia/how-sfia-works</t>
        </is>
      </c>
      <c r="L202" s="210" t="n"/>
      <c r="M202" s="210" t="n"/>
      <c r="N202" s="209" t="n"/>
      <c r="O202" s="16" t="inlineStr">
        <is>
          <t>Primary</t>
        </is>
      </c>
    </row>
    <row r="203" ht="54" customHeight="1">
      <c r="A203" s="13" t="inlineStr">
        <is>
          <t>S09</t>
        </is>
      </c>
      <c r="B203" s="16" t="inlineStr">
        <is>
          <t>McKinsey — spans of control archetypes</t>
        </is>
      </c>
      <c r="C203" s="210" t="n"/>
      <c r="D203" s="209" t="n"/>
      <c r="E203" s="16" t="inlineStr">
        <is>
          <t>Organisation-design research</t>
        </is>
      </c>
      <c r="F203" s="209" t="n"/>
      <c r="G203" s="16" t="inlineStr">
        <is>
          <t>Player/coach 3–5, coach 6–7, supervisor 8–10, facilitator 11–15, coordinator 15+ → IRIS span norms</t>
        </is>
      </c>
      <c r="H203" s="210" t="n"/>
      <c r="I203" s="210" t="n"/>
      <c r="J203" s="209" t="n"/>
      <c r="K203" s="16" t="inlineStr">
        <is>
          <t>https://www.mckinsey.com/capabilities/people-and-organizational-performance/our-insights/how-to-identify-the-right-spans-of-control-for-your-organization</t>
        </is>
      </c>
      <c r="L203" s="210" t="n"/>
      <c r="M203" s="210" t="n"/>
      <c r="N203" s="209" t="n"/>
      <c r="O203" s="16" t="inlineStr">
        <is>
          <t>Primary</t>
        </is>
      </c>
    </row>
    <row r="204" ht="28" customHeight="1">
      <c r="A204" s="13" t="inlineStr">
        <is>
          <t>S10</t>
        </is>
      </c>
      <c r="B204" s="16" t="inlineStr">
        <is>
          <t>Levelling guides · Ravio, CareerBird, Careerminds</t>
        </is>
      </c>
      <c r="C204" s="210" t="n"/>
      <c r="D204" s="209" t="n"/>
      <c r="E204" s="16" t="inlineStr">
        <is>
          <t>Published guidance</t>
        </is>
      </c>
      <c r="F204" s="209" t="n"/>
      <c r="G204" s="16" t="inlineStr">
        <is>
          <t>≈ 12 levels suit 500–1,500 people → IRIS uses 12 employee levels</t>
        </is>
      </c>
      <c r="H204" s="210" t="n"/>
      <c r="I204" s="210" t="n"/>
      <c r="J204" s="209" t="n"/>
      <c r="K204" s="16" t="inlineStr">
        <is>
          <t>Public web guides</t>
        </is>
      </c>
      <c r="L204" s="210" t="n"/>
      <c r="M204" s="210" t="n"/>
      <c r="N204" s="209" t="n"/>
      <c r="O204" s="16" t="inlineStr">
        <is>
          <t>Secondary</t>
        </is>
      </c>
    </row>
    <row r="205" ht="54" customHeight="1">
      <c r="A205" s="13" t="inlineStr">
        <is>
          <t>S11</t>
        </is>
      </c>
      <c r="B205" s="16" t="inlineStr">
        <is>
          <t>WorldatWork — salary structure policies and practices</t>
        </is>
      </c>
      <c r="C205" s="210" t="n"/>
      <c r="D205" s="209" t="n"/>
      <c r="E205" s="16" t="inlineStr">
        <is>
          <t>Pay-structure research</t>
        </is>
      </c>
      <c r="F205" s="209" t="n"/>
      <c r="G205" s="16" t="inlineStr">
        <is>
          <t>Graded salary structures, range spread and midpoint concepts. It does not give range spreads by level: the spreads and midpoint steps in M14 are IRIS working assumptions until a pay survey is bought</t>
        </is>
      </c>
      <c r="H205" s="210" t="n"/>
      <c r="I205" s="210" t="n"/>
      <c r="J205" s="209" t="n"/>
      <c r="K205" s="16" t="inlineStr">
        <is>
          <t>https://worldatwork.org/media/CDN/dist/CDN2/documents/pdf/resources/research/Salary-Structure-Policies-Practices-2012.pdf</t>
        </is>
      </c>
      <c r="L205" s="210" t="n"/>
      <c r="M205" s="210" t="n"/>
      <c r="N205" s="209" t="n"/>
      <c r="O205" s="16" t="inlineStr">
        <is>
          <t>Secondary</t>
        </is>
      </c>
    </row>
    <row r="206" ht="54" customHeight="1">
      <c r="A206" s="13" t="inlineStr">
        <is>
          <t>S12</t>
        </is>
      </c>
      <c r="B206" s="16" t="inlineStr">
        <is>
          <t>World Economic Forum — Future of Jobs Report 2025</t>
        </is>
      </c>
      <c r="C206" s="210" t="n"/>
      <c r="D206" s="209" t="n"/>
      <c r="E206" s="16" t="inlineStr">
        <is>
          <t>Skills outlook</t>
        </is>
      </c>
      <c r="F206" s="209" t="n"/>
      <c r="G206"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H206" s="210" t="n"/>
      <c r="I206" s="210" t="n"/>
      <c r="J206" s="209" t="n"/>
      <c r="K206" s="16" t="inlineStr">
        <is>
          <t>https://www.weforum.org/publications/the-future-of-jobs-report-2025/digest/</t>
        </is>
      </c>
      <c r="L206" s="210" t="n"/>
      <c r="M206" s="210" t="n"/>
      <c r="N206" s="209" t="n"/>
      <c r="O206" s="16" t="inlineStr">
        <is>
          <t>Primary</t>
        </is>
      </c>
    </row>
    <row r="207" ht="28" customHeight="1">
      <c r="A207" s="13" t="inlineStr">
        <is>
          <t>S13</t>
        </is>
      </c>
      <c r="B207" s="16" t="inlineStr">
        <is>
          <t>PMI Talent Triangle</t>
        </is>
      </c>
      <c r="C207" s="210" t="n"/>
      <c r="D207" s="209" t="n"/>
      <c r="E207" s="16" t="inlineStr">
        <is>
          <t>Competency model</t>
        </is>
      </c>
      <c r="F207" s="209" t="n"/>
      <c r="G207" s="16" t="inlineStr">
        <is>
          <t>Ways of Working, Power Skills, Business Acumen → leadership and project competencies</t>
        </is>
      </c>
      <c r="H207" s="210" t="n"/>
      <c r="I207" s="210" t="n"/>
      <c r="J207" s="209" t="n"/>
      <c r="K207" s="16" t="inlineStr">
        <is>
          <t>https://www.pmi.org/certifications/certification-resources/maintain/talent-triangle</t>
        </is>
      </c>
      <c r="L207" s="210" t="n"/>
      <c r="M207" s="210" t="n"/>
      <c r="N207" s="209" t="n"/>
      <c r="O207" s="16" t="inlineStr">
        <is>
          <t>Primary</t>
        </is>
      </c>
    </row>
    <row r="208" ht="67" customHeight="1">
      <c r="A208" s="13" t="inlineStr">
        <is>
          <t>S14</t>
        </is>
      </c>
      <c r="B208" s="16" t="inlineStr">
        <is>
          <t>SHL Universal Competency Framework — the Great Eight</t>
        </is>
      </c>
      <c r="C208" s="210" t="n"/>
      <c r="D208" s="209" t="n"/>
      <c r="E208" s="16" t="inlineStr">
        <is>
          <t>Competency model</t>
        </is>
      </c>
      <c r="F208" s="209" t="n"/>
      <c r="G208" s="16" t="inlineStr">
        <is>
          <t>Leading &amp; Deciding; Supporting &amp; Co-operating; Interacting &amp; Presenting; Analysing &amp; Interpreting; Creating &amp; Conceptualising; Organising &amp; Executing; Adapting &amp; Coping; Enterprising &amp; Performing → coverage check of the IRIS clusters</t>
        </is>
      </c>
      <c r="H208" s="210" t="n"/>
      <c r="I208" s="210" t="n"/>
      <c r="J208" s="209" t="n"/>
      <c r="K208" s="16" t="inlineStr">
        <is>
          <t>https://www.shl.com/assets/campaigns/global/competency-fit/universal-competency-framework-whitepaper-en.pdf</t>
        </is>
      </c>
      <c r="L208" s="210" t="n"/>
      <c r="M208" s="210" t="n"/>
      <c r="N208" s="209" t="n"/>
      <c r="O208" s="16" t="inlineStr">
        <is>
          <t>Primary</t>
        </is>
      </c>
    </row>
    <row r="209" ht="41" customHeight="1">
      <c r="A209" s="13" t="inlineStr">
        <is>
          <t>S15</t>
        </is>
      </c>
      <c r="B209" s="16" t="inlineStr">
        <is>
          <t>Korn Ferry Leadership Architect · 38 competencies in four factors: Thought, Results, People, Self</t>
        </is>
      </c>
      <c r="C209" s="210" t="n"/>
      <c r="D209" s="209" t="n"/>
      <c r="E209" s="16" t="inlineStr">
        <is>
          <t>Competency model</t>
        </is>
      </c>
      <c r="F209" s="209" t="n"/>
      <c r="G209" s="16" t="inlineStr">
        <is>
          <t>Behavioural anchors and coverage check for Core and Leadership clusters</t>
        </is>
      </c>
      <c r="H209" s="210" t="n"/>
      <c r="I209" s="210" t="n"/>
      <c r="J209" s="209" t="n"/>
      <c r="K209" s="16" t="inlineStr">
        <is>
          <t>https://cardinalatwork.stanford.edu/careers/performance-management/competencies</t>
        </is>
      </c>
      <c r="L209" s="210" t="n"/>
      <c r="M209" s="210" t="n"/>
      <c r="N209" s="209" t="n"/>
      <c r="O209" s="16" t="inlineStr">
        <is>
          <t>Secondary</t>
        </is>
      </c>
    </row>
    <row r="210" ht="41" customHeight="1">
      <c r="A210" s="13" t="inlineStr">
        <is>
          <t>S16</t>
        </is>
      </c>
      <c r="B210" s="16" t="inlineStr">
        <is>
          <t>Google Project Oxygen — 10 behaviours of great managers</t>
        </is>
      </c>
      <c r="C210" s="210" t="n"/>
      <c r="D210" s="209" t="n"/>
      <c r="E210" s="16" t="inlineStr">
        <is>
          <t>Manager research</t>
        </is>
      </c>
      <c r="F210" s="209" t="n"/>
      <c r="G210" s="16" t="inlineStr">
        <is>
          <t>Coach, empower, inclusive team, results, communicate, career development, vision, technical skill, collaborate, decide → Leadership cluster indicators</t>
        </is>
      </c>
      <c r="H210" s="210" t="n"/>
      <c r="I210" s="210" t="n"/>
      <c r="J210" s="209" t="n"/>
      <c r="K210" s="16" t="inlineStr">
        <is>
          <t>https://rework.withgoogle.com/intl/en/guides/following-the-data-the-research-behind-great-managers</t>
        </is>
      </c>
      <c r="L210" s="210" t="n"/>
      <c r="M210" s="210" t="n"/>
      <c r="N210" s="209" t="n"/>
      <c r="O210" s="16" t="inlineStr">
        <is>
          <t>Secondary</t>
        </is>
      </c>
    </row>
    <row r="211" ht="28" customHeight="1">
      <c r="A211" s="13" t="inlineStr">
        <is>
          <t>S17</t>
        </is>
      </c>
      <c r="B211" s="16" t="inlineStr">
        <is>
          <t>Digital Education Council — AI literacy framework</t>
        </is>
      </c>
      <c r="C211" s="210" t="n"/>
      <c r="D211" s="209" t="n"/>
      <c r="E211" s="16" t="inlineStr">
        <is>
          <t>AI literacy model</t>
        </is>
      </c>
      <c r="F211" s="209" t="n"/>
      <c r="G211" s="16" t="inlineStr">
        <is>
          <t>Understanding, critical evaluation and responsible use of AI → AI Literacy indicators</t>
        </is>
      </c>
      <c r="H211" s="210" t="n"/>
      <c r="I211" s="210" t="n"/>
      <c r="J211" s="209" t="n"/>
      <c r="K211" s="16" t="inlineStr">
        <is>
          <t>Digital Education Council · public</t>
        </is>
      </c>
      <c r="L211" s="210" t="n"/>
      <c r="M211" s="210" t="n"/>
      <c r="N211" s="209" t="n"/>
      <c r="O211" s="16" t="inlineStr">
        <is>
          <t>Secondary</t>
        </is>
      </c>
    </row>
    <row r="212" ht="28" customHeight="1">
      <c r="A212" s="13" t="inlineStr">
        <is>
          <t>S18</t>
        </is>
      </c>
      <c r="B212" s="16" t="inlineStr">
        <is>
          <t>SHRM BASK</t>
        </is>
      </c>
      <c r="C212" s="210" t="n"/>
      <c r="D212" s="209" t="n"/>
      <c r="E212" s="16" t="inlineStr">
        <is>
          <t>HR competency model</t>
        </is>
      </c>
      <c r="F212" s="209" t="n"/>
      <c r="G212" s="16" t="inlineStr">
        <is>
          <t>HR department technical competencies</t>
        </is>
      </c>
      <c r="H212" s="210" t="n"/>
      <c r="I212" s="210" t="n"/>
      <c r="J212" s="209" t="n"/>
      <c r="K212" s="16" t="inlineStr">
        <is>
          <t>https://www.shrm.org/credentials/certification/shrm-bask</t>
        </is>
      </c>
      <c r="L212" s="210" t="n"/>
      <c r="M212" s="210" t="n"/>
      <c r="N212" s="209" t="n"/>
      <c r="O212" s="16" t="inlineStr">
        <is>
          <t>Primary</t>
        </is>
      </c>
    </row>
    <row r="213" ht="28" customHeight="1">
      <c r="A213" s="13" t="inlineStr">
        <is>
          <t>S19</t>
        </is>
      </c>
      <c r="B213" s="16" t="inlineStr">
        <is>
          <t>CIPD Profession Map</t>
        </is>
      </c>
      <c r="C213" s="210" t="n"/>
      <c r="D213" s="209" t="n"/>
      <c r="E213" s="16" t="inlineStr">
        <is>
          <t>HR profession standard</t>
        </is>
      </c>
      <c r="F213" s="209" t="n"/>
      <c r="G213" s="16" t="inlineStr">
        <is>
          <t>HR specialist areas</t>
        </is>
      </c>
      <c r="H213" s="210" t="n"/>
      <c r="I213" s="210" t="n"/>
      <c r="J213" s="209" t="n"/>
      <c r="K213" s="16" t="inlineStr">
        <is>
          <t>https://www.cipd.org/en/the-people-profession/the-profession-map/</t>
        </is>
      </c>
      <c r="L213" s="210" t="n"/>
      <c r="M213" s="210" t="n"/>
      <c r="N213" s="209" t="n"/>
      <c r="O213" s="16" t="inlineStr">
        <is>
          <t>Primary</t>
        </is>
      </c>
    </row>
    <row r="214" ht="28" customHeight="1">
      <c r="A214" s="13" t="inlineStr">
        <is>
          <t>S20</t>
        </is>
      </c>
      <c r="B214" s="16" t="inlineStr">
        <is>
          <t>IMA Competency Framework · management accounting</t>
        </is>
      </c>
      <c r="C214" s="210" t="n"/>
      <c r="D214" s="209" t="n"/>
      <c r="E214" s="16" t="inlineStr">
        <is>
          <t>Finance competency model</t>
        </is>
      </c>
      <c r="F214" s="209" t="n"/>
      <c r="G214" s="16" t="inlineStr">
        <is>
          <t>Finance department technical competencies</t>
        </is>
      </c>
      <c r="H214" s="210" t="n"/>
      <c r="I214" s="210" t="n"/>
      <c r="J214" s="209" t="n"/>
      <c r="K214" s="16" t="inlineStr">
        <is>
          <t>https://www.imanet.org/framework</t>
        </is>
      </c>
      <c r="L214" s="210" t="n"/>
      <c r="M214" s="210" t="n"/>
      <c r="N214" s="209" t="n"/>
      <c r="O214" s="16" t="inlineStr">
        <is>
          <t>Primary</t>
        </is>
      </c>
    </row>
    <row r="215" ht="28" customHeight="1">
      <c r="A215" s="13" t="inlineStr">
        <is>
          <t>S21</t>
        </is>
      </c>
      <c r="B215" s="16" t="inlineStr">
        <is>
          <t>IIBA BABOK Guide v3</t>
        </is>
      </c>
      <c r="C215" s="210" t="n"/>
      <c r="D215" s="209" t="n"/>
      <c r="E215" s="16" t="inlineStr">
        <is>
          <t>Business-analysis standard</t>
        </is>
      </c>
      <c r="F215" s="209" t="n"/>
      <c r="G215" s="16" t="inlineStr">
        <is>
          <t>Business Analysis competencies</t>
        </is>
      </c>
      <c r="H215" s="210" t="n"/>
      <c r="I215" s="210" t="n"/>
      <c r="J215" s="209" t="n"/>
      <c r="K215" s="16" t="inlineStr">
        <is>
          <t>https://www.iiba.org</t>
        </is>
      </c>
      <c r="L215" s="210" t="n"/>
      <c r="M215" s="210" t="n"/>
      <c r="N215" s="209" t="n"/>
      <c r="O215" s="16" t="inlineStr">
        <is>
          <t>Primary</t>
        </is>
      </c>
    </row>
    <row r="216" ht="15" customHeight="1">
      <c r="A216" s="13" t="inlineStr">
        <is>
          <t>S22</t>
        </is>
      </c>
      <c r="B216" s="16" t="inlineStr">
        <is>
          <t>ISTQB</t>
        </is>
      </c>
      <c r="C216" s="210" t="n"/>
      <c r="D216" s="209" t="n"/>
      <c r="E216" s="16" t="inlineStr">
        <is>
          <t>Testing standard</t>
        </is>
      </c>
      <c r="F216" s="209" t="n"/>
      <c r="G216" s="16" t="inlineStr">
        <is>
          <t>Quality Assurance competencies and credentials</t>
        </is>
      </c>
      <c r="H216" s="210" t="n"/>
      <c r="I216" s="210" t="n"/>
      <c r="J216" s="209" t="n"/>
      <c r="K216" s="16" t="inlineStr">
        <is>
          <t>https://www.istqb.org</t>
        </is>
      </c>
      <c r="L216" s="210" t="n"/>
      <c r="M216" s="210" t="n"/>
      <c r="N216" s="209" t="n"/>
      <c r="O216" s="16" t="inlineStr">
        <is>
          <t>Primary</t>
        </is>
      </c>
    </row>
    <row r="217" ht="28" customHeight="1">
      <c r="A217" s="13" t="inlineStr">
        <is>
          <t>S23</t>
        </is>
      </c>
      <c r="B217" s="16" t="inlineStr">
        <is>
          <t>ITIL 4 and ISO/IEC 27001:2022</t>
        </is>
      </c>
      <c r="C217" s="210" t="n"/>
      <c r="D217" s="209" t="n"/>
      <c r="E217" s="16" t="inlineStr">
        <is>
          <t>IT service / security standards</t>
        </is>
      </c>
      <c r="F217" s="209" t="n"/>
      <c r="G217" s="16" t="inlineStr">
        <is>
          <t>IT &amp; Infrastructure competencies</t>
        </is>
      </c>
      <c r="H217" s="210" t="n"/>
      <c r="I217" s="210" t="n"/>
      <c r="J217" s="209" t="n"/>
      <c r="K217" s="16" t="inlineStr">
        <is>
          <t>https://www.iso.org/standard/27001</t>
        </is>
      </c>
      <c r="L217" s="210" t="n"/>
      <c r="M217" s="210" t="n"/>
      <c r="N217" s="209" t="n"/>
      <c r="O217" s="16" t="inlineStr">
        <is>
          <t>Primary</t>
        </is>
      </c>
    </row>
    <row r="218" ht="28" customHeight="1">
      <c r="A218" s="13" t="inlineStr">
        <is>
          <t>S24</t>
        </is>
      </c>
      <c r="B218" s="16" t="inlineStr">
        <is>
          <t>ICSI · Institute of Company Secretaries of India</t>
        </is>
      </c>
      <c r="C218" s="210" t="n"/>
      <c r="D218" s="209" t="n"/>
      <c r="E218" s="16" t="inlineStr">
        <is>
          <t>Statutory body</t>
        </is>
      </c>
      <c r="F218" s="209" t="n"/>
      <c r="G218" s="16" t="inlineStr">
        <is>
          <t>Secretarial &amp; Legal competencies; statutory gate for Company Secretary</t>
        </is>
      </c>
      <c r="H218" s="210" t="n"/>
      <c r="I218" s="210" t="n"/>
      <c r="J218" s="209" t="n"/>
      <c r="K218" s="16" t="inlineStr">
        <is>
          <t>https://www.icsi.edu</t>
        </is>
      </c>
      <c r="L218" s="210" t="n"/>
      <c r="M218" s="210" t="n"/>
      <c r="N218" s="209" t="n"/>
      <c r="O218" s="16" t="inlineStr">
        <is>
          <t>Primary</t>
        </is>
      </c>
    </row>
    <row r="219" ht="28" customHeight="1">
      <c r="A219" s="13" t="inlineStr">
        <is>
          <t>S25</t>
        </is>
      </c>
      <c r="B219" s="16" t="inlineStr">
        <is>
          <t>AICPA &amp; XBRL US — XBRL US GAAP Certificate</t>
        </is>
      </c>
      <c r="C219" s="210" t="n"/>
      <c r="D219" s="209" t="n"/>
      <c r="E219" s="16" t="inlineStr">
        <is>
          <t>Professional credential</t>
        </is>
      </c>
      <c r="F219" s="209" t="n"/>
      <c r="G219" s="16" t="inlineStr">
        <is>
          <t>XBRL &amp; taxonomy competency and credential</t>
        </is>
      </c>
      <c r="H219" s="210" t="n"/>
      <c r="I219" s="210" t="n"/>
      <c r="J219" s="209" t="n"/>
      <c r="K219" s="16" t="inlineStr">
        <is>
          <t>https://xbrl.us</t>
        </is>
      </c>
      <c r="L219" s="210" t="n"/>
      <c r="M219" s="210" t="n"/>
      <c r="N219" s="209" t="n"/>
      <c r="O219" s="16" t="inlineStr">
        <is>
          <t>Primary</t>
        </is>
      </c>
    </row>
    <row r="220" ht="28" customHeight="1">
      <c r="A220" s="13" t="inlineStr">
        <is>
          <t>S26</t>
        </is>
      </c>
      <c r="B220" s="16" t="inlineStr">
        <is>
          <t>ILO ISCO-08 · India's NCO-2015 follows the same structure</t>
        </is>
      </c>
      <c r="C220" s="210" t="n"/>
      <c r="D220" s="209" t="n"/>
      <c r="E220" s="16" t="inlineStr">
        <is>
          <t>Occupation classification</t>
        </is>
      </c>
      <c r="F220" s="209" t="n"/>
      <c r="G220" s="16" t="inlineStr">
        <is>
          <t>Each job family is anchored to an ISCO-08 unit group so families are standard, not invented</t>
        </is>
      </c>
      <c r="H220" s="210" t="n"/>
      <c r="I220" s="210" t="n"/>
      <c r="J220" s="209" t="n"/>
      <c r="K220" s="16" t="inlineStr">
        <is>
          <t>https://worldoftaxonomy.com/system/isco_08/node/251</t>
        </is>
      </c>
      <c r="L220" s="210" t="n"/>
      <c r="M220" s="210" t="n"/>
      <c r="N220" s="209" t="n"/>
      <c r="O220" s="16" t="inlineStr">
        <is>
          <t>Primary</t>
        </is>
      </c>
    </row>
    <row r="221" ht="67" customHeight="1">
      <c r="A221" s="13" t="inlineStr">
        <is>
          <t>S27</t>
        </is>
      </c>
      <c r="B221" s="16" t="inlineStr">
        <is>
          <t>Deloitte — The skills-based organization: a new operating model for work and the workforce</t>
        </is>
      </c>
      <c r="C221" s="210" t="n"/>
      <c r="D221" s="209" t="n"/>
      <c r="E221" s="16" t="inlineStr">
        <is>
          <t>Workforce research</t>
        </is>
      </c>
      <c r="F221" s="209" t="n"/>
      <c r="G221" s="16" t="inlineStr">
        <is>
          <t>71% of workers already perform some work outside the scope of their job descriptions · The skills-based organization, Deloitte Insights, 7 Sep 2022 → sub-families describe actual work; skills tracked per person</t>
        </is>
      </c>
      <c r="H221" s="210" t="n"/>
      <c r="I221" s="210" t="n"/>
      <c r="J221" s="209" t="n"/>
      <c r="K221" s="16" t="inlineStr">
        <is>
          <t>https://www.deloitte.com/us/en/insights/topics/talent/organizational-skill-based-hiring.html</t>
        </is>
      </c>
      <c r="L221" s="210" t="n"/>
      <c r="M221" s="210" t="n"/>
      <c r="N221" s="209" t="n"/>
      <c r="O221" s="16" t="inlineStr">
        <is>
          <t>Primary</t>
        </is>
      </c>
    </row>
    <row r="222" ht="54" customHeight="1">
      <c r="A222" s="13" t="inlineStr">
        <is>
          <t>S30</t>
        </is>
      </c>
      <c r="B222" s="16" t="inlineStr">
        <is>
          <t>Workiva — engineering levels · Levels.fyi</t>
        </is>
      </c>
      <c r="C222" s="210" t="n"/>
      <c r="D222" s="209" t="n"/>
      <c r="E222" s="16" t="inlineStr">
        <is>
          <t>Product peer · XBRL / regtech SaaS</t>
        </is>
      </c>
      <c r="F222" s="209" t="n"/>
      <c r="G222" s="16" t="inlineStr">
        <is>
          <t>Associate SE → SE → Senior SE → Staff SE → Senior Staff SE · Levels.fyi pages could not be loaded; level names confirmed from Levels.fyi page titles and Workiva postings</t>
        </is>
      </c>
      <c r="H222" s="210" t="n"/>
      <c r="I222" s="210" t="n"/>
      <c r="J222" s="209" t="n"/>
      <c r="K222" s="16" t="inlineStr">
        <is>
          <t>https://www.levels.fyi/companies/workiva/salaries/software-engineer</t>
        </is>
      </c>
      <c r="L222" s="210" t="n"/>
      <c r="M222" s="210" t="n"/>
      <c r="N222" s="209" t="n"/>
      <c r="O222" s="16" t="inlineStr">
        <is>
          <t>Secondary</t>
        </is>
      </c>
    </row>
    <row r="223" ht="28" customHeight="1">
      <c r="A223" s="13" t="inlineStr">
        <is>
          <t>S31</t>
        </is>
      </c>
      <c r="B223" s="16" t="inlineStr">
        <is>
          <t>DataTracks — careers site</t>
        </is>
      </c>
      <c r="C223" s="210" t="n"/>
      <c r="D223" s="209" t="n"/>
      <c r="E223" s="16" t="inlineStr">
        <is>
          <t>Services peer · XBRL / iXBRL filing, India</t>
        </is>
      </c>
      <c r="F223" s="209" t="n"/>
      <c r="G223" s="16" t="inlineStr">
        <is>
          <r>
            <rPr>
              <rFont val="Calibri"/>
              <b val="1"/>
              <sz val="10"/>
            </rPr>
            <t>Two published rungs:</t>
          </r>
          <r>
            <rPr>
              <rFont val="Calibri"/>
              <sz val="10"/>
            </rPr>
            <t xml:space="preserve"> Associate · freshers → Senior Associate · 2–5 yrs; nothing above is published</t>
          </r>
        </is>
      </c>
      <c r="H223" s="210" t="n"/>
      <c r="I223" s="210" t="n"/>
      <c r="J223" s="209" t="n"/>
      <c r="K223" s="16" t="inlineStr">
        <is>
          <t>https://www.datatracks.com/in/careers/</t>
        </is>
      </c>
      <c r="L223" s="210" t="n"/>
      <c r="M223" s="210" t="n"/>
      <c r="N223" s="209" t="n"/>
      <c r="O223" s="16" t="inlineStr">
        <is>
          <t>Job postings</t>
        </is>
      </c>
    </row>
    <row r="224" ht="54" customHeight="1">
      <c r="A224" s="13" t="inlineStr">
        <is>
          <t>S32</t>
        </is>
      </c>
      <c r="B224" s="16" t="inlineStr">
        <is>
          <t>Google / Microsoft / Amazon engineering levels</t>
        </is>
      </c>
      <c r="C224" s="210" t="n"/>
      <c r="D224" s="209" t="n"/>
      <c r="E224" s="16" t="inlineStr">
        <is>
          <t>Global product companies</t>
        </is>
      </c>
      <c r="F224" s="209" t="n"/>
      <c r="G224"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H224" s="210" t="n"/>
      <c r="I224" s="210" t="n"/>
      <c r="J224" s="209" t="n"/>
      <c r="K224" s="16" t="inlineStr">
        <is>
          <t>https://testrigor.com/blog/engineering-levels-in-different-companies-compared/ ; https://rajendrauppal.substack.com/p/understanding-levels-at-google-microsoft</t>
        </is>
      </c>
      <c r="L224" s="210" t="n"/>
      <c r="M224" s="210" t="n"/>
      <c r="N224" s="209" t="n"/>
      <c r="O224" s="16" t="inlineStr">
        <is>
          <t>Secondary</t>
        </is>
      </c>
    </row>
    <row r="225" ht="54" customHeight="1">
      <c r="A225" s="13" t="inlineStr">
        <is>
          <t>S33</t>
        </is>
      </c>
      <c r="B225" s="16" t="inlineStr">
        <is>
          <t>Infosys job levels</t>
        </is>
      </c>
      <c r="C225" s="210" t="n"/>
      <c r="D225" s="209" t="n"/>
      <c r="E225" s="16" t="inlineStr">
        <is>
          <t>Indian IT services</t>
        </is>
      </c>
      <c r="F225" s="209" t="n"/>
      <c r="G225" s="16" t="inlineStr">
        <is>
          <t>JL3B Systems Engineer · 0–3 yrs → JL3A Senior SE → JL4 Technology Analyst → JL5 Technology Lead → JL6B Architect / PM → JL6A Senior Architect</t>
        </is>
      </c>
      <c r="H225" s="210" t="n"/>
      <c r="I225" s="210" t="n"/>
      <c r="J225" s="209" t="n"/>
      <c r="K225" s="16" t="inlineStr">
        <is>
          <t>https://www.designgurus.io/blog/infosys-job-levels</t>
        </is>
      </c>
      <c r="L225" s="210" t="n"/>
      <c r="M225" s="210" t="n"/>
      <c r="N225" s="209" t="n"/>
      <c r="O225" s="16" t="inlineStr">
        <is>
          <t>Indicative</t>
        </is>
      </c>
    </row>
    <row r="226" ht="54" customHeight="1">
      <c r="A226" s="13" t="inlineStr">
        <is>
          <t>S34</t>
        </is>
      </c>
      <c r="B226" s="16" t="inlineStr">
        <is>
          <t>TCS grades</t>
        </is>
      </c>
      <c r="C226" s="210" t="n"/>
      <c r="D226" s="209" t="n"/>
      <c r="E226" s="16" t="inlineStr">
        <is>
          <t>Indian IT services</t>
        </is>
      </c>
      <c r="F226" s="209" t="n"/>
      <c r="G226" s="16" t="inlineStr">
        <is>
          <t>C1Y ASE Trainee → C1 ASE / System Engineer → C2 IT Analyst → C3A Assistant Consultant → C3B Associate Consultant → C4 Consultant → C5 Senior Consultant → SP1 Principal Consultant</t>
        </is>
      </c>
      <c r="H226" s="210" t="n"/>
      <c r="I226" s="210" t="n"/>
      <c r="J226" s="209" t="n"/>
      <c r="K226" s="16" t="inlineStr">
        <is>
          <t>https://www.designgurus.io/blog/tcs-job-levels</t>
        </is>
      </c>
      <c r="L226" s="210" t="n"/>
      <c r="M226" s="210" t="n"/>
      <c r="N226" s="209" t="n"/>
      <c r="O226" s="16" t="inlineStr">
        <is>
          <t>Indicative</t>
        </is>
      </c>
    </row>
    <row r="227" ht="54" customHeight="1">
      <c r="A227" s="13" t="inlineStr">
        <is>
          <t>S35</t>
        </is>
      </c>
      <c r="B227" s="16" t="inlineStr">
        <is>
          <t>Accenture India career levels</t>
        </is>
      </c>
      <c r="C227" s="210" t="n"/>
      <c r="D227" s="209" t="n"/>
      <c r="E227" s="16" t="inlineStr">
        <is>
          <t>Global IT services</t>
        </is>
      </c>
      <c r="F227" s="209" t="n"/>
      <c r="G227" s="16" t="inlineStr">
        <is>
          <t>L12 Associate · 0–1 yrs → L11 Analyst → L10 Senior Analyst → L9 Team Lead / Consultant → L8 Associate Manager → L7 Manager → L6 Senior Manager → L5+ leadership</t>
        </is>
      </c>
      <c r="H227" s="210" t="n"/>
      <c r="I227" s="210" t="n"/>
      <c r="J227" s="209" t="n"/>
      <c r="K227" s="16" t="inlineStr">
        <is>
          <t>https://jobrise.io/hi/blog/accenture-salary-package-2026-india/</t>
        </is>
      </c>
      <c r="L227" s="210" t="n"/>
      <c r="M227" s="210" t="n"/>
      <c r="N227" s="209" t="n"/>
      <c r="O227" s="16" t="inlineStr">
        <is>
          <t>Indicative</t>
        </is>
      </c>
    </row>
    <row r="228" ht="41" customHeight="1">
      <c r="A228" s="13" t="inlineStr">
        <is>
          <t>S36</t>
        </is>
      </c>
      <c r="B228" s="16" t="inlineStr">
        <is>
          <t>Deloitte India / USI hierarchy</t>
        </is>
      </c>
      <c r="C228" s="210" t="n"/>
      <c r="D228" s="209" t="n"/>
      <c r="E228" s="16" t="inlineStr">
        <is>
          <t>Big Four consulting</t>
        </is>
      </c>
      <c r="F228" s="209" t="n"/>
      <c r="G228" s="16" t="inlineStr">
        <is>
          <t>Associate Analyst → Analyst → Consultant → Senior Consultant → Manager → Senior Manager → Managing Director → Partner / Principal</t>
        </is>
      </c>
      <c r="H228" s="210" t="n"/>
      <c r="I228" s="210" t="n"/>
      <c r="J228" s="209" t="n"/>
      <c r="K228" s="16" t="inlineStr">
        <is>
          <t>https://networkinterview.com/technical-hierarchy-deloitte-india/</t>
        </is>
      </c>
      <c r="L228" s="210" t="n"/>
      <c r="M228" s="210" t="n"/>
      <c r="N228" s="209" t="n"/>
      <c r="O228" s="16" t="inlineStr">
        <is>
          <t>Indicative</t>
        </is>
      </c>
    </row>
    <row r="229" ht="41" customHeight="1">
      <c r="A229" s="13" t="inlineStr">
        <is>
          <t>S37</t>
        </is>
      </c>
      <c r="B229" s="16" t="inlineStr">
        <is>
          <t>GitLab — job frameworks and layers</t>
        </is>
      </c>
      <c r="C229" s="210" t="n"/>
      <c r="D229" s="209" t="n"/>
      <c r="E229" s="16" t="inlineStr">
        <is>
          <t>Product company · public handbook</t>
        </is>
      </c>
      <c r="F229" s="209" t="n"/>
      <c r="G229" s="16" t="inlineStr">
        <is>
          <t>Two job frameworks · IC, people manager; ≤ 8 layers; Staff ↔ Manager, Principal ↔ Senior Manager, Distinguished ↔ Director, Fellow ↔ VP</t>
        </is>
      </c>
      <c r="H229" s="210" t="n"/>
      <c r="I229" s="210" t="n"/>
      <c r="J229" s="209" t="n"/>
      <c r="K229" s="16" t="inlineStr">
        <is>
          <t>https://handbook.gitlab.com/handbook/company/structure/</t>
        </is>
      </c>
      <c r="L229" s="210" t="n"/>
      <c r="M229" s="210" t="n"/>
      <c r="N229" s="209" t="n"/>
      <c r="O229" s="16" t="inlineStr">
        <is>
          <t>Primary</t>
        </is>
      </c>
    </row>
    <row r="230" ht="41" customHeight="1">
      <c r="A230" s="13" t="inlineStr">
        <is>
          <t>S38</t>
        </is>
      </c>
      <c r="B230" s="16" t="inlineStr">
        <is>
          <t>Infosys, McKinsey, Unilever / HUL, Google — hiring practices</t>
        </is>
      </c>
      <c r="C230" s="210" t="n"/>
      <c r="D230" s="209" t="n"/>
      <c r="E230" s="16" t="inlineStr">
        <is>
          <t>Practice benchmarks</t>
        </is>
      </c>
      <c r="F230" s="209" t="n"/>
      <c r="G230" s="16" t="inlineStr">
        <is>
          <t>Tiered campus entry; entry level by qualification; management-trainee programme; independent levelling panel</t>
        </is>
      </c>
      <c r="H230" s="210" t="n"/>
      <c r="I230" s="210" t="n"/>
      <c r="J230" s="209" t="n"/>
      <c r="K230" s="16" t="inlineStr">
        <is>
          <t>Public careers / recruiting pages</t>
        </is>
      </c>
      <c r="L230" s="210" t="n"/>
      <c r="M230" s="210" t="n"/>
      <c r="N230" s="209" t="n"/>
      <c r="O230" s="16" t="inlineStr">
        <is>
          <t>Secondary</t>
        </is>
      </c>
    </row>
    <row r="231" ht="41" customHeight="1">
      <c r="A231" s="13" t="inlineStr">
        <is>
          <t>S44</t>
        </is>
      </c>
      <c r="B231" s="16" t="inlineStr">
        <is>
          <t>Software Engineering at Google — ch. 5 'How to Lead a Team' · Tech Lead Manager</t>
        </is>
      </c>
      <c r="C231" s="210" t="n"/>
      <c r="D231" s="209" t="n"/>
      <c r="E231" s="16" t="inlineStr">
        <is>
          <t>Practice benchmark</t>
        </is>
      </c>
      <c r="F231" s="209" t="n"/>
      <c r="G231" s="16" t="inlineStr">
        <is>
          <t>The Tech Lead Manager · TLM — a hybrid who leads a team and still contributes technically → B+ Player-Coach</t>
        </is>
      </c>
      <c r="H231" s="210" t="n"/>
      <c r="I231" s="210" t="n"/>
      <c r="J231" s="209" t="n"/>
      <c r="K231" s="16" t="inlineStr">
        <is>
          <t>https://abseil.io/resources/swe-book/html/ch05.html ; https://newsletter.pragmaticengineer.com/p/leading-effective-engineering-teams</t>
        </is>
      </c>
      <c r="L231" s="210" t="n"/>
      <c r="M231" s="210" t="n"/>
      <c r="N231" s="209" t="n"/>
      <c r="O231" s="16" t="inlineStr">
        <is>
          <t>Primary</t>
        </is>
      </c>
    </row>
    <row r="232" ht="67" customHeight="1">
      <c r="A232" s="13" t="inlineStr">
        <is>
          <t>S45</t>
        </is>
      </c>
      <c r="B232" s="16" t="inlineStr">
        <is>
          <t>SaaS player-coach sales and revenue leaders · job postings</t>
        </is>
      </c>
      <c r="C232" s="210" t="n"/>
      <c r="D232" s="209" t="n"/>
      <c r="E232" s="16" t="inlineStr">
        <is>
          <t>Practice benchmark</t>
        </is>
      </c>
      <c r="F232" s="209" t="n"/>
      <c r="G232" s="16" t="inlineStr">
        <is>
          <t>Leaders who carry their own quota or book while building and coaching the team → C+ / B+ Player-Coach in commercial roles</t>
        </is>
      </c>
      <c r="H232" s="210" t="n"/>
      <c r="I232" s="210" t="n"/>
      <c r="J232" s="209" t="n"/>
      <c r="K232" s="16" t="inlineStr">
        <is>
          <t>https://www.itjobswatch.co.uk/jv/Space-Executive/Sales-Lead-Player-Coach-HR-Tech-Job-City-of-London-Greater-London-UK-4vommq ; https://salesgravy.com/the-player-coach-problem-how-to-prospect-and-lead-at-the-same-time-ask-jeb/</t>
        </is>
      </c>
      <c r="L232" s="210" t="n"/>
      <c r="M232" s="210" t="n"/>
      <c r="N232" s="209" t="n"/>
      <c r="O232" s="16" t="inlineStr">
        <is>
          <t>Job postings</t>
        </is>
      </c>
    </row>
    <row r="233" ht="54" customHeight="1">
      <c r="A233" s="13" t="inlineStr">
        <is>
          <t>S46</t>
        </is>
      </c>
      <c r="B233" s="16" t="inlineStr">
        <is>
          <t>Canada Treasury Board — Executive Group Position Evaluation Plan, 2005</t>
        </is>
      </c>
      <c r="C233" s="210" t="n"/>
      <c r="D233" s="209" t="n"/>
      <c r="E233" s="16" t="inlineStr">
        <is>
          <t>Job-evaluation plan · Hay-based</t>
        </is>
      </c>
      <c r="F233" s="209" t="n"/>
      <c r="G233" s="16" t="inlineStr">
        <is>
          <t>Verified Hay point evaluations of real manager and executive jobs; the know-how / problem solving / accountability split by level used in the weight derivation</t>
        </is>
      </c>
      <c r="H233" s="210" t="n"/>
      <c r="I233" s="210" t="n"/>
      <c r="J233" s="209" t="n"/>
      <c r="K233" s="16" t="inlineStr">
        <is>
          <t>https://www.canada.ca/en/treasury-board-secretariat/services/collective-agreements/job-evaluation/executive-group-position-evaluation-plan-september-2005.html</t>
        </is>
      </c>
      <c r="L233" s="210" t="n"/>
      <c r="M233" s="210" t="n"/>
      <c r="N233" s="209" t="n"/>
      <c r="O233" s="16" t="inlineStr">
        <is>
          <t>Primary</t>
        </is>
      </c>
    </row>
    <row r="234" ht="80" customHeight="1">
      <c r="A234" s="13" t="inlineStr">
        <is>
          <t>S47</t>
        </is>
      </c>
      <c r="B234" s="16" t="inlineStr">
        <is>
          <t>Canada Treasury Board — Executive Group Position Evaluation Plan, 2022</t>
        </is>
      </c>
      <c r="C234" s="210" t="n"/>
      <c r="D234" s="209" t="n"/>
      <c r="E234" s="16" t="inlineStr">
        <is>
          <t>Job-evaluation plan · Hay-based</t>
        </is>
      </c>
      <c r="F234" s="209" t="n"/>
      <c r="G234" s="16" t="inlineStr">
        <is>
          <t>Current version of the same plan with benchmark evaluations; confirms accountability's share rises with seniority</t>
        </is>
      </c>
      <c r="H234" s="210" t="n"/>
      <c r="I234" s="210" t="n"/>
      <c r="J234" s="209" t="n"/>
      <c r="K234"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L234" s="210" t="n"/>
      <c r="M234" s="210" t="n"/>
      <c r="N234" s="209" t="n"/>
      <c r="O234" s="16" t="inlineStr">
        <is>
          <t>Primary</t>
        </is>
      </c>
    </row>
    <row r="235" ht="41" customHeight="1">
      <c r="A235" s="13" t="inlineStr">
        <is>
          <t>S48</t>
        </is>
      </c>
      <c r="B235" s="16" t="inlineStr">
        <is>
          <t>Hay Group — summary deck of the Guide Chart-Profile method</t>
        </is>
      </c>
      <c r="C235" s="210" t="n"/>
      <c r="D235" s="209" t="n"/>
      <c r="E235" s="16" t="inlineStr">
        <is>
          <t>Method summary</t>
        </is>
      </c>
      <c r="F235" s="209" t="n"/>
      <c r="G235" s="16" t="inlineStr">
        <is>
          <t>Typical Hay profiles for clerical, specialist and supervisory jobs; the shares used for the junior and professional rows</t>
        </is>
      </c>
      <c r="H235" s="210" t="n"/>
      <c r="I235" s="210" t="n"/>
      <c r="J235" s="209" t="n"/>
      <c r="K235" s="16" t="inlineStr">
        <is>
          <t>https://www.slideshare.net/slideshow/hay-summary/55196354</t>
        </is>
      </c>
      <c r="L235" s="210" t="n"/>
      <c r="M235" s="210" t="n"/>
      <c r="N235" s="209" t="n"/>
      <c r="O235" s="16" t="inlineStr">
        <is>
          <t>Secondary</t>
        </is>
      </c>
    </row>
    <row r="236" ht="41" customHeight="1">
      <c r="A236" s="13" t="inlineStr">
        <is>
          <t>S49</t>
        </is>
      </c>
      <c r="B236" s="16" t="inlineStr">
        <is>
          <t>Lincolnshire County Council — Hay Group job evaluation method</t>
        </is>
      </c>
      <c r="C236" s="210" t="n"/>
      <c r="D236" s="209" t="n"/>
      <c r="E236" s="16" t="inlineStr">
        <is>
          <t>Public-sector Hay guide</t>
        </is>
      </c>
      <c r="F236" s="209" t="n"/>
      <c r="G236" s="16" t="inlineStr">
        <is>
          <t>Defines know-how as all knowledge and skill however acquired — the basis for not scoring experience on its own</t>
        </is>
      </c>
      <c r="H236" s="210" t="n"/>
      <c r="I236" s="210" t="n"/>
      <c r="J236" s="209" t="n"/>
      <c r="K236" s="16" t="inlineStr">
        <is>
          <t>https://professionals.lincolnshire.gov.uk/downloads/file/576/hay-group-je-method</t>
        </is>
      </c>
      <c r="L236" s="210" t="n"/>
      <c r="M236" s="210" t="n"/>
      <c r="N236" s="209" t="n"/>
      <c r="O236" s="16" t="inlineStr">
        <is>
          <t>Primary</t>
        </is>
      </c>
    </row>
    <row r="237" ht="28" customHeight="1">
      <c r="A237" s="13" t="inlineStr">
        <is>
          <t>S50</t>
        </is>
      </c>
      <c r="B237" s="16" t="inlineStr">
        <is>
          <t>Western University — Hay method overview</t>
        </is>
      </c>
      <c r="C237" s="210" t="n"/>
      <c r="D237" s="209" t="n"/>
      <c r="E237" s="16" t="inlineStr">
        <is>
          <t>University Hay guide</t>
        </is>
      </c>
      <c r="F237" s="209" t="n"/>
      <c r="G237" s="16" t="inlineStr">
        <is>
          <t>Plain explanation of the three Hay factors and the short profile; cross-check of the Hay shares</t>
        </is>
      </c>
      <c r="H237" s="210" t="n"/>
      <c r="I237" s="210" t="n"/>
      <c r="J237" s="209" t="n"/>
      <c r="K237" s="16" t="inlineStr">
        <is>
          <t>https://www.uwo.ca/humanresources/wjec/docs/hay_method_overview.pdf</t>
        </is>
      </c>
      <c r="L237" s="210" t="n"/>
      <c r="M237" s="210" t="n"/>
      <c r="N237" s="209" t="n"/>
      <c r="O237" s="16" t="inlineStr">
        <is>
          <t>Secondary</t>
        </is>
      </c>
    </row>
    <row r="238" ht="41" customHeight="1">
      <c r="A238" s="13" t="inlineStr">
        <is>
          <t>S51</t>
        </is>
      </c>
      <c r="B238" s="16" t="inlineStr">
        <is>
          <t>Derbyshire County Council — Korn Ferry Hay scheme</t>
        </is>
      </c>
      <c r="C238" s="210" t="n"/>
      <c r="D238" s="209" t="n"/>
      <c r="E238" s="16" t="inlineStr">
        <is>
          <t>Public-sector Hay guide</t>
        </is>
      </c>
      <c r="F238" s="209" t="n"/>
      <c r="G238" s="16" t="inlineStr">
        <is>
          <t>Confirms current Korn Ferry Hay use in UK public employers and the factor definitions</t>
        </is>
      </c>
      <c r="H238" s="210" t="n"/>
      <c r="I238" s="210" t="n"/>
      <c r="J238" s="209" t="n"/>
      <c r="K238" s="16" t="inlineStr">
        <is>
          <t>https://staff.derbyshire.gov.uk/jobs-and-recruitment/job-evaluation/korn-ferry-hay-scheme/korn-ferry-hay-scheme.aspx</t>
        </is>
      </c>
      <c r="L238" s="210" t="n"/>
      <c r="M238" s="210" t="n"/>
      <c r="N238" s="209" t="n"/>
      <c r="O238" s="16" t="inlineStr">
        <is>
          <t>Secondary</t>
        </is>
      </c>
    </row>
    <row r="239" ht="41" customHeight="1">
      <c r="A239" s="13" t="inlineStr">
        <is>
          <t>S52</t>
        </is>
      </c>
      <c r="B239" s="16" t="inlineStr">
        <is>
          <t>Mercer IPE — position evaluation manual and factor sheet</t>
        </is>
      </c>
      <c r="C239" s="210" t="n"/>
      <c r="D239" s="209" t="n"/>
      <c r="E239" s="16" t="inlineStr">
        <is>
          <t>Job-evaluation method · third-party copies</t>
        </is>
      </c>
      <c r="F239" s="209" t="n"/>
      <c r="G239" s="16" t="inlineStr">
        <is>
          <t>Maximum points per factor and the factor definitions — Impact, Communication, Innovation, Knowledge — used for the IPE column of the derivation</t>
        </is>
      </c>
      <c r="H239" s="210" t="n"/>
      <c r="I239" s="210" t="n"/>
      <c r="J239" s="209" t="n"/>
      <c r="K239" s="16" t="inlineStr">
        <is>
          <t>https://www.karlancer.com/api/file/1685038954-V7Gx.pdf ; https://studylib.net/doc/25471018/197145561-evaluation-factors-mercer</t>
        </is>
      </c>
      <c r="L239" s="210" t="n"/>
      <c r="M239" s="210" t="n"/>
      <c r="N239" s="209" t="n"/>
      <c r="O239" s="16" t="inlineStr">
        <is>
          <t>Secondary</t>
        </is>
      </c>
    </row>
    <row r="240" ht="41" customHeight="1">
      <c r="A240" s="13" t="inlineStr">
        <is>
          <t>S53</t>
        </is>
      </c>
      <c r="B240" s="16" t="inlineStr">
        <is>
          <t>NHS Agenda for Change — Job Evaluation Handbook</t>
        </is>
      </c>
      <c r="C240" s="210" t="n"/>
      <c r="D240" s="209" t="n"/>
      <c r="E240" s="16" t="inlineStr">
        <is>
          <t>Public point-factor plan</t>
        </is>
      </c>
      <c r="F240" s="209" t="n"/>
      <c r="G240" s="16" t="inlineStr">
        <is>
          <t>16 factors and 1,000 points with published weights; knowledge 24%, financial and physical resources 6%</t>
        </is>
      </c>
      <c r="H240" s="210" t="n"/>
      <c r="I240" s="210" t="n"/>
      <c r="J240" s="209" t="n"/>
      <c r="K240" s="16" t="inlineStr">
        <is>
          <t>https://www.nhsemployers.org/sites/default/files/pdf/22/165.pdf</t>
        </is>
      </c>
      <c r="L240" s="210" t="n"/>
      <c r="M240" s="210" t="n"/>
      <c r="N240" s="209" t="n"/>
      <c r="O240" s="16" t="inlineStr">
        <is>
          <t>Primary</t>
        </is>
      </c>
    </row>
    <row r="241" ht="28" customHeight="1">
      <c r="A241" s="13" t="inlineStr">
        <is>
          <t>S54</t>
        </is>
      </c>
      <c r="B241" s="16" t="inlineStr">
        <is>
          <t>Police Staff Council — job evaluation handbook, NJC 13-factor scheme</t>
        </is>
      </c>
      <c r="C241" s="210" t="n"/>
      <c r="D241" s="209" t="n"/>
      <c r="E241" s="16" t="inlineStr">
        <is>
          <t>Public point-factor plan</t>
        </is>
      </c>
      <c r="F241" s="209" t="n"/>
      <c r="G241" s="16" t="inlineStr">
        <is>
          <t>Published factor points for the UK local-government scheme; used for the public-plan average</t>
        </is>
      </c>
      <c r="H241" s="210" t="n"/>
      <c r="I241" s="210" t="n"/>
      <c r="J241" s="209" t="n"/>
      <c r="K241" s="16" t="inlineStr">
        <is>
          <t>https://lb2.local.gov.uk/sites/default/files/documents/police-staff-council-13-f-342.pdf</t>
        </is>
      </c>
      <c r="L241" s="210" t="n"/>
      <c r="M241" s="210" t="n"/>
      <c r="N241" s="209" t="n"/>
      <c r="O241" s="16" t="inlineStr">
        <is>
          <t>Primary</t>
        </is>
      </c>
    </row>
    <row r="242" ht="41" customHeight="1">
      <c r="A242" s="13" t="inlineStr">
        <is>
          <t>S55</t>
        </is>
      </c>
      <c r="B242" s="16" t="inlineStr">
        <is>
          <t>Greater London Provincial Council — points weighting, Denbighshire County Council</t>
        </is>
      </c>
      <c r="C242" s="210" t="n"/>
      <c r="D242" s="209" t="n"/>
      <c r="E242" s="16" t="inlineStr">
        <is>
          <t>Public point-factor plan</t>
        </is>
      </c>
      <c r="F242" s="209" t="n"/>
      <c r="G242" s="16" t="inlineStr">
        <is>
          <t>11 factors and 948 points with published weights</t>
        </is>
      </c>
      <c r="H242" s="210" t="n"/>
      <c r="I242" s="210" t="n"/>
      <c r="J242" s="209" t="n"/>
      <c r="K242" s="16" t="inlineStr">
        <is>
          <t>https://www.sirddinbych.gov.uk/en/documents/jobs-and-employees/my-employment/reorganisation-and-change/glpc-points-weighting.pdf</t>
        </is>
      </c>
      <c r="L242" s="210" t="n"/>
      <c r="M242" s="210" t="n"/>
      <c r="N242" s="209" t="n"/>
      <c r="O242" s="16" t="inlineStr">
        <is>
          <t>Primary</t>
        </is>
      </c>
    </row>
    <row r="243" ht="28" customHeight="1">
      <c r="A243" s="13" t="inlineStr">
        <is>
          <t>S56</t>
        </is>
      </c>
      <c r="B243" s="16" t="inlineStr">
        <is>
          <t>Scottish Joint Council scheme — Highland Council scoring matrix</t>
        </is>
      </c>
      <c r="C243" s="210" t="n"/>
      <c r="D243" s="209" t="n"/>
      <c r="E243" s="16" t="inlineStr">
        <is>
          <t>Public point-factor plan</t>
        </is>
      </c>
      <c r="F243" s="209" t="n"/>
      <c r="G243" s="16" t="inlineStr">
        <is>
          <t>13 factors and 1,000 points with published weights</t>
        </is>
      </c>
      <c r="H243" s="210" t="n"/>
      <c r="I243" s="210" t="n"/>
      <c r="J243" s="209" t="n"/>
      <c r="K243" s="16" t="inlineStr">
        <is>
          <t>https://www.highland.gov.uk/download/downloads/id/3889/scoring_matrix.pdf</t>
        </is>
      </c>
      <c r="L243" s="210" t="n"/>
      <c r="M243" s="210" t="n"/>
      <c r="N243" s="209" t="n"/>
      <c r="O243" s="16" t="inlineStr">
        <is>
          <t>Primary</t>
        </is>
      </c>
    </row>
    <row r="244" ht="41" customHeight="1">
      <c r="A244" s="13" t="inlineStr">
        <is>
          <t>S57</t>
        </is>
      </c>
      <c r="B244" s="16" t="inlineStr">
        <is>
          <t>US OPM — Introduction to the Position Classification Standards, Factor Evaluation System</t>
        </is>
      </c>
      <c r="C244" s="210" t="n"/>
      <c r="D244" s="209" t="n"/>
      <c r="E244" s="16" t="inlineStr">
        <is>
          <t>Public point-factor plan</t>
        </is>
      </c>
      <c r="F244" s="209" t="n"/>
      <c r="G244" s="16" t="inlineStr">
        <is>
          <t>9 factors and 4,480 points; the most knowledge-heavy plan, with no separate financial factor</t>
        </is>
      </c>
      <c r="H244" s="210" t="n"/>
      <c r="I244" s="210" t="n"/>
      <c r="J244" s="209" t="n"/>
      <c r="K244" s="16" t="inlineStr">
        <is>
          <t>https://www.opm.gov/policy-data-oversight/classification-qualifications/classifying-general-schedule-positions/positionclassificationintro.pdf</t>
        </is>
      </c>
      <c r="L244" s="210" t="n"/>
      <c r="M244" s="210" t="n"/>
      <c r="N244" s="209" t="n"/>
      <c r="O244" s="16" t="inlineStr">
        <is>
          <t>Primary</t>
        </is>
      </c>
    </row>
    <row r="245" ht="80" customHeight="1">
      <c r="A245" s="13" t="inlineStr">
        <is>
          <t>S58</t>
        </is>
      </c>
      <c r="B245" s="16" t="inlineStr">
        <is>
          <t>McKinsey — Taking a skills-based approach to building the future workforce, 2022</t>
        </is>
      </c>
      <c r="C245" s="210" t="n"/>
      <c r="D245" s="209" t="n"/>
      <c r="E245" s="16" t="inlineStr">
        <is>
          <t>Research report</t>
        </is>
      </c>
      <c r="F245" s="209" t="n"/>
      <c r="G245" s="16" t="inlineStr">
        <is>
          <t>Hiring for skills is more than twice as predictive as hiring for work experience — support for a low Experience weight</t>
        </is>
      </c>
      <c r="H245" s="210" t="n"/>
      <c r="I245" s="210" t="n"/>
      <c r="J245" s="209" t="n"/>
      <c r="K245" s="16" t="inlineStr">
        <is>
          <t>https://www.mckinsey.com/~/media/mckinsey/business%20functions/people%20and%20organizational%20performance/our%20insights/taking%20a%20skills%20based%20approach%20to%20building%20the%20future%20workforce/taking-a-skills-based-approach-to-building-the-future-workforce-vf.pdf</t>
        </is>
      </c>
      <c r="L245" s="210" t="n"/>
      <c r="M245" s="210" t="n"/>
      <c r="N245" s="209" t="n"/>
      <c r="O245" s="16" t="inlineStr">
        <is>
          <t>Primary</t>
        </is>
      </c>
    </row>
    <row r="246" ht="41" customHeight="1">
      <c r="A246" s="13" t="inlineStr">
        <is>
          <t>S59</t>
        </is>
      </c>
      <c r="B246" s="16" t="inlineStr">
        <is>
          <t>Deloitte — Human Capital Trends 2023, skills-based model</t>
        </is>
      </c>
      <c r="C246" s="210" t="n"/>
      <c r="D246" s="209" t="n"/>
      <c r="E246" s="16" t="inlineStr">
        <is>
          <t>Research report</t>
        </is>
      </c>
      <c r="F246" s="209" t="n"/>
      <c r="G246" s="16" t="inlineStr">
        <is>
          <t>Organisations moving to deploy and promote on skills rather than tenure or job history</t>
        </is>
      </c>
      <c r="H246" s="210" t="n"/>
      <c r="I246" s="210" t="n"/>
      <c r="J246" s="209" t="n"/>
      <c r="K246" s="16" t="inlineStr">
        <is>
          <t>https://www.deloitte.com/us/en/insights/topics/talent/human-capital-trends/2023/skills-based-model-end-of-jobs.html</t>
        </is>
      </c>
      <c r="L246" s="210" t="n"/>
      <c r="M246" s="210" t="n"/>
      <c r="N246" s="209" t="n"/>
      <c r="O246" s="16" t="inlineStr">
        <is>
          <t>Primary</t>
        </is>
      </c>
    </row>
    <row r="247" ht="28" customHeight="1">
      <c r="A247" s="13" t="inlineStr">
        <is>
          <t>S60</t>
        </is>
      </c>
      <c r="B247" s="16" t="inlineStr">
        <is>
          <t>World Economic Forum — Skills-first: 6 success factors, 2024</t>
        </is>
      </c>
      <c r="C247" s="210" t="n"/>
      <c r="D247" s="209" t="n"/>
      <c r="E247" s="16" t="inlineStr">
        <is>
          <t>Research article</t>
        </is>
      </c>
      <c r="F247" s="209" t="n"/>
      <c r="G247" s="16" t="inlineStr">
        <is>
          <t>Rethink education and previous experience as proxies for ability</t>
        </is>
      </c>
      <c r="H247" s="210" t="n"/>
      <c r="I247" s="210" t="n"/>
      <c r="J247" s="209" t="n"/>
      <c r="K247" s="16" t="inlineStr">
        <is>
          <t>https://www.weforum.org/stories/2024/01/skills-first-6-success-factors-recruiting-developing-talent/</t>
        </is>
      </c>
      <c r="L247" s="210" t="n"/>
      <c r="M247" s="210" t="n"/>
      <c r="N247" s="209" t="n"/>
      <c r="O247" s="16" t="inlineStr">
        <is>
          <t>Secondary</t>
        </is>
      </c>
    </row>
    <row r="248" ht="41" customHeight="1">
      <c r="A248" s="13" t="inlineStr">
        <is>
          <t>S61</t>
        </is>
      </c>
      <c r="B248" s="16" t="inlineStr">
        <is>
          <t>EY Future of Pay via People Matters — India's 2026 salary increases to reward skills over seniority</t>
        </is>
      </c>
      <c r="C248" s="210" t="n"/>
      <c r="D248" s="209" t="n"/>
      <c r="E248" s="16" t="inlineStr">
        <is>
          <t>India market news</t>
        </is>
      </c>
      <c r="F248" s="209" t="n"/>
      <c r="G248" s="16" t="inlineStr">
        <is>
          <t>India pay moving away from tenure-based increases towards skills-led, performance-driven frameworks</t>
        </is>
      </c>
      <c r="H248" s="210" t="n"/>
      <c r="I248" s="210" t="n"/>
      <c r="J248" s="209" t="n"/>
      <c r="K248" s="16" t="inlineStr">
        <is>
          <t>https://www.peoplematters.in/news/compensation-benefits/indias-2026-salary-increases-to-reward-skills-over-seniority-ey-48541</t>
        </is>
      </c>
      <c r="L248" s="210" t="n"/>
      <c r="M248" s="210" t="n"/>
      <c r="N248" s="209" t="n"/>
      <c r="O248" s="16" t="inlineStr">
        <is>
          <t>Secondary</t>
        </is>
      </c>
    </row>
    <row r="249" ht="41" customHeight="1">
      <c r="A249" s="13" t="inlineStr">
        <is>
          <t>S62</t>
        </is>
      </c>
      <c r="B249" s="16" t="inlineStr">
        <is>
          <t>WTW — Building resilient career ecosystems, India 2023</t>
        </is>
      </c>
      <c r="C249" s="210" t="n"/>
      <c r="D249" s="209" t="n"/>
      <c r="E249" s="16" t="inlineStr">
        <is>
          <t>Consulting insight · India</t>
        </is>
      </c>
      <c r="F249" s="209" t="n"/>
      <c r="G249" s="16" t="inlineStr">
        <is>
          <t>WTW's view of career architecture design in India; complements the WTW GGS factors in S07</t>
        </is>
      </c>
      <c r="H249" s="210" t="n"/>
      <c r="I249" s="210" t="n"/>
      <c r="J249" s="209" t="n"/>
      <c r="K249" s="16" t="inlineStr">
        <is>
          <t>https://www.wtwco.com/en-in/insights/2023/09/building-resilient-career-ecosystems-with-robust-career-strategy-and-design</t>
        </is>
      </c>
      <c r="L249" s="210" t="n"/>
      <c r="M249" s="210" t="n"/>
      <c r="N249" s="209" t="n"/>
      <c r="O249" s="16" t="inlineStr">
        <is>
          <t>Secondary</t>
        </is>
      </c>
    </row>
    <row r="250" ht="41" customHeight="1">
      <c r="A250" s="13" t="inlineStr">
        <is>
          <t>S63</t>
        </is>
      </c>
      <c r="B250" s="16" t="inlineStr">
        <is>
          <t>iPleaders — Director under the Companies Act 2013</t>
        </is>
      </c>
      <c r="C250" s="210" t="n"/>
      <c r="D250" s="209" t="n"/>
      <c r="E250" s="16" t="inlineStr">
        <is>
          <t>Legal explainer · India</t>
        </is>
      </c>
      <c r="F250" s="209" t="n"/>
      <c r="G250" s="16" t="inlineStr">
        <is>
          <r>
            <rPr>
              <rFont val="Calibri"/>
              <b val="1"/>
              <sz val="10"/>
            </rPr>
            <t>Section 2, clause 34:</t>
          </r>
          <r>
            <rPr>
              <rFont val="Calibri"/>
              <sz val="10"/>
            </rPr>
            <t xml:space="preserve"> 'director' means a director appointed to the Board — the reason IRIS uses no 'Director' title</t>
          </r>
        </is>
      </c>
      <c r="H250" s="210" t="n"/>
      <c r="I250" s="210" t="n"/>
      <c r="J250" s="209" t="n"/>
      <c r="K250" s="16" t="inlineStr">
        <is>
          <t>https://blog.ipleaders.in/director-companies-act-2013/</t>
        </is>
      </c>
      <c r="L250" s="210" t="n"/>
      <c r="M250" s="210" t="n"/>
      <c r="N250" s="209" t="n"/>
      <c r="O250" s="16" t="inlineStr">
        <is>
          <t>Primary</t>
        </is>
      </c>
    </row>
    <row r="251" ht="41" customHeight="1">
      <c r="A251" s="13" t="inlineStr">
        <is>
          <t>S64</t>
        </is>
      </c>
      <c r="B251" s="16" t="inlineStr">
        <is>
          <t>Kaanoon — 'Director' as an HR designation but not under the Companies Act</t>
        </is>
      </c>
      <c r="C251" s="210" t="n"/>
      <c r="D251" s="209" t="n"/>
      <c r="E251" s="16" t="inlineStr">
        <is>
          <t>Legal Q&amp;A · India</t>
        </is>
      </c>
      <c r="F251" s="209" t="n"/>
      <c r="G251" s="16" t="inlineStr">
        <is>
          <t>Practitioner view that a 'Director' designation for non-board staff causes confusion and disclosure risk</t>
        </is>
      </c>
      <c r="H251" s="210" t="n"/>
      <c r="I251" s="210" t="n"/>
      <c r="J251" s="209" t="n"/>
      <c r="K251" s="16" t="inlineStr">
        <is>
          <t>https://www.kaanoon.com/241487/designation-with-word-director-as-per-hr-policy-but-not-as-per-companies-act</t>
        </is>
      </c>
      <c r="L251" s="210" t="n"/>
      <c r="M251" s="210" t="n"/>
      <c r="N251" s="209" t="n"/>
      <c r="O251" s="16" t="inlineStr">
        <is>
          <t>Secondary</t>
        </is>
      </c>
    </row>
    <row r="252" ht="28" customHeight="1">
      <c r="A252" s="13" t="inlineStr">
        <is>
          <t>S65</t>
        </is>
      </c>
      <c r="B252" s="16" t="inlineStr">
        <is>
          <t>Wipro — Distinguished Member of Technical Staff</t>
        </is>
      </c>
      <c r="C252" s="210" t="n"/>
      <c r="D252" s="209" t="n"/>
      <c r="E252" s="16" t="inlineStr">
        <is>
          <t>Indian IT company programme</t>
        </is>
      </c>
      <c r="F252" s="209" t="n"/>
      <c r="G252" s="16" t="inlineStr">
        <is>
          <t>Indian example of the 'Distinguished' top-specialist title — Option B for the D1 title</t>
        </is>
      </c>
      <c r="H252" s="210" t="n"/>
      <c r="I252" s="210" t="n"/>
      <c r="J252" s="209" t="n"/>
      <c r="K252" s="16" t="inlineStr">
        <is>
          <t>https://www.wipro.com/innovation/distinguished-member-of-technical-staff/</t>
        </is>
      </c>
      <c r="L252" s="210" t="n"/>
      <c r="M252" s="210" t="n"/>
      <c r="N252" s="209" t="n"/>
      <c r="O252" s="16" t="inlineStr">
        <is>
          <t>Primary</t>
        </is>
      </c>
    </row>
    <row r="253" ht="28" customHeight="1">
      <c r="A253" s="13" t="inlineStr">
        <is>
          <t>S66</t>
        </is>
      </c>
      <c r="B253" s="16" t="inlineStr">
        <is>
          <t>Salesforce engineering levels — AMTS to Distinguished Engineer</t>
        </is>
      </c>
      <c r="C253" s="210" t="n"/>
      <c r="D253" s="209" t="n"/>
      <c r="E253" s="16" t="inlineStr">
        <is>
          <t>Company ladder · Design Gurus</t>
        </is>
      </c>
      <c r="F253" s="209" t="n"/>
      <c r="G253" s="16" t="inlineStr">
        <is>
          <t>Global SaaS example of the top-specialist title above Principal Architect</t>
        </is>
      </c>
      <c r="H253" s="210" t="n"/>
      <c r="I253" s="210" t="n"/>
      <c r="J253" s="209" t="n"/>
      <c r="K253" s="16" t="inlineStr">
        <is>
          <t>https://www.designgurus.io/blog/salesforce-software-engineer-levels</t>
        </is>
      </c>
      <c r="L253" s="210" t="n"/>
      <c r="M253" s="210" t="n"/>
      <c r="N253" s="209" t="n"/>
      <c r="O253" s="16" t="inlineStr">
        <is>
          <t>Secondary</t>
        </is>
      </c>
    </row>
    <row r="254" ht="28" customHeight="1">
      <c r="A254" s="13" t="inlineStr">
        <is>
          <t>S67</t>
        </is>
      </c>
      <c r="B254" s="16" t="inlineStr">
        <is>
          <t>LeadDev — Who are staff, principal and distinguished engineers</t>
        </is>
      </c>
      <c r="C254" s="210" t="n"/>
      <c r="D254" s="209" t="n"/>
      <c r="E254" s="16" t="inlineStr">
        <is>
          <t>Practice article</t>
        </is>
      </c>
      <c r="F254" s="209" t="n"/>
      <c r="G254" s="16" t="inlineStr">
        <is>
          <t>How Principal, Distinguished and Fellow tiers are used and how rare they are</t>
        </is>
      </c>
      <c r="H254" s="210" t="n"/>
      <c r="I254" s="210" t="n"/>
      <c r="J254" s="209" t="n"/>
      <c r="K254" s="16" t="inlineStr">
        <is>
          <t>https://leaddev.com/career-ladders/who-are-staff-principal-and-distinguished-engineers</t>
        </is>
      </c>
      <c r="L254" s="210" t="n"/>
      <c r="M254" s="210" t="n"/>
      <c r="N254" s="209" t="n"/>
      <c r="O254" s="16" t="inlineStr">
        <is>
          <t>Secondary</t>
        </is>
      </c>
    </row>
    <row r="255" ht="28" customHeight="1">
      <c r="A255" s="13" t="inlineStr">
        <is>
          <t>S68</t>
        </is>
      </c>
      <c r="B255" s="16" t="inlineStr">
        <is>
          <t>Dropbox — engineering career framework</t>
        </is>
      </c>
      <c r="C255" s="210" t="n"/>
      <c r="D255" s="209" t="n"/>
      <c r="E255" s="16" t="inlineStr">
        <is>
          <t>Company framework</t>
        </is>
      </c>
      <c r="F255" s="209" t="n"/>
      <c r="G255" s="16" t="inlineStr">
        <is>
          <t>Published IC ladder with top-specialist tiers and their scope</t>
        </is>
      </c>
      <c r="H255" s="210" t="n"/>
      <c r="I255" s="210" t="n"/>
      <c r="J255" s="209" t="n"/>
      <c r="K255" s="16" t="inlineStr">
        <is>
          <t>https://dropbox.tech/culture/our-updated-engineering-career-framework</t>
        </is>
      </c>
      <c r="L255" s="210" t="n"/>
      <c r="M255" s="210" t="n"/>
      <c r="N255" s="209" t="n"/>
      <c r="O255" s="16" t="inlineStr">
        <is>
          <t>Secondary</t>
        </is>
      </c>
    </row>
    <row r="256" ht="28" customHeight="1">
      <c r="A256" s="13" t="inlineStr">
        <is>
          <t>S69</t>
        </is>
      </c>
      <c r="B256" s="16" t="inlineStr">
        <is>
          <t>Square — growth framework for engineers and engineering managers</t>
        </is>
      </c>
      <c r="C256" s="210" t="n"/>
      <c r="D256" s="209" t="n"/>
      <c r="E256" s="16" t="inlineStr">
        <is>
          <t>Company framework</t>
        </is>
      </c>
      <c r="F256" s="209" t="n"/>
      <c r="G256" s="16" t="inlineStr">
        <is>
          <t>Published IC and manager ladders side by side</t>
        </is>
      </c>
      <c r="H256" s="210" t="n"/>
      <c r="I256" s="210" t="n"/>
      <c r="J256" s="209" t="n"/>
      <c r="K256" s="16" t="inlineStr">
        <is>
          <t>https://developer.squareup.com/blog/squares-growth-framework-for-engineers-and-engineering-managers/</t>
        </is>
      </c>
      <c r="L256" s="210" t="n"/>
      <c r="M256" s="210" t="n"/>
      <c r="N256" s="209" t="n"/>
      <c r="O256" s="16" t="inlineStr">
        <is>
          <t>Secondary</t>
        </is>
      </c>
    </row>
    <row r="257" ht="41" customHeight="1">
      <c r="A257" s="13" t="inlineStr">
        <is>
          <t>S70</t>
        </is>
      </c>
      <c r="B257" s="16" t="inlineStr">
        <is>
          <t>Carta and Pave — job levelling frameworks</t>
        </is>
      </c>
      <c r="C257" s="210" t="n"/>
      <c r="D257" s="209" t="n"/>
      <c r="E257" s="16" t="inlineStr">
        <is>
          <t>Compensation platforms</t>
        </is>
      </c>
      <c r="F257" s="209" t="n"/>
      <c r="G257" s="16" t="inlineStr">
        <is>
          <t>Market levelling guides used to check the level count and the IC ↔ manager pairing</t>
        </is>
      </c>
      <c r="H257" s="210" t="n"/>
      <c r="I257" s="210" t="n"/>
      <c r="J257" s="209" t="n"/>
      <c r="K257" s="16" t="inlineStr">
        <is>
          <t>https://carta.com/learn/startups/compensation/job-leveling/ ; https://pave.com/blog-posts/job-leveling-framework</t>
        </is>
      </c>
      <c r="L257" s="210" t="n"/>
      <c r="M257" s="210" t="n"/>
      <c r="N257" s="209" t="n"/>
      <c r="O257" s="16" t="inlineStr">
        <is>
          <t>Secondary</t>
        </is>
      </c>
    </row>
    <row r="258" ht="28" customHeight="1">
      <c r="A258" s="13" t="inlineStr">
        <is>
          <t>S71</t>
        </is>
      </c>
      <c r="B258" s="16" t="inlineStr">
        <is>
          <t>Figures — Figures levels</t>
        </is>
      </c>
      <c r="C258" s="210" t="n"/>
      <c r="D258" s="209" t="n"/>
      <c r="E258" s="16" t="inlineStr">
        <is>
          <t>Compensation platform</t>
        </is>
      </c>
      <c r="F258" s="209" t="n"/>
      <c r="G258" s="16" t="inlineStr">
        <is>
          <t>Second levelling crosswalk alongside the Mercer levels in S03</t>
        </is>
      </c>
      <c r="H258" s="210" t="n"/>
      <c r="I258" s="210" t="n"/>
      <c r="J258" s="209" t="n"/>
      <c r="K258" s="16" t="inlineStr">
        <is>
          <t>https://help.figures.hr/en/articles/389317-figures-levels</t>
        </is>
      </c>
      <c r="L258" s="210" t="n"/>
      <c r="M258" s="210" t="n"/>
      <c r="N258" s="209" t="n"/>
      <c r="O258" s="16" t="inlineStr">
        <is>
          <t>Secondary</t>
        </is>
      </c>
    </row>
    <row r="259" ht="41" customHeight="1">
      <c r="A259" s="13" t="inlineStr">
        <is>
          <t>S72</t>
        </is>
      </c>
      <c r="B259" s="16" t="inlineStr">
        <is>
          <t>PayScale India — Chief Architect, IT</t>
        </is>
      </c>
      <c r="C259" s="210" t="n"/>
      <c r="D259" s="209" t="n"/>
      <c r="E259" s="16" t="inlineStr">
        <is>
          <t>Salary data site · India</t>
        </is>
      </c>
      <c r="F259" s="209" t="n"/>
      <c r="G259" s="16" t="inlineStr">
        <is>
          <t>Shows Chief Architect, IT tracked as an experienced and late-career role in India — Option A for the D1 title</t>
        </is>
      </c>
      <c r="H259" s="210" t="n"/>
      <c r="I259" s="210" t="n"/>
      <c r="J259" s="209" t="n"/>
      <c r="K259" s="16" t="inlineStr">
        <is>
          <t>https://www.payscale.com/research/IN/Job=Chief_Architect%2C_IT/Skill-Experience</t>
        </is>
      </c>
      <c r="L259" s="210" t="n"/>
      <c r="M259" s="210" t="n"/>
      <c r="N259" s="209" t="n"/>
      <c r="O259" s="16" t="inlineStr">
        <is>
          <t>Indicative</t>
        </is>
      </c>
    </row>
    <row r="260" ht="28" customHeight="1">
      <c r="A260" s="13" t="inlineStr">
        <is>
          <t>S40</t>
        </is>
      </c>
      <c r="B260" s="16" t="inlineStr">
        <is>
          <t>Employee Master_New_23092026 and Employee Master_OLD</t>
        </is>
      </c>
      <c r="C260" s="210" t="n"/>
      <c r="D260" s="209" t="n"/>
      <c r="E260" s="16" t="inlineStr">
        <is>
          <t>IRIS HRIS</t>
        </is>
      </c>
      <c r="F260" s="209" t="n"/>
      <c r="G260" s="16" t="inlineStr">
        <is>
          <t>Roster, department, manager, experience, qualification, category</t>
        </is>
      </c>
      <c r="H260" s="210" t="n"/>
      <c r="I260" s="210" t="n"/>
      <c r="J260" s="209" t="n"/>
      <c r="K260" s="16" t="inlineStr">
        <is>
          <t>Internal</t>
        </is>
      </c>
      <c r="L260" s="210" t="n"/>
      <c r="M260" s="210" t="n"/>
      <c r="N260" s="209" t="n"/>
      <c r="O260" s="16" t="inlineStr">
        <is>
          <t>Internal</t>
        </is>
      </c>
    </row>
    <row r="261" ht="28" customHeight="1">
      <c r="A261" s="13" t="inlineStr">
        <is>
          <t>S41</t>
        </is>
      </c>
      <c r="B261" s="16" t="inlineStr">
        <is>
          <t>How We Grow survey · 521 responses</t>
        </is>
      </c>
      <c r="C261" s="210" t="n"/>
      <c r="D261" s="209" t="n"/>
      <c r="E261" s="16" t="inlineStr">
        <is>
          <t>IRIS employees</t>
        </is>
      </c>
      <c r="F261" s="209" t="n"/>
      <c r="G261" s="16" t="inlineStr">
        <is>
          <t>Purpose, deliverables, accountability, decision rights, skills, tools, learning needs</t>
        </is>
      </c>
      <c r="H261" s="210" t="n"/>
      <c r="I261" s="210" t="n"/>
      <c r="J261" s="209" t="n"/>
      <c r="K261" s="16" t="inlineStr">
        <is>
          <t>Internal</t>
        </is>
      </c>
      <c r="L261" s="210" t="n"/>
      <c r="M261" s="210" t="n"/>
      <c r="N261" s="209" t="n"/>
      <c r="O261" s="16" t="inlineStr">
        <is>
          <t>Internal</t>
        </is>
      </c>
    </row>
    <row r="262" ht="28" customHeight="1">
      <c r="A262" s="13" t="inlineStr">
        <is>
          <t>S42</t>
        </is>
      </c>
      <c r="B262" s="16" t="inlineStr">
        <is>
          <t>Manager talent-mapping files</t>
        </is>
      </c>
      <c r="C262" s="210" t="n"/>
      <c r="D262" s="209" t="n"/>
      <c r="E262" s="16" t="inlineStr">
        <is>
          <t>IRIS managers</t>
        </is>
      </c>
      <c r="F262" s="209" t="n"/>
      <c r="G262" s="16" t="inlineStr">
        <is>
          <t>KRAs, rating, potential, readiness, 9-box, manager training need</t>
        </is>
      </c>
      <c r="H262" s="210" t="n"/>
      <c r="I262" s="210" t="n"/>
      <c r="J262" s="209" t="n"/>
      <c r="K262" s="16" t="inlineStr">
        <is>
          <t>Internal</t>
        </is>
      </c>
      <c r="L262" s="210" t="n"/>
      <c r="M262" s="210" t="n"/>
      <c r="N262" s="209" t="n"/>
      <c r="O262" s="16" t="inlineStr">
        <is>
          <t>Internal</t>
        </is>
      </c>
    </row>
    <row r="263" ht="28" customHeight="1">
      <c r="A263" s="13" t="inlineStr">
        <is>
          <t>S43</t>
        </is>
      </c>
      <c r="B263" s="16" t="inlineStr">
        <is>
          <t>IRIS talent-mapping workbooks v1 and v2</t>
        </is>
      </c>
      <c r="C263" s="210" t="n"/>
      <c r="D263" s="209" t="n"/>
      <c r="E263" s="16" t="inlineStr">
        <is>
          <t>This exercise</t>
        </is>
      </c>
      <c r="F263" s="209" t="n"/>
      <c r="G263" s="16" t="inlineStr">
        <is>
          <t>Factor ratings, competency ratings, duplication and mobility analysis</t>
        </is>
      </c>
      <c r="H263" s="210" t="n"/>
      <c r="I263" s="210" t="n"/>
      <c r="J263" s="209" t="n"/>
      <c r="K263" s="16" t="inlineStr">
        <is>
          <t>Internal</t>
        </is>
      </c>
      <c r="L263" s="210" t="n"/>
      <c r="M263" s="210" t="n"/>
      <c r="N263" s="209" t="n"/>
      <c r="O263" s="16" t="inlineStr">
        <is>
          <t>Internal</t>
        </is>
      </c>
    </row>
    <row r="264" ht="15" customHeight="1"/>
    <row r="265" ht="20" customHeight="1">
      <c r="A265" s="6" t="inlineStr">
        <is>
          <t>R5b. Career Architecture V2 evidence register · HR research, 7 Oct 2026</t>
        </is>
      </c>
    </row>
    <row r="266" ht="28" customHeight="1">
      <c r="A266" s="11"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267" ht="28" customHeight="1">
      <c r="A267" s="12" t="inlineStr">
        <is>
          <t>ID</t>
        </is>
      </c>
      <c r="B267" s="12" t="inlineStr">
        <is>
          <t>Lens</t>
        </is>
      </c>
      <c r="C267" s="209" t="n"/>
      <c r="D267" s="12" t="inlineStr">
        <is>
          <t>Organisation</t>
        </is>
      </c>
      <c r="E267" s="209" t="n"/>
      <c r="F267" s="12" t="inlineStr">
        <is>
          <t>Observed title / publication</t>
        </is>
      </c>
      <c r="G267" s="209" t="n"/>
      <c r="H267" s="12" t="inlineStr">
        <is>
          <t>What it supports</t>
        </is>
      </c>
      <c r="I267" s="210" t="n"/>
      <c r="J267" s="209" t="n"/>
      <c r="K267" s="12" t="inlineStr">
        <is>
          <t>Transfer limit</t>
        </is>
      </c>
      <c r="L267" s="210" t="n"/>
      <c r="M267" s="209" t="n"/>
      <c r="N267" s="12" t="inlineStr">
        <is>
          <t>Geography</t>
        </is>
      </c>
      <c r="O267" s="12" t="inlineStr">
        <is>
          <t>Link</t>
        </is>
      </c>
    </row>
    <row r="268" ht="54" customHeight="1">
      <c r="A268" s="13" t="inlineStr">
        <is>
          <t>N01</t>
        </is>
      </c>
      <c r="B268" s="16" t="inlineStr">
        <is>
          <t>Lens 1 direct peer</t>
        </is>
      </c>
      <c r="C268" s="209" t="n"/>
      <c r="D268" s="16" t="inlineStr">
        <is>
          <t>Regnology</t>
        </is>
      </c>
      <c r="E268" s="209" t="n"/>
      <c r="F268" s="16" t="inlineStr">
        <is>
          <t>Senior Software Engineer, Pune</t>
        </is>
      </c>
      <c r="G268" s="209" t="n"/>
      <c r="H268" s="16" t="inlineStr">
        <is>
          <t>Java delivery, design, code review and junior mentoring.</t>
        </is>
      </c>
      <c r="I268" s="210" t="n"/>
      <c r="J268" s="209" t="n"/>
      <c r="K268" s="16" t="inlineStr">
        <is>
          <t>Selected senior role only; tenure requirement is not a grading rule.</t>
        </is>
      </c>
      <c r="L268" s="210" t="n"/>
      <c r="M268" s="209" t="n"/>
      <c r="N268" s="16" t="inlineStr">
        <is>
          <t>India</t>
        </is>
      </c>
      <c r="O268" s="16" t="inlineStr">
        <is>
          <t>https://regnology.jobs.personio.de/job/2374470</t>
        </is>
      </c>
    </row>
    <row r="269" ht="67" customHeight="1">
      <c r="A269" s="13" t="inlineStr">
        <is>
          <t>N02</t>
        </is>
      </c>
      <c r="B269" s="16" t="inlineStr">
        <is>
          <t>Lens 1 direct peer</t>
        </is>
      </c>
      <c r="C269" s="209" t="n"/>
      <c r="D269" s="16" t="inlineStr">
        <is>
          <t>Regnology</t>
        </is>
      </c>
      <c r="E269" s="209" t="n"/>
      <c r="F269" s="16" t="inlineStr">
        <is>
          <t>Release Engineer, Pune</t>
        </is>
      </c>
      <c r="G269" s="209" t="n"/>
      <c r="H269" s="16" t="inlineStr">
        <is>
          <t>Independent cross-team release coordination and quality/risk trade-offs.</t>
        </is>
      </c>
      <c r="I269" s="210" t="n"/>
      <c r="J269" s="209" t="n"/>
      <c r="K269" s="16" t="inlineStr">
        <is>
          <t>Supports release scope, not a standalone QA career ladder.</t>
        </is>
      </c>
      <c r="L269" s="210" t="n"/>
      <c r="M269" s="209" t="n"/>
      <c r="N269" s="16" t="inlineStr">
        <is>
          <t>India</t>
        </is>
      </c>
      <c r="O269" s="16" t="inlineStr">
        <is>
          <t>https://regnology.jobs.personio.de/job/2605587?language=en</t>
        </is>
      </c>
    </row>
    <row r="270" ht="106" customHeight="1">
      <c r="A270" s="13" t="inlineStr">
        <is>
          <t>N03</t>
        </is>
      </c>
      <c r="B270" s="16" t="inlineStr">
        <is>
          <t>Lens 1 direct peer</t>
        </is>
      </c>
      <c r="C270" s="209" t="n"/>
      <c r="D270" s="16" t="inlineStr">
        <is>
          <t>Workiva</t>
        </is>
      </c>
      <c r="E270" s="209" t="n"/>
      <c r="F270" s="16" t="inlineStr">
        <is>
          <t>Principal Security Engineer</t>
        </is>
      </c>
      <c r="G270" s="209" t="n"/>
      <c r="H270" s="16" t="inlineStr">
        <is>
          <t>Cross-platform cloud security architecture and enterprise technical influence.</t>
        </is>
      </c>
      <c r="I270" s="210" t="n"/>
      <c r="J270" s="209" t="n"/>
      <c r="K270" s="16" t="inlineStr">
        <is>
          <t>Selected expert role; no verified internal grade or India title match.</t>
        </is>
      </c>
      <c r="L270" s="210" t="n"/>
      <c r="M270" s="209" t="n"/>
      <c r="N270" s="16" t="inlineStr">
        <is>
          <t>USA</t>
        </is>
      </c>
      <c r="O270" s="16" t="inlineStr">
        <is>
          <t>https://workiva.wd503.myworkdayjobs.com/en-US/careers/job/Principal-Security-Engineer_R11408</t>
        </is>
      </c>
    </row>
    <row r="271" ht="119" customHeight="1">
      <c r="A271" s="13" t="inlineStr">
        <is>
          <t>N04</t>
        </is>
      </c>
      <c r="B271" s="16" t="inlineStr">
        <is>
          <t>Lens 1 direct peer</t>
        </is>
      </c>
      <c r="C271" s="209" t="n"/>
      <c r="D271" s="16" t="inlineStr">
        <is>
          <t>Workiva</t>
        </is>
      </c>
      <c r="E271" s="209" t="n"/>
      <c r="F271" s="16" t="inlineStr">
        <is>
          <t>Senior People Business Partner</t>
        </is>
      </c>
      <c r="G271" s="209" t="n"/>
      <c r="H271" s="16" t="inlineStr">
        <is>
          <t>Regional GTM partnership, organisation design, employee relations and leadership advice.</t>
        </is>
      </c>
      <c r="I271" s="210" t="n"/>
      <c r="J271" s="209" t="n"/>
      <c r="K271" s="16" t="inlineStr">
        <is>
          <t>Supports HRBP and adjacent OD work, not every HR speciality.</t>
        </is>
      </c>
      <c r="L271" s="210" t="n"/>
      <c r="M271" s="209" t="n"/>
      <c r="N271" s="16" t="inlineStr">
        <is>
          <t>UK / EMEA</t>
        </is>
      </c>
      <c r="O271" s="16" t="inlineStr">
        <is>
          <t>https://workiva.wd503.myworkdayjobs.com/en-US/careers/job/Senior-People-Business-Partner---GTM---Sales_R11653</t>
        </is>
      </c>
    </row>
    <row r="272" ht="106" customHeight="1">
      <c r="A272" s="13" t="inlineStr">
        <is>
          <t>N05</t>
        </is>
      </c>
      <c r="B272" s="16" t="inlineStr">
        <is>
          <t>Lens 1 direct peer</t>
        </is>
      </c>
      <c r="C272" s="209" t="n"/>
      <c r="D272" s="16" t="inlineStr">
        <is>
          <t>Workiva</t>
        </is>
      </c>
      <c r="E272" s="209" t="n"/>
      <c r="F272" s="16" t="inlineStr">
        <is>
          <t>Principal Product Designer</t>
        </is>
      </c>
      <c r="G272" s="209" t="n"/>
      <c r="H272" s="16" t="inlineStr">
        <is>
          <t>Multi-product UX strategy, hands-on design and mentoring senior designers.</t>
        </is>
      </c>
      <c r="I272" s="210" t="n"/>
      <c r="J272" s="209" t="n"/>
      <c r="K272" s="16" t="inlineStr">
        <is>
          <t>Observed expert role; unrelated to brand-design seniority.</t>
        </is>
      </c>
      <c r="L272" s="210" t="n"/>
      <c r="M272" s="209" t="n"/>
      <c r="N272" s="16" t="inlineStr">
        <is>
          <t>USA</t>
        </is>
      </c>
      <c r="O272" s="16" t="inlineStr">
        <is>
          <t>https://workiva.wd503.myworkdayjobs.com/en-US/careers/job/Principal-Product-Designer_R11461</t>
        </is>
      </c>
    </row>
    <row r="273" ht="119" customHeight="1">
      <c r="A273" s="13" t="inlineStr">
        <is>
          <t>N06</t>
        </is>
      </c>
      <c r="B273" s="16" t="inlineStr">
        <is>
          <t>Lens 1 direct peer</t>
        </is>
      </c>
      <c r="C273" s="209" t="n"/>
      <c r="D273" s="16" t="inlineStr">
        <is>
          <t>Workiva</t>
        </is>
      </c>
      <c r="E273" s="209" t="n"/>
      <c r="F273" s="16" t="inlineStr">
        <is>
          <t>Senior Learning and Development Partner</t>
        </is>
      </c>
      <c r="G273" s="209" t="n"/>
      <c r="H273" s="16" t="inlineStr">
        <is>
          <t>Explicit IC role owning a learning portfolio, facilitation and evaluation.</t>
        </is>
      </c>
      <c r="I273" s="210" t="n"/>
      <c r="J273" s="209" t="n"/>
      <c r="K273" s="16" t="inlineStr">
        <is>
          <t>People-management experience is preferred, not evidence of direct reports in this job.</t>
        </is>
      </c>
      <c r="L273" s="210" t="n"/>
      <c r="M273" s="209" t="n"/>
      <c r="N273" s="16" t="inlineStr">
        <is>
          <t>UK / global remit</t>
        </is>
      </c>
      <c r="O273" s="16" t="inlineStr">
        <is>
          <t>https://workiva.wd503.myworkdayjobs.com/en-US/careers/job/Senior-Learning-and-Development-Partner_R11848</t>
        </is>
      </c>
    </row>
    <row r="274" ht="119" customHeight="1">
      <c r="A274" s="13" t="inlineStr">
        <is>
          <t>N07</t>
        </is>
      </c>
      <c r="B274" s="16" t="inlineStr">
        <is>
          <t>Lens 1 direct peer</t>
        </is>
      </c>
      <c r="C274" s="209" t="n"/>
      <c r="D274" s="16" t="inlineStr">
        <is>
          <t>Workiva</t>
        </is>
      </c>
      <c r="E274" s="209" t="n"/>
      <c r="F274" s="16" t="inlineStr">
        <is>
          <t>Brand Graphic Design Intern, 2027 cohort</t>
        </is>
      </c>
      <c r="G274" s="209" t="n"/>
      <c r="H274" s="16" t="inlineStr">
        <is>
          <t>Mentored brand asset production with review before stakeholder release.</t>
        </is>
      </c>
      <c r="I274" s="210" t="n"/>
      <c r="J274" s="209" t="n"/>
      <c r="K274" s="16" t="inlineStr">
        <is>
          <t>Advertised 2027 programme; listed application deadline predates review. Not an active-vacancy claim.</t>
        </is>
      </c>
      <c r="L274" s="210" t="n"/>
      <c r="M274" s="209" t="n"/>
      <c r="N274" s="16" t="inlineStr">
        <is>
          <t>USA</t>
        </is>
      </c>
      <c r="O274" s="16" t="inlineStr">
        <is>
          <t>https://workiva.wd503.myworkdayjobs.com/en-US/careers/job/Spring---Summer-2027-Intern---Brand-Design_R12318</t>
        </is>
      </c>
    </row>
    <row r="275" ht="119" customHeight="1">
      <c r="A275" s="13" t="inlineStr">
        <is>
          <t>N08</t>
        </is>
      </c>
      <c r="B275" s="16" t="inlineStr">
        <is>
          <t>Lens 1 direct peer</t>
        </is>
      </c>
      <c r="C275" s="209" t="n"/>
      <c r="D275" s="16" t="inlineStr">
        <is>
          <t>Workiva</t>
        </is>
      </c>
      <c r="E275" s="209" t="n"/>
      <c r="F275" s="16" t="inlineStr">
        <is>
          <t>Marketing Intern, 2027 cohort</t>
        </is>
      </c>
      <c r="G275" s="209" t="n"/>
      <c r="H275" s="16" t="inlineStr">
        <is>
          <t>Entry tasks span campaigns, CRM data, automation, content and events.</t>
        </is>
      </c>
      <c r="I275" s="210" t="n"/>
      <c r="J275" s="209" t="n"/>
      <c r="K275" s="16" t="inlineStr">
        <is>
          <t>Entry exposure only; listed September 2026 deadline has passed.</t>
        </is>
      </c>
      <c r="L275" s="210" t="n"/>
      <c r="M275" s="209" t="n"/>
      <c r="N275" s="16" t="inlineStr">
        <is>
          <t>USA</t>
        </is>
      </c>
      <c r="O275" s="16" t="inlineStr">
        <is>
          <t>https://workiva.wd503.myworkdayjobs.com/careers/job/usa---remote/spring---summer-2027-intern---marketing_r12193</t>
        </is>
      </c>
    </row>
    <row r="276" ht="106" customHeight="1">
      <c r="A276" s="13" t="inlineStr">
        <is>
          <t>N09</t>
        </is>
      </c>
      <c r="B276" s="16" t="inlineStr">
        <is>
          <t>Lens 1 direct peer</t>
        </is>
      </c>
      <c r="C276" s="209" t="n"/>
      <c r="D276" s="16" t="inlineStr">
        <is>
          <t>Workiva</t>
        </is>
      </c>
      <c r="E276" s="209" t="n"/>
      <c r="F276" s="16" t="inlineStr">
        <is>
          <t>Senior Campaign Manager</t>
        </is>
      </c>
      <c r="G276" s="209" t="n"/>
      <c r="H276" s="16" t="inlineStr">
        <is>
          <t>Integrated campaign ownership, channel decisions and pipeline accountability.</t>
        </is>
      </c>
      <c r="I276" s="210" t="n"/>
      <c r="J276" s="209" t="n"/>
      <c r="K276" s="16" t="inlineStr">
        <is>
          <t>Manager title does not establish direct reports.</t>
        </is>
      </c>
      <c r="L276" s="210" t="n"/>
      <c r="M276" s="209" t="n"/>
      <c r="N276" s="16" t="inlineStr">
        <is>
          <t>USA</t>
        </is>
      </c>
      <c r="O276" s="16" t="inlineStr">
        <is>
          <t>https://workiva.wd503.myworkdayjobs.com/careers/job/usa---remote/senior-campaign-manager_r12423-1</t>
        </is>
      </c>
    </row>
    <row r="277" ht="119" customHeight="1">
      <c r="A277" s="13" t="inlineStr">
        <is>
          <t>N10</t>
        </is>
      </c>
      <c r="B277" s="16" t="inlineStr">
        <is>
          <t>Lens 1 direct peer</t>
        </is>
      </c>
      <c r="C277" s="209" t="n"/>
      <c r="D277" s="16" t="inlineStr">
        <is>
          <t>Workiva</t>
        </is>
      </c>
      <c r="E277" s="209" t="n"/>
      <c r="F277" s="16" t="inlineStr">
        <is>
          <t>Product Marketing Operations Director</t>
        </is>
      </c>
      <c r="G277" s="209" t="n"/>
      <c r="H277" s="16" t="inlineStr">
        <is>
          <t>Explicit IC director role owning planning, budgets and cross-functional operating cadence.</t>
        </is>
      </c>
      <c r="I277" s="210" t="n"/>
      <c r="J277" s="209" t="n"/>
      <c r="K277" s="16" t="inlineStr">
        <is>
          <t>Not the same job as marketing automation; important title/track counterexample.</t>
        </is>
      </c>
      <c r="L277" s="210" t="n"/>
      <c r="M277" s="209" t="n"/>
      <c r="N277" s="16" t="inlineStr">
        <is>
          <t>USA</t>
        </is>
      </c>
      <c r="O277" s="16" t="inlineStr">
        <is>
          <t>https://workiva.wd503.myworkdayjobs.com/en-US/careers/job/Product-Marketing-Operations-Director_R12164</t>
        </is>
      </c>
    </row>
    <row r="278" ht="145" customHeight="1">
      <c r="A278" s="13" t="inlineStr">
        <is>
          <t>N11</t>
        </is>
      </c>
      <c r="B278" s="16" t="inlineStr">
        <is>
          <t>Lens 1 direct peer</t>
        </is>
      </c>
      <c r="C278" s="209" t="n"/>
      <c r="D278" s="16" t="inlineStr">
        <is>
          <t>Workiva</t>
        </is>
      </c>
      <c r="E278" s="209" t="n"/>
      <c r="F278" s="16" t="inlineStr">
        <is>
          <t>Sales Development Representative, SLED</t>
        </is>
      </c>
      <c r="G278" s="209" t="n"/>
      <c r="H278" s="16" t="inlineStr">
        <is>
          <t>Prospecting and qualification feed account executives.</t>
        </is>
      </c>
      <c r="I278" s="210" t="n"/>
      <c r="J278" s="209" t="n"/>
      <c r="K278" s="16" t="inlineStr">
        <is>
          <t>US public-sector segment; do not transplant activity quotas.</t>
        </is>
      </c>
      <c r="L278" s="210" t="n"/>
      <c r="M278" s="209" t="n"/>
      <c r="N278" s="16" t="inlineStr">
        <is>
          <t>USA</t>
        </is>
      </c>
      <c r="O278" s="16" t="inlineStr">
        <is>
          <t>https://workiva.wd503.myworkdayjobs.com/en-US/careers/job/Territory-Development-Representative---State--Local---Education--SLED-_R12066</t>
        </is>
      </c>
    </row>
    <row r="279" ht="132" customHeight="1">
      <c r="A279" s="13" t="inlineStr">
        <is>
          <t>N12</t>
        </is>
      </c>
      <c r="B279" s="16" t="inlineStr">
        <is>
          <t>Lens 1 direct peer</t>
        </is>
      </c>
      <c r="C279" s="209" t="n"/>
      <c r="D279" s="16" t="inlineStr">
        <is>
          <t>Workiva</t>
        </is>
      </c>
      <c r="E279" s="209" t="n"/>
      <c r="F279" s="16" t="inlineStr">
        <is>
          <t>Account Executive, SLED</t>
        </is>
      </c>
      <c r="G279" s="209" t="n"/>
      <c r="H279" s="16" t="inlineStr">
        <is>
          <t>Owns acquisition, expansion, commercial forecasting and closing.</t>
        </is>
      </c>
      <c r="I279" s="210" t="n"/>
      <c r="J279" s="209" t="n"/>
      <c r="K279" s="16" t="inlineStr">
        <is>
          <t>Account sales is distinct from SDR qualification; no grade inferred.</t>
        </is>
      </c>
      <c r="L279" s="210" t="n"/>
      <c r="M279" s="209" t="n"/>
      <c r="N279" s="16" t="inlineStr">
        <is>
          <t>USA</t>
        </is>
      </c>
      <c r="O279" s="16" t="inlineStr">
        <is>
          <t>https://workiva.wd503.myworkdayjobs.com/careers/job/usa---remote/account-executive---state--local---education--sled-_r12020</t>
        </is>
      </c>
    </row>
    <row r="280" ht="106" customHeight="1">
      <c r="A280" s="13" t="inlineStr">
        <is>
          <t>N13</t>
        </is>
      </c>
      <c r="B280" s="16" t="inlineStr">
        <is>
          <t>Lens 1 direct peer</t>
        </is>
      </c>
      <c r="C280" s="209" t="n"/>
      <c r="D280" s="16" t="inlineStr">
        <is>
          <t>Workiva</t>
        </is>
      </c>
      <c r="E280" s="209" t="n"/>
      <c r="F280" s="16" t="inlineStr">
        <is>
          <t>Senior Account Executive, SLED</t>
        </is>
      </c>
      <c r="G280" s="209" t="n"/>
      <c r="H280" s="16" t="inlineStr">
        <is>
          <t>Senior account-executive title and enterprise sales duties are published.</t>
        </is>
      </c>
      <c r="I280" s="210" t="n"/>
      <c r="J280" s="209" t="n"/>
      <c r="K280" s="16" t="inlineStr">
        <is>
          <r>
            <rPr>
              <rFont val="Calibri"/>
              <b val="1"/>
              <sz val="10"/>
            </rPr>
            <t>Similar duties to AE listing:</t>
          </r>
          <r>
            <rPr>
              <rFont val="Calibri"/>
              <sz val="10"/>
            </rPr>
            <t xml:space="preserve"> precise step-up in scope is not established.</t>
          </r>
        </is>
      </c>
      <c r="L280" s="210" t="n"/>
      <c r="M280" s="209" t="n"/>
      <c r="N280" s="16" t="inlineStr">
        <is>
          <t>USA</t>
        </is>
      </c>
      <c r="O280" s="16" t="inlineStr">
        <is>
          <t>https://workiva.wd503.myworkdayjobs.com/en-US/careers/job/Senior-Account-Executive---SLED_R12096</t>
        </is>
      </c>
    </row>
    <row r="281" ht="119" customHeight="1">
      <c r="A281" s="13" t="inlineStr">
        <is>
          <t>N14</t>
        </is>
      </c>
      <c r="B281" s="16" t="inlineStr">
        <is>
          <t>Lens 1 direct peer</t>
        </is>
      </c>
      <c r="C281" s="209" t="n"/>
      <c r="D281" s="16" t="inlineStr">
        <is>
          <t>Workiva</t>
        </is>
      </c>
      <c r="E281" s="209" t="n"/>
      <c r="F281" s="16" t="inlineStr">
        <is>
          <t>Senior Partner Sales Executive</t>
        </is>
      </c>
      <c r="G281" s="209" t="n"/>
      <c r="H281" s="16" t="inlineStr">
        <is>
          <t>Partner GTM responsibility with a partnerships director reporting line.</t>
        </is>
      </c>
      <c r="I281" s="210" t="n"/>
      <c r="J281" s="209" t="n"/>
      <c r="K281" s="16" t="inlineStr">
        <is>
          <t>Brazil-specific role; not proof of the full alliance hierarchy.</t>
        </is>
      </c>
      <c r="L281" s="210" t="n"/>
      <c r="M281" s="209" t="n"/>
      <c r="N281" s="16" t="inlineStr">
        <is>
          <t>Brazil</t>
        </is>
      </c>
      <c r="O281" s="16" t="inlineStr">
        <is>
          <t>https://workiva.wd503.myworkdayjobs.com/careers/job/remote---brazil/senior-partner-sales-executive---brazil_r12195</t>
        </is>
      </c>
    </row>
    <row r="282" ht="119" customHeight="1">
      <c r="A282" s="13" t="inlineStr">
        <is>
          <t>N15</t>
        </is>
      </c>
      <c r="B282" s="16" t="inlineStr">
        <is>
          <t>Lens 1 direct peer</t>
        </is>
      </c>
      <c r="C282" s="209" t="n"/>
      <c r="D282" s="16" t="inlineStr">
        <is>
          <t>Workiva</t>
        </is>
      </c>
      <c r="E282" s="209" t="n"/>
      <c r="F282" s="16" t="inlineStr">
        <is>
          <t>Customer Success Manager</t>
        </is>
      </c>
      <c r="G282" s="209" t="n"/>
      <c r="H282" s="16" t="inlineStr">
        <is>
          <t>Assigned accounts, adoption, customer outcomes and renewal coordination.</t>
        </is>
      </c>
      <c r="I282" s="210" t="n"/>
      <c r="J282" s="209" t="n"/>
      <c r="K282" s="16" t="inlineStr">
        <is>
          <t>Language and territory requirements are local overlays.</t>
        </is>
      </c>
      <c r="L282" s="210" t="n"/>
      <c r="M282" s="209" t="n"/>
      <c r="N282" s="16" t="inlineStr">
        <is>
          <t>Netherlands / Sweden</t>
        </is>
      </c>
      <c r="O282" s="16" t="inlineStr">
        <is>
          <t>https://workiva.wd503.myworkdayjobs.com/en-US/careers/job/Customer-Success-Manager---Finnish-Speaker_R11553-1</t>
        </is>
      </c>
    </row>
    <row r="283" ht="132" customHeight="1">
      <c r="A283" s="13" t="inlineStr">
        <is>
          <t>N16</t>
        </is>
      </c>
      <c r="B283" s="16" t="inlineStr">
        <is>
          <t>Lens 1 direct peer</t>
        </is>
      </c>
      <c r="C283" s="209" t="n"/>
      <c r="D283" s="16" t="inlineStr">
        <is>
          <t>Workiva</t>
        </is>
      </c>
      <c r="E283" s="209" t="n"/>
      <c r="F283" s="16" t="inlineStr">
        <is>
          <t>Lead Customer Success Manager, Public Sector</t>
        </is>
      </c>
      <c r="G283" s="209" t="n"/>
      <c r="H283" s="16" t="inlineStr">
        <is>
          <t>Complex public-sector account portfolios, executive engagement and escalations.</t>
        </is>
      </c>
      <c r="I283" s="210" t="n"/>
      <c r="J283" s="209" t="n"/>
      <c r="K283" s="16" t="inlineStr">
        <is>
          <t>Cross-geography comparison with N15 is directional, not a certified promotion sequence.</t>
        </is>
      </c>
      <c r="L283" s="210" t="n"/>
      <c r="M283" s="209" t="n"/>
      <c r="N283" s="16" t="inlineStr">
        <is>
          <t>USA</t>
        </is>
      </c>
      <c r="O283" s="16" t="inlineStr">
        <is>
          <t>https://workiva.wd503.myworkdayjobs.com/careers/job/usa---remote/lead-customer-success-manager--public-sector_r12417</t>
        </is>
      </c>
    </row>
    <row r="284" ht="106" customHeight="1">
      <c r="A284" s="13" t="inlineStr">
        <is>
          <t>N17</t>
        </is>
      </c>
      <c r="B284" s="16" t="inlineStr">
        <is>
          <t>Lens 1 direct peer</t>
        </is>
      </c>
      <c r="C284" s="209" t="n"/>
      <c r="D284" s="16" t="inlineStr">
        <is>
          <t>Workiva</t>
        </is>
      </c>
      <c r="E284" s="209" t="n"/>
      <c r="F284" s="16" t="inlineStr">
        <is>
          <t>VP of Customer Experience</t>
        </is>
      </c>
      <c r="G284" s="209" t="n"/>
      <c r="H284" s="16" t="inlineStr">
        <is>
          <t>Broad support, customer education, community and digital-experience leadership.</t>
        </is>
      </c>
      <c r="I284" s="210" t="n"/>
      <c r="J284" s="209" t="n"/>
      <c r="K284" s="16" t="inlineStr">
        <is>
          <t>A shared functional destination, not a separate VP for every support specialism.</t>
        </is>
      </c>
      <c r="L284" s="210" t="n"/>
      <c r="M284" s="209" t="n"/>
      <c r="N284" s="16" t="inlineStr">
        <is>
          <t>USA</t>
        </is>
      </c>
      <c r="O284" s="16" t="inlineStr">
        <is>
          <t>https://workiva.wd503.myworkdayjobs.com/careers/job/USA---Remote/VP-of-Customer-Experience_R11897</t>
        </is>
      </c>
    </row>
    <row r="285" ht="93" customHeight="1">
      <c r="A285" s="13" t="inlineStr">
        <is>
          <t>N18</t>
        </is>
      </c>
      <c r="B285" s="16" t="inlineStr">
        <is>
          <t>Lens 1 direct peer</t>
        </is>
      </c>
      <c r="C285" s="209" t="n"/>
      <c r="D285" s="16" t="inlineStr">
        <is>
          <t>Workiva</t>
        </is>
      </c>
      <c r="E285" s="209" t="n"/>
      <c r="F285" s="16" t="inlineStr">
        <is>
          <t>Product Support Engineer</t>
        </is>
      </c>
      <c r="G285" s="209" t="n"/>
      <c r="H285" s="16" t="inlineStr">
        <is>
          <t>Product diagnosis, customer cases, knowledge articles and junior mentoring.</t>
        </is>
      </c>
      <c r="I285" s="210" t="n"/>
      <c r="J285" s="209" t="n"/>
      <c r="K285" s="16" t="inlineStr">
        <is>
          <t>Customer product support, not internal employee IT.</t>
        </is>
      </c>
      <c r="L285" s="210" t="n"/>
      <c r="M285" s="209" t="n"/>
      <c r="N285" s="16" t="inlineStr">
        <is>
          <t>UK / Netherlands</t>
        </is>
      </c>
      <c r="O285" s="16" t="inlineStr">
        <is>
          <t>https://workiva.wd503.myworkdayjobs.com/en-US/careers/job/Product-Support-Engineer_R11734</t>
        </is>
      </c>
    </row>
    <row r="286" ht="132" customHeight="1">
      <c r="A286" s="13" t="inlineStr">
        <is>
          <t>N19</t>
        </is>
      </c>
      <c r="B286" s="16" t="inlineStr">
        <is>
          <t>Lens 1 direct peer</t>
        </is>
      </c>
      <c r="C286" s="209" t="n"/>
      <c r="D286" s="16" t="inlineStr">
        <is>
          <t>Workiva</t>
        </is>
      </c>
      <c r="E286" s="209" t="n"/>
      <c r="F286" s="16" t="inlineStr">
        <is>
          <t>Senior Manager of Product Support</t>
        </is>
      </c>
      <c r="G286" s="209" t="n"/>
      <c r="H286" s="16" t="inlineStr">
        <is>
          <t>Formal support-team leadership and full performance-cycle ownership.</t>
        </is>
      </c>
      <c r="I286" s="210" t="n"/>
      <c r="J286" s="209" t="n"/>
      <c r="K286" s="16" t="inlineStr">
        <is>
          <t>Evidence distinguishes people management from technical case leadership.</t>
        </is>
      </c>
      <c r="L286" s="210" t="n"/>
      <c r="M286" s="209" t="n"/>
      <c r="N286" s="16" t="inlineStr">
        <is>
          <t>Netherlands</t>
        </is>
      </c>
      <c r="O286" s="16" t="inlineStr">
        <is>
          <t>https://workiva.wd503.myworkdayjobs.com/en-US/careers/job/Senior-Manager-of-Product-Support---FRX---Capital-Markets_R11869</t>
        </is>
      </c>
    </row>
    <row r="287" ht="119" customHeight="1">
      <c r="A287" s="13" t="inlineStr">
        <is>
          <t>N20</t>
        </is>
      </c>
      <c r="B287" s="16" t="inlineStr">
        <is>
          <t>Lens 1 direct peer</t>
        </is>
      </c>
      <c r="C287" s="209" t="n"/>
      <c r="D287" s="16" t="inlineStr">
        <is>
          <t>Workiva</t>
        </is>
      </c>
      <c r="E287" s="209" t="n"/>
      <c r="F287" s="16" t="inlineStr">
        <is>
          <t>Senior AV Engineer</t>
        </is>
      </c>
      <c r="G287" s="209" t="n"/>
      <c r="H287" s="16" t="inlineStr">
        <is>
          <t>Independently recommends equipment and coordinates vendors without purchasing authority.</t>
        </is>
      </c>
      <c r="I287" s="210" t="n"/>
      <c r="J287" s="209" t="n"/>
      <c r="K287" s="16" t="inlineStr">
        <is>
          <t>Adjacent to workplace/IT, not a facilities or procurement ladder.</t>
        </is>
      </c>
      <c r="L287" s="210" t="n"/>
      <c r="M287" s="209" t="n"/>
      <c r="N287" s="16" t="inlineStr">
        <is>
          <t>USA</t>
        </is>
      </c>
      <c r="O287" s="16" t="inlineStr">
        <is>
          <t>https://workiva.wd503.myworkdayjobs.com/en-US/careers/job/Senior-AV-Engineer---Hybrid--Ames--IA-Office-_R11923</t>
        </is>
      </c>
    </row>
    <row r="288" ht="67" customHeight="1">
      <c r="A288" s="13" t="inlineStr">
        <is>
          <t>N21</t>
        </is>
      </c>
      <c r="B288" s="16" t="inlineStr">
        <is>
          <t>Lens 1 direct peer</t>
        </is>
      </c>
      <c r="C288" s="209" t="n"/>
      <c r="D288" s="16" t="inlineStr">
        <is>
          <t>Regnology</t>
        </is>
      </c>
      <c r="E288" s="209" t="n"/>
      <c r="F288" s="16" t="inlineStr">
        <is>
          <t>IT Technical Writer</t>
        </is>
      </c>
      <c r="G288" s="209" t="n"/>
      <c r="H288" s="16" t="inlineStr">
        <is>
          <t>Banking-product documentation, domain accuracy and documentation-as-code.</t>
        </is>
      </c>
      <c r="I288" s="210" t="n"/>
      <c r="J288" s="209" t="n"/>
      <c r="K288" s="16" t="inlineStr">
        <is>
          <t>Distinct from document conversion; supports a proposed technical-writing branch.</t>
        </is>
      </c>
      <c r="L288" s="210" t="n"/>
      <c r="M288" s="209" t="n"/>
      <c r="N288" s="16" t="inlineStr">
        <is>
          <t>Tunisia</t>
        </is>
      </c>
      <c r="O288" s="16" t="inlineStr">
        <is>
          <t>https://www.regnology.net/en/careers/detail/?id=2644483</t>
        </is>
      </c>
    </row>
    <row r="289" ht="67" customHeight="1">
      <c r="A289" s="13" t="inlineStr">
        <is>
          <t>N22</t>
        </is>
      </c>
      <c r="B289" s="16" t="inlineStr">
        <is>
          <t>Lens 2 domain practice</t>
        </is>
      </c>
      <c r="C289" s="209" t="n"/>
      <c r="D289" s="16" t="inlineStr">
        <is>
          <t>Dropbox</t>
        </is>
      </c>
      <c r="E289" s="209" t="n"/>
      <c r="F289" s="16" t="inlineStr">
        <is>
          <t>Engineering career framework v2.9.1</t>
        </is>
      </c>
      <c r="G289" s="209" t="n"/>
      <c r="H289" s="16" t="inlineStr">
        <is>
          <t>Separate software, QA, SDET, reliability, ML, data, security and management paths.</t>
        </is>
      </c>
      <c r="I289" s="210" t="n"/>
      <c r="J289" s="209" t="n"/>
      <c r="K289" s="16" t="inlineStr">
        <is>
          <t>Published discipline paths differ in length. Neither Dropbox codes nor pay levels are copied.</t>
        </is>
      </c>
      <c r="L289" s="210" t="n"/>
      <c r="M289" s="209" t="n"/>
      <c r="N289" s="16" t="inlineStr">
        <is>
          <t>Global</t>
        </is>
      </c>
      <c r="O289" s="16" t="inlineStr">
        <is>
          <t>https://dropbox.github.io/dbx-career-framework/index.html</t>
        </is>
      </c>
    </row>
    <row r="290" ht="41" customHeight="1">
      <c r="A290" s="13" t="inlineStr">
        <is>
          <t>N23</t>
        </is>
      </c>
      <c r="B290" s="16" t="inlineStr">
        <is>
          <t>Lens 2 other sector</t>
        </is>
      </c>
      <c r="C290" s="209" t="n"/>
      <c r="D290" s="16" t="inlineStr">
        <is>
          <t>Wise</t>
        </is>
      </c>
      <c r="E290" s="209" t="n"/>
      <c r="F290" s="16" t="inlineStr">
        <is>
          <t>Product career map</t>
        </is>
      </c>
      <c r="G290" s="209" t="n"/>
      <c r="H290" s="16" t="inlineStr">
        <is>
          <t>Product ownership expands from features through broader product and team portfolios.</t>
        </is>
      </c>
      <c r="I290" s="210" t="n"/>
      <c r="J290" s="209" t="n"/>
      <c r="K290" s="16" t="inlineStr">
        <is>
          <t>Company-specific path; leadership terms do not automatically mean people management.</t>
        </is>
      </c>
      <c r="L290" s="210" t="n"/>
      <c r="M290" s="209" t="n"/>
      <c r="N290" s="16" t="inlineStr">
        <is>
          <t>Global</t>
        </is>
      </c>
      <c r="O290" s="16" t="inlineStr">
        <is>
          <t>https://wise.jobs/product-career-map</t>
        </is>
      </c>
    </row>
    <row r="291" ht="41" customHeight="1">
      <c r="A291" s="13" t="inlineStr">
        <is>
          <t>N24</t>
        </is>
      </c>
      <c r="B291" s="16" t="inlineStr">
        <is>
          <t>Lens 2 other sector</t>
        </is>
      </c>
      <c r="C291" s="209" t="n"/>
      <c r="D291" s="16" t="inlineStr">
        <is>
          <t>Wise</t>
        </is>
      </c>
      <c r="E291" s="209" t="n"/>
      <c r="F291" s="16" t="inlineStr">
        <is>
          <t>Analytics career map</t>
        </is>
      </c>
      <c r="G291" s="209" t="n"/>
      <c r="H291" s="16" t="inlineStr">
        <is>
          <t>Separate IC and analytics leadership paths; responsibility and skills are distinct.</t>
        </is>
      </c>
      <c r="I291" s="210" t="n"/>
      <c r="J291" s="209" t="n"/>
      <c r="K291" s="16" t="inlineStr">
        <is>
          <t>Published job expectations support scope design; salary figures excluded.</t>
        </is>
      </c>
      <c r="L291" s="210" t="n"/>
      <c r="M291" s="209" t="n"/>
      <c r="N291" s="16" t="inlineStr">
        <is>
          <t>Global</t>
        </is>
      </c>
      <c r="O291" s="16" t="inlineStr">
        <is>
          <t>https://wise.jobs/analytics-career-map</t>
        </is>
      </c>
    </row>
    <row r="292" ht="54" customHeight="1">
      <c r="A292" s="13" t="inlineStr">
        <is>
          <t>N25</t>
        </is>
      </c>
      <c r="B292" s="16" t="inlineStr">
        <is>
          <t>Lens 2 other sector</t>
        </is>
      </c>
      <c r="C292" s="209" t="n"/>
      <c r="D292" s="16" t="inlineStr">
        <is>
          <t>Wise</t>
        </is>
      </c>
      <c r="E292" s="209" t="n"/>
      <c r="F292" s="16" t="inlineStr">
        <is>
          <t>Data science career map</t>
        </is>
      </c>
      <c r="G292" s="209" t="n"/>
      <c r="H292" s="16" t="inlineStr">
        <is>
          <t>Published data-science levels describe wider ownership, problem solving and influence.</t>
        </is>
      </c>
      <c r="I292" s="210" t="n"/>
      <c r="J292" s="209" t="n"/>
      <c r="K292" s="16" t="inlineStr">
        <is>
          <t>Data-science evidence replaces the V1 use of data-engineering titles for this discipline.</t>
        </is>
      </c>
      <c r="L292" s="210" t="n"/>
      <c r="M292" s="209" t="n"/>
      <c r="N292" s="16" t="inlineStr">
        <is>
          <t>Global</t>
        </is>
      </c>
      <c r="O292" s="16" t="inlineStr">
        <is>
          <t>https://wise.jobs/data-science-career-map</t>
        </is>
      </c>
    </row>
    <row r="293" ht="119" customHeight="1">
      <c r="A293" s="13" t="inlineStr">
        <is>
          <t>N26</t>
        </is>
      </c>
      <c r="B293" s="16" t="inlineStr">
        <is>
          <t>Lens 2 professional standard</t>
        </is>
      </c>
      <c r="C293" s="209" t="n"/>
      <c r="D293" s="16" t="inlineStr">
        <is>
          <t>NIST</t>
        </is>
      </c>
      <c r="E293" s="209" t="n"/>
      <c r="F293" s="16" t="inlineStr">
        <is>
          <t>NICE framework current components</t>
        </is>
      </c>
      <c r="G293" s="209" t="n"/>
      <c r="H293" s="16" t="inlineStr">
        <is>
          <t>Separates cybersecurity work roles, tasks, knowledge and skills; current listed components v2.2.0.</t>
        </is>
      </c>
      <c r="I293" s="210" t="n"/>
      <c r="J293" s="209" t="n"/>
      <c r="K293" s="16" t="inlineStr">
        <is>
          <t>Work roles are not corporate grades. Retain version and do not infer maturity from title.</t>
        </is>
      </c>
      <c r="L293" s="210" t="n"/>
      <c r="M293" s="209" t="n"/>
      <c r="N293" s="16" t="inlineStr">
        <is>
          <t>Global</t>
        </is>
      </c>
      <c r="O293" s="16" t="inlineStr">
        <is>
          <t>https://www.nist.gov/itl/applied-cybersecurity/nice/nice-framework-resource-center/nice-framework-current-versions</t>
        </is>
      </c>
    </row>
    <row r="294" ht="132" customHeight="1">
      <c r="A294" s="13" t="inlineStr">
        <is>
          <t>N27</t>
        </is>
      </c>
      <c r="B294" s="16" t="inlineStr">
        <is>
          <t>Method</t>
        </is>
      </c>
      <c r="C294" s="209" t="n"/>
      <c r="D294" s="16" t="inlineStr">
        <is>
          <t>ILO</t>
        </is>
      </c>
      <c r="E294" s="209" t="n"/>
      <c r="F294" s="16" t="inlineStr">
        <is>
          <t>Gender-neutral job evaluation guide</t>
        </is>
      </c>
      <c r="G294" s="209" t="n"/>
      <c r="H294" s="16" t="inlineStr">
        <is>
          <t>Analytical evaluation considers skills, effort, responsibility and working conditions.</t>
        </is>
      </c>
      <c r="I294" s="210" t="n"/>
      <c r="J294" s="209" t="n"/>
      <c r="K294" s="16" t="inlineStr">
        <is>
          <t>2009 methodology, not a validation of the proposed weights or current legal advice.</t>
        </is>
      </c>
      <c r="L294" s="210" t="n"/>
      <c r="M294" s="209" t="n"/>
      <c r="N294" s="16" t="inlineStr">
        <is>
          <t>Global</t>
        </is>
      </c>
      <c r="O294" s="16" t="inlineStr">
        <is>
          <t>https://www.ilo.org/sites/default/files/wcmsp5/groups/public/%40ed_norm/%40declaration/documents/publication/wcms_122372.pdf</t>
        </is>
      </c>
    </row>
    <row r="295" ht="80" customHeight="1">
      <c r="A295" s="13" t="inlineStr">
        <is>
          <t>N28</t>
        </is>
      </c>
      <c r="B295" s="16" t="inlineStr">
        <is>
          <t>Lens 2 professional standard</t>
        </is>
      </c>
      <c r="C295" s="209" t="n"/>
      <c r="D295" s="16" t="inlineStr">
        <is>
          <t>Chartered Governance Institute</t>
        </is>
      </c>
      <c r="E295" s="209" t="n"/>
      <c r="F295" s="16" t="inlineStr">
        <is>
          <t>Governance competency framework</t>
        </is>
      </c>
      <c r="G295" s="209" t="n"/>
      <c r="H295" s="16" t="inlineStr">
        <is>
          <t>Governance capability develops through entry, emerging, established and expert stages.</t>
        </is>
      </c>
      <c r="I295" s="210" t="n"/>
      <c r="J295" s="209" t="n"/>
      <c r="K295" s="16" t="inlineStr">
        <is>
          <t>Competence stages are not statutory appointments or corporate grades.</t>
        </is>
      </c>
      <c r="L295" s="210" t="n"/>
      <c r="M295" s="209" t="n"/>
      <c r="N295" s="16" t="inlineStr">
        <is>
          <t>Global</t>
        </is>
      </c>
      <c r="O295" s="16" t="inlineStr">
        <is>
          <t>https://www.cgi.org.uk/qualifications-training/competency-framework/</t>
        </is>
      </c>
    </row>
    <row r="296" ht="80" customHeight="1">
      <c r="A296" s="13" t="inlineStr">
        <is>
          <t>N29</t>
        </is>
      </c>
      <c r="B296" s="16" t="inlineStr">
        <is>
          <t>Lens 2 professional standard</t>
        </is>
      </c>
      <c r="C296" s="209" t="n"/>
      <c r="D296" s="16" t="inlineStr">
        <is>
          <t>Association of Corporate Treasurers</t>
        </is>
      </c>
      <c r="E296" s="209" t="n"/>
      <c r="F296" s="16" t="inlineStr">
        <is>
          <t>Treasury competency framework</t>
        </is>
      </c>
      <c r="G296" s="209" t="n"/>
      <c r="H296" s="16" t="inlineStr">
        <is>
          <t>Treasury has tactical, operational, managerial and strategic responsibility contexts.</t>
        </is>
      </c>
      <c r="I296" s="210" t="n"/>
      <c r="J296" s="209" t="n"/>
      <c r="K296" s="16" t="inlineStr">
        <is>
          <t>Use treasury scope; salary guidance and external level codes are excluded.</t>
        </is>
      </c>
      <c r="L296" s="210" t="n"/>
      <c r="M296" s="209" t="n"/>
      <c r="N296" s="16" t="inlineStr">
        <is>
          <t>Global</t>
        </is>
      </c>
      <c r="O296" s="16" t="inlineStr">
        <is>
          <t>https://www.treasurers.org/cpd-and-training/competency-framework/</t>
        </is>
      </c>
    </row>
    <row r="297" ht="80" customHeight="1">
      <c r="A297" s="13" t="inlineStr">
        <is>
          <t>N30</t>
        </is>
      </c>
      <c r="B297" s="16" t="inlineStr">
        <is>
          <t>Lens 2 professional standard</t>
        </is>
      </c>
      <c r="C297" s="209" t="n"/>
      <c r="D297" s="16" t="inlineStr">
        <is>
          <t>APM</t>
        </is>
      </c>
      <c r="E297" s="209" t="n"/>
      <c r="F297" s="16" t="inlineStr">
        <is>
          <t>Competence framework</t>
        </is>
      </c>
      <c r="G297" s="209" t="n"/>
      <c r="H297" s="16" t="inlineStr">
        <is>
          <t>Separate project, programme, portfolio and PMO roles with knowledge/application criteria.</t>
        </is>
      </c>
      <c r="I297" s="210" t="n"/>
      <c r="J297" s="209" t="n"/>
      <c r="K297" s="16" t="inlineStr">
        <is>
          <t>Competency ratings are not job-size grades or a compulsory career sequence.</t>
        </is>
      </c>
      <c r="L297" s="210" t="n"/>
      <c r="M297" s="209" t="n"/>
      <c r="N297" s="16" t="inlineStr">
        <is>
          <t>Global</t>
        </is>
      </c>
      <c r="O297" s="16" t="inlineStr">
        <is>
          <t>https://www.apm.org.uk/resources/find-a-resource/competence-framework/</t>
        </is>
      </c>
    </row>
    <row r="298" ht="93" customHeight="1">
      <c r="A298" s="13" t="inlineStr">
        <is>
          <t>N31</t>
        </is>
      </c>
      <c r="B298" s="16" t="inlineStr">
        <is>
          <t>Lens 2 professional standard</t>
        </is>
      </c>
      <c r="C298" s="209" t="n"/>
      <c r="D298" s="16" t="inlineStr">
        <is>
          <t>ATD</t>
        </is>
      </c>
      <c r="E298" s="209" t="n"/>
      <c r="F298" s="16" t="inlineStr">
        <is>
          <t>Talent Development Capability Model</t>
        </is>
      </c>
      <c r="G298" s="209" t="n"/>
      <c r="H298" s="16" t="inlineStr">
        <is>
          <t>Development capabilities cover personal, professional and organisational practice.</t>
        </is>
      </c>
      <c r="I298" s="210" t="n"/>
      <c r="J298" s="209" t="n"/>
      <c r="K298" s="16" t="inlineStr">
        <is>
          <t>Capability model guides L&amp;D role content; does not grade jobs.</t>
        </is>
      </c>
      <c r="L298" s="210" t="n"/>
      <c r="M298" s="209" t="n"/>
      <c r="N298" s="16" t="inlineStr">
        <is>
          <t>Global</t>
        </is>
      </c>
      <c r="O298" s="16" t="inlineStr">
        <is>
          <t>https://www.td.org/chapters/clc/talent-development-capability-model-chapter-resources</t>
        </is>
      </c>
    </row>
    <row r="299" ht="80" customHeight="1">
      <c r="A299" s="13" t="inlineStr">
        <is>
          <t>N32</t>
        </is>
      </c>
      <c r="B299" s="16" t="inlineStr">
        <is>
          <t>Lens 2 professional standard</t>
        </is>
      </c>
      <c r="C299" s="209" t="n"/>
      <c r="D299" s="16" t="inlineStr">
        <is>
          <t>CIPS</t>
        </is>
      </c>
      <c r="E299" s="209" t="n"/>
      <c r="F299" s="16" t="inlineStr">
        <is>
          <t>Global Standard for procurement and supply</t>
        </is>
      </c>
      <c r="G299" s="209" t="n"/>
      <c r="H299" s="16" t="inlineStr">
        <is>
          <t>Current overview uses Delivering, Managing, Leading and Influencing bands.</t>
        </is>
      </c>
      <c r="I299" s="210" t="n"/>
      <c r="J299" s="209" t="n"/>
      <c r="K299" s="16" t="inlineStr">
        <is>
          <t>Do not carry forward an older five-band model or map qualification levels to grades.</t>
        </is>
      </c>
      <c r="L299" s="210" t="n"/>
      <c r="M299" s="209" t="n"/>
      <c r="N299" s="16" t="inlineStr">
        <is>
          <t>Global</t>
        </is>
      </c>
      <c r="O299" s="16" t="inlineStr">
        <is>
          <t>https://www.cips.org/intelligence-hub/global-standard-for-procurement-supply</t>
        </is>
      </c>
    </row>
    <row r="300" ht="80" customHeight="1">
      <c r="A300" s="13" t="inlineStr">
        <is>
          <t>N33</t>
        </is>
      </c>
      <c r="B300" s="16" t="inlineStr">
        <is>
          <t>Lens 2 professional standard</t>
        </is>
      </c>
      <c r="C300" s="209" t="n"/>
      <c r="D300" s="16" t="inlineStr">
        <is>
          <t>IIA</t>
        </is>
      </c>
      <c r="E300" s="209" t="n"/>
      <c r="F300" s="16" t="inlineStr">
        <is>
          <t>Internal Auditing Competency Framework, 2025</t>
        </is>
      </c>
      <c r="G300" s="209" t="n"/>
      <c r="H300" s="16" t="inlineStr">
        <is>
          <t>Updated guidance identifies audit knowledge, skills and proficiency expectations.</t>
        </is>
      </c>
      <c r="I300" s="210" t="n"/>
      <c r="J300" s="209" t="n"/>
      <c r="K300" s="16" t="inlineStr">
        <is>
          <t>Overview only; detailed member templates not inspected.</t>
        </is>
      </c>
      <c r="L300" s="210" t="n"/>
      <c r="M300" s="209" t="n"/>
      <c r="N300" s="16" t="inlineStr">
        <is>
          <t>Global</t>
        </is>
      </c>
      <c r="O300" s="16" t="inlineStr">
        <is>
          <t>https://www.theiia.org/en/content/guidance/global/competency-framework/</t>
        </is>
      </c>
    </row>
    <row r="301" ht="158" customHeight="1">
      <c r="A301" s="13" t="inlineStr">
        <is>
          <t>N34</t>
        </is>
      </c>
      <c r="B301" s="16" t="inlineStr">
        <is>
          <t>Lens 2 professional standard</t>
        </is>
      </c>
      <c r="C301" s="209" t="n"/>
      <c r="D301" s="16" t="inlineStr">
        <is>
          <t>ACCA</t>
        </is>
      </c>
      <c r="E301" s="209" t="n"/>
      <c r="F301" s="16" t="inlineStr">
        <is>
          <t>Career Navigator capability model</t>
        </is>
      </c>
      <c r="G301" s="209" t="n"/>
      <c r="H301" s="16" t="inlineStr">
        <is>
          <t>Role requirements combine technical and wider business capabilities across finance careers.</t>
        </is>
      </c>
      <c r="I301" s="210" t="n"/>
      <c r="J301" s="209" t="n"/>
      <c r="K301" s="16" t="inlineStr">
        <is>
          <t>Qualification completion is not automatic corporate seniority.</t>
        </is>
      </c>
      <c r="L301" s="210" t="n"/>
      <c r="M301" s="209" t="n"/>
      <c r="N301" s="16" t="inlineStr">
        <is>
          <t>Global</t>
        </is>
      </c>
      <c r="O301" s="16" t="inlineStr">
        <is>
          <t>https://www.accaglobal.com/gb/en/employer/train-and-develop-finance-talent/what-skills-and-competencies-does-the-acca-qualification-develop.html</t>
        </is>
      </c>
    </row>
    <row r="302" ht="80" customHeight="1">
      <c r="A302" s="13" t="inlineStr">
        <is>
          <t>N35</t>
        </is>
      </c>
      <c r="B302" s="16" t="inlineStr">
        <is>
          <t>Lens 2 other sector</t>
        </is>
      </c>
      <c r="C302" s="209" t="n"/>
      <c r="D302" s="16" t="inlineStr">
        <is>
          <t>Skills England</t>
        </is>
      </c>
      <c r="E302" s="209" t="n"/>
      <c r="F302" s="16" t="inlineStr">
        <is>
          <t>Sales executive occupational standard</t>
        </is>
      </c>
      <c r="G302" s="209" t="n"/>
      <c r="H302" s="16" t="inlineStr">
        <is>
          <t>Sales work includes needs analysis, end-to-end selling and growing accounts.</t>
        </is>
      </c>
      <c r="I302" s="210" t="n"/>
      <c r="J302" s="209" t="n"/>
      <c r="K302" s="16" t="inlineStr">
        <is>
          <t>Apprenticeship level is educational and must not become a job grade.</t>
        </is>
      </c>
      <c r="L302" s="210" t="n"/>
      <c r="M302" s="209" t="n"/>
      <c r="N302" s="16" t="inlineStr">
        <is>
          <t>UK</t>
        </is>
      </c>
      <c r="O302" s="16" t="inlineStr">
        <is>
          <t>https://skillsengland.education.gov.uk/apprenticeship-standards/st0572-v1-1</t>
        </is>
      </c>
    </row>
    <row r="303" ht="41" customHeight="1">
      <c r="A303" s="13" t="inlineStr">
        <is>
          <t>N36</t>
        </is>
      </c>
      <c r="B303" s="16" t="inlineStr">
        <is>
          <t>Lens 2 professional standard</t>
        </is>
      </c>
      <c r="C303" s="209" t="n"/>
      <c r="D303" s="16" t="inlineStr">
        <is>
          <t>IIA</t>
        </is>
      </c>
      <c r="E303" s="209" t="n"/>
      <c r="F303" s="16" t="inlineStr">
        <is>
          <t>Global Internal Audit Standards</t>
        </is>
      </c>
      <c r="G303" s="209" t="n"/>
      <c r="H303" s="16" t="inlineStr">
        <is>
          <t>Professional standards address the effective governance and practice of internal audit.</t>
        </is>
      </c>
      <c r="I303" s="210" t="n"/>
      <c r="J303" s="209" t="n"/>
      <c r="K303" s="16" t="inlineStr">
        <is>
          <t>A role taxonomy must preserve audit independence; it is not a reporting-line mandate for every firm.</t>
        </is>
      </c>
      <c r="L303" s="210" t="n"/>
      <c r="M303" s="209" t="n"/>
      <c r="N303" s="16" t="inlineStr">
        <is>
          <t>Global</t>
        </is>
      </c>
      <c r="O303" s="16" t="inlineStr">
        <is>
          <t>https://www.theiia.org/en/standards/</t>
        </is>
      </c>
    </row>
    <row r="304" ht="54" customHeight="1">
      <c r="A304" s="13" t="inlineStr">
        <is>
          <t>R03</t>
        </is>
      </c>
      <c r="B304" s="16" t="inlineStr">
        <is>
          <t>Lens 1</t>
        </is>
      </c>
      <c r="C304" s="209" t="n"/>
      <c r="D304" s="16" t="inlineStr">
        <is>
          <t>DataTracks</t>
        </is>
      </c>
      <c r="E304" s="209" t="n"/>
      <c r="F304" s="16" t="inlineStr">
        <is>
          <t>Published career openings</t>
        </is>
      </c>
      <c r="G304" s="209" t="n"/>
      <c r="H304" s="16" t="inlineStr">
        <is>
          <t>Associate Document Specialist, Senior Associate Document Specialist and Business Development Executive are published in Chennai.</t>
        </is>
      </c>
      <c r="I304" s="210" t="n"/>
      <c r="J304" s="209" t="n"/>
      <c r="K304" s="16" t="inlineStr">
        <is>
          <t>Observable role titles only. No complete manager-to-executive ladder is published on this page.</t>
        </is>
      </c>
      <c r="L304" s="210" t="n"/>
      <c r="M304" s="209" t="n"/>
      <c r="N304" s="16" t="inlineStr">
        <is>
          <t>India</t>
        </is>
      </c>
      <c r="O304" s="16" t="inlineStr">
        <is>
          <t>https://datatracks.com/careers/</t>
        </is>
      </c>
    </row>
    <row r="305" ht="67" customHeight="1">
      <c r="A305" s="13" t="inlineStr">
        <is>
          <t>R05</t>
        </is>
      </c>
      <c r="B305" s="16" t="inlineStr">
        <is>
          <t>Lens 1</t>
        </is>
      </c>
      <c r="C305" s="209" t="n"/>
      <c r="D305" s="16" t="inlineStr">
        <is>
          <t>Regnology</t>
        </is>
      </c>
      <c r="E305" s="209" t="n"/>
      <c r="F305" s="16" t="inlineStr">
        <is>
          <t>Senior risk consultant</t>
        </is>
      </c>
      <c r="G305" s="209" t="n"/>
      <c r="H305" s="16" t="inlineStr">
        <is>
          <t>A senior risk consultant is described as a domain expert delivering functional financial-institution implementations.</t>
        </is>
      </c>
      <c r="I305" s="210" t="n"/>
      <c r="J305" s="209" t="n"/>
      <c r="K305" s="16" t="inlineStr">
        <is>
          <t>Risk implementation example from Poland; adjacent to XBRL advisory, not identical. No employer grade equivalence.</t>
        </is>
      </c>
      <c r="L305" s="210" t="n"/>
      <c r="M305" s="209" t="n"/>
      <c r="N305" s="16" t="inlineStr">
        <is>
          <t>Global</t>
        </is>
      </c>
      <c r="O305" s="16" t="inlineStr">
        <is>
          <t>https://regnology.jobs.personio.de/job/2645750?language=en</t>
        </is>
      </c>
    </row>
    <row r="306" ht="93" customHeight="1">
      <c r="A306" s="13" t="inlineStr">
        <is>
          <t>R06</t>
        </is>
      </c>
      <c r="B306" s="16" t="inlineStr">
        <is>
          <t>Lens 1</t>
        </is>
      </c>
      <c r="C306" s="209" t="n"/>
      <c r="D306" s="16" t="inlineStr">
        <is>
          <t>Workiva</t>
        </is>
      </c>
      <c r="E306" s="209" t="n"/>
      <c r="F306" s="16" t="inlineStr">
        <is>
          <t>Staff data engineer</t>
        </is>
      </c>
      <c r="G306" s="209" t="n"/>
      <c r="H306" s="16" t="inlineStr">
        <is>
          <t>The posting assigns ownership of data foundations across GRC engineering.</t>
        </is>
      </c>
      <c r="I306" s="210" t="n"/>
      <c r="J306" s="209" t="n"/>
      <c r="K306" s="16" t="inlineStr">
        <is>
          <t>Same requisition has inconsistent indexed text across locale URLs. Use the data-specific canonical extract; title and full grade remain uncertain.</t>
        </is>
      </c>
      <c r="L306" s="210" t="n"/>
      <c r="M306" s="209" t="n"/>
      <c r="N306" s="16" t="inlineStr">
        <is>
          <t>USA</t>
        </is>
      </c>
      <c r="O306" s="16" t="inlineStr">
        <is>
          <t>https://workiva.wd503.myworkdayjobs.com/careers/job/Staff-Data-Engineer_R12046</t>
        </is>
      </c>
    </row>
    <row r="307" ht="119" customHeight="1">
      <c r="A307" s="13" t="inlineStr">
        <is>
          <t>R08</t>
        </is>
      </c>
      <c r="B307" s="16" t="inlineStr">
        <is>
          <t>Lens 1</t>
        </is>
      </c>
      <c r="C307" s="209" t="n"/>
      <c r="D307" s="16" t="inlineStr">
        <is>
          <t>Workiva</t>
        </is>
      </c>
      <c r="E307" s="209" t="n"/>
      <c r="F307" s="16" t="inlineStr">
        <is>
          <t>Vice president product marketing</t>
        </is>
      </c>
      <c r="G307" s="209" t="n"/>
      <c r="H307" s="16" t="inlineStr">
        <is>
          <t>The position leads portfolio positioning, go-to-market strategy and a large product-marketing team.</t>
        </is>
      </c>
      <c r="I307" s="210" t="n"/>
      <c r="J307" s="209" t="n"/>
      <c r="K307" s="16" t="inlineStr">
        <is>
          <t>Supports functional executive scope. Does not mean every marketing speciality needs a VP.</t>
        </is>
      </c>
      <c r="L307" s="210" t="n"/>
      <c r="M307" s="209" t="n"/>
      <c r="N307" s="16" t="inlineStr">
        <is>
          <t>USA</t>
        </is>
      </c>
      <c r="O307" s="16" t="inlineStr">
        <is>
          <t>https://workiva.wd503.myworkdayjobs.com/careers/job/usa---remote/vice-president-of-product-marketing_r12408</t>
        </is>
      </c>
    </row>
    <row r="308" ht="119" customHeight="1">
      <c r="A308" s="13" t="inlineStr">
        <is>
          <t>R09</t>
        </is>
      </c>
      <c r="B308" s="16" t="inlineStr">
        <is>
          <t>Lens 1</t>
        </is>
      </c>
      <c r="C308" s="209" t="n"/>
      <c r="D308" s="16" t="inlineStr">
        <is>
          <t>Workiva</t>
        </is>
      </c>
      <c r="E308" s="209" t="n"/>
      <c r="F308" s="16" t="inlineStr">
        <is>
          <t>Lead program manager</t>
        </is>
      </c>
      <c r="G308" s="209" t="n"/>
      <c r="H308" s="16" t="inlineStr">
        <is>
          <t>The role coordinates complex cross-functional revenue programs, dependencies, adoption and outcomes.</t>
        </is>
      </c>
      <c r="I308" s="210" t="n"/>
      <c r="J308" s="209" t="n"/>
      <c r="K308" s="16" t="inlineStr">
        <is>
          <t>Program leadership can operate through influence without formal reporting authority.</t>
        </is>
      </c>
      <c r="L308" s="210" t="n"/>
      <c r="M308" s="209" t="n"/>
      <c r="N308" s="16" t="inlineStr">
        <is>
          <t>USA</t>
        </is>
      </c>
      <c r="O308" s="16" t="inlineStr">
        <is>
          <t>https://workiva.wd503.myworkdayjobs.com/careers/job/USA---Remote/Lead-Program-Manager---GTM-Acceleration_R11909</t>
        </is>
      </c>
    </row>
    <row r="309" ht="106" customHeight="1">
      <c r="A309" s="13" t="inlineStr">
        <is>
          <t>R10</t>
        </is>
      </c>
      <c r="B309" s="16" t="inlineStr">
        <is>
          <t>Lens 1</t>
        </is>
      </c>
      <c r="C309" s="209" t="n"/>
      <c r="D309" s="16" t="inlineStr">
        <is>
          <t>Workiva</t>
        </is>
      </c>
      <c r="E309" s="209" t="n"/>
      <c r="F309" s="16" t="inlineStr">
        <is>
          <t>Lead data product manager</t>
        </is>
      </c>
      <c r="G309" s="209" t="n"/>
      <c r="H309" s="16" t="inlineStr">
        <is>
          <t>The position owns data-product requirements, quality and adoption with finance and people stakeholders.</t>
        </is>
      </c>
      <c r="I309" s="210" t="n"/>
      <c r="J309" s="209" t="n"/>
      <c r="K309" s="16" t="inlineStr">
        <is>
          <t>Product ownership is distinct from engineering or people management.</t>
        </is>
      </c>
      <c r="L309" s="210" t="n"/>
      <c r="M309" s="209" t="n"/>
      <c r="N309" s="16" t="inlineStr">
        <is>
          <t>USA</t>
        </is>
      </c>
      <c r="O309" s="16" t="inlineStr">
        <is>
          <t>https://workiva.wd503.myworkdayjobs.com/en-US/careers/job/Lead-Data-Product-Manager_R12042</t>
        </is>
      </c>
    </row>
    <row r="310" ht="54" customHeight="1">
      <c r="A310" s="13" t="inlineStr">
        <is>
          <t>R13</t>
        </is>
      </c>
      <c r="B310" s="16" t="inlineStr">
        <is>
          <t>Lens 1</t>
        </is>
      </c>
      <c r="C310" s="209" t="n"/>
      <c r="D310" s="16" t="inlineStr">
        <is>
          <t>CoreFiling</t>
        </is>
      </c>
      <c r="E310" s="209" t="n"/>
      <c r="F310" s="16" t="inlineStr">
        <is>
          <t>Careers and technical context</t>
        </is>
      </c>
      <c r="G310" s="209" t="n"/>
      <c r="H310" s="16" t="inlineStr">
        <is>
          <t>Careers content links regulatory-domain expertise with Java, microservices, Kubernetes, training and rotations.</t>
        </is>
      </c>
      <c r="I310" s="210" t="n"/>
      <c r="J310" s="209" t="n"/>
      <c r="K310" s="16" t="inlineStr">
        <is>
          <t>Describes development practice but does not publish a full level hierarchy.</t>
        </is>
      </c>
      <c r="L310" s="210" t="n"/>
      <c r="M310" s="209" t="n"/>
      <c r="N310" s="16" t="inlineStr">
        <is>
          <t>Global</t>
        </is>
      </c>
      <c r="O310" s="16" t="inlineStr">
        <is>
          <t>https://www.corefiling.com/company/careers/</t>
        </is>
      </c>
    </row>
    <row r="311" ht="67" customHeight="1">
      <c r="A311" s="13" t="inlineStr">
        <is>
          <t>R16</t>
        </is>
      </c>
      <c r="B311" s="16" t="inlineStr">
        <is>
          <t>Lens 1 adjacent</t>
        </is>
      </c>
      <c r="C311" s="209" t="n"/>
      <c r="D311" s="16" t="inlineStr">
        <is>
          <t>S&amp;P Global</t>
        </is>
      </c>
      <c r="E311" s="209" t="n"/>
      <c r="F311" s="16" t="inlineStr">
        <is>
          <t>Lead data analyst</t>
        </is>
      </c>
      <c r="G311" s="209" t="n"/>
      <c r="H311" s="16" t="inlineStr">
        <is>
          <t>The listed duties include financial-data sourcing, validation, reconciliation and escalation within SOPs.</t>
        </is>
      </c>
      <c r="I311" s="210" t="n"/>
      <c r="J311" s="209" t="n"/>
      <c r="K311" s="16" t="inlineStr">
        <is>
          <t>Lead title coexists with bounded operating duties. Title alone cannot size the role; direct fetch returned 403.</t>
        </is>
      </c>
      <c r="L311" s="210" t="n"/>
      <c r="M311" s="209" t="n"/>
      <c r="N311" s="16" t="inlineStr">
        <is>
          <t>India</t>
        </is>
      </c>
      <c r="O311" s="16" t="inlineStr">
        <is>
          <t>https://careers.spglobal.com/jobs/330702?lang=en-us</t>
        </is>
      </c>
    </row>
    <row r="312" ht="67" customHeight="1">
      <c r="A312" s="13" t="inlineStr">
        <is>
          <t>R19</t>
        </is>
      </c>
      <c r="B312" s="16" t="inlineStr">
        <is>
          <t>Lens 1 adjacent</t>
        </is>
      </c>
      <c r="C312" s="209" t="n"/>
      <c r="D312" s="16" t="inlineStr">
        <is>
          <t>SAP</t>
        </is>
      </c>
      <c r="E312" s="209" t="n"/>
      <c r="F312" s="16" t="inlineStr">
        <is>
          <t>Legal counsel</t>
        </is>
      </c>
      <c r="G312" s="209" t="n"/>
      <c r="H312" s="16" t="inlineStr">
        <is>
          <t>Bangalore counsel role covers independent privacy/AI legal advice, documentation and risk ownership.</t>
        </is>
      </c>
      <c r="I312" s="210" t="n"/>
      <c r="J312" s="209" t="n"/>
      <c r="K312" s="16" t="inlineStr">
        <is>
          <t>Privacy counsel is a legal sub-specialism, not company-secretarial work or the full commercial legal hierarchy.</t>
        </is>
      </c>
      <c r="L312" s="210" t="n"/>
      <c r="M312" s="209" t="n"/>
      <c r="N312" s="16" t="inlineStr">
        <is>
          <t>India</t>
        </is>
      </c>
      <c r="O312" s="16" t="inlineStr">
        <is>
          <t>https://jobs.sap.com/en/jobs/744000153442007/legal-counsel/</t>
        </is>
      </c>
    </row>
    <row r="313" ht="145" customHeight="1">
      <c r="A313" s="13" t="inlineStr">
        <is>
          <t>R20</t>
        </is>
      </c>
      <c r="B313" s="16" t="inlineStr">
        <is>
          <t>Lens 1 adjacent</t>
        </is>
      </c>
      <c r="C313" s="209" t="n"/>
      <c r="D313" s="16" t="inlineStr">
        <is>
          <t>Thomson Reuters</t>
        </is>
      </c>
      <c r="E313" s="209" t="n"/>
      <c r="F313" s="16" t="inlineStr">
        <is>
          <t>Senior accountant</t>
        </is>
      </c>
      <c r="G313" s="209" t="n"/>
      <c r="H313" s="16" t="inlineStr">
        <is>
          <t>An India posting provides senior-accountant nomenclature in an information-services employer.</t>
        </is>
      </c>
      <c r="I313" s="210" t="n"/>
      <c r="J313" s="209" t="n"/>
      <c r="K313" s="16" t="inlineStr">
        <is>
          <t>Adjacent sector example and selected accounting scope, not a universal finance level.</t>
        </is>
      </c>
      <c r="L313" s="210" t="n"/>
      <c r="M313" s="209" t="n"/>
      <c r="N313" s="16" t="inlineStr">
        <is>
          <t>India</t>
        </is>
      </c>
      <c r="O313" s="16" t="inlineStr">
        <is>
          <t>https://thomsonreuters.wd5.myworkdayjobs.com/en-US/External_Career_Site/job/Senior-Accountant---Fixed-Asset---Project-Accounting_JREQ200356</t>
        </is>
      </c>
    </row>
    <row r="314" ht="67" customHeight="1">
      <c r="A314" s="13" t="inlineStr">
        <is>
          <t>R21</t>
        </is>
      </c>
      <c r="B314" s="16" t="inlineStr">
        <is>
          <t>Lens 2</t>
        </is>
      </c>
      <c r="C314" s="209" t="n"/>
      <c r="D314" s="16" t="inlineStr">
        <is>
          <t>GitLab</t>
        </is>
      </c>
      <c r="E314" s="209" t="n"/>
      <c r="F314" s="16" t="inlineStr">
        <is>
          <t>Organizational structure</t>
        </is>
      </c>
      <c r="G314" s="209" t="n"/>
      <c r="H314" s="16" t="inlineStr">
        <is>
          <t>Public structure material separates IC and manager frameworks and links progression to business need and scope.</t>
        </is>
      </c>
      <c r="I314" s="210" t="n"/>
      <c r="J314" s="209" t="n"/>
      <c r="K314" s="16" t="inlineStr">
        <is>
          <t>Use the design principles; do not copy GitLab grades or spans automatically.</t>
        </is>
      </c>
      <c r="L314" s="210" t="n"/>
      <c r="M314" s="209" t="n"/>
      <c r="N314" s="16" t="inlineStr">
        <is>
          <t>Global</t>
        </is>
      </c>
      <c r="O314" s="16" t="inlineStr">
        <is>
          <t>https://handbook.gitlab.com/handbook/company/structure/</t>
        </is>
      </c>
    </row>
    <row r="315" ht="93" customHeight="1">
      <c r="A315" s="13" t="inlineStr">
        <is>
          <t>R24</t>
        </is>
      </c>
      <c r="B315" s="16" t="inlineStr">
        <is>
          <t>Lens 2</t>
        </is>
      </c>
      <c r="C315" s="209" t="n"/>
      <c r="D315" s="16" t="inlineStr">
        <is>
          <t>GitLab</t>
        </is>
      </c>
      <c r="E315" s="209" t="n"/>
      <c r="F315" s="16" t="inlineStr">
        <is>
          <t>Product design</t>
        </is>
      </c>
      <c r="G315" s="209" t="n"/>
      <c r="H315" s="16" t="inlineStr">
        <is>
          <t>Staff, principal and distinguished design roles broaden influence from a group to company-level direction.</t>
        </is>
      </c>
      <c r="I315" s="210" t="n"/>
      <c r="J315" s="209" t="n"/>
      <c r="K315" s="16" t="inlineStr">
        <is>
          <t>Provides an expert path, not a requirement for every design team to create those positions.</t>
        </is>
      </c>
      <c r="L315" s="210" t="n"/>
      <c r="M315" s="209" t="n"/>
      <c r="N315" s="16" t="inlineStr">
        <is>
          <t>Global</t>
        </is>
      </c>
      <c r="O315" s="16" t="inlineStr">
        <is>
          <t>https://handbook.gitlab.com/job-description-library/product/product-designer/</t>
        </is>
      </c>
    </row>
    <row r="316" ht="93" customHeight="1">
      <c r="A316" s="13" t="inlineStr">
        <is>
          <t>R26</t>
        </is>
      </c>
      <c r="B316" s="16" t="inlineStr">
        <is>
          <t>Lens 2</t>
        </is>
      </c>
      <c r="C316" s="209" t="n"/>
      <c r="D316" s="16" t="inlineStr">
        <is>
          <t>GitLab</t>
        </is>
      </c>
      <c r="E316" s="209" t="n"/>
      <c r="F316" s="16" t="inlineStr">
        <is>
          <t>Solutions architect</t>
        </is>
      </c>
      <c r="G316" s="209" t="n"/>
      <c r="H316" s="16" t="inlineStr">
        <is>
          <t>The role supports technical evaluation, solution validation and customer business value; an associate level is published.</t>
        </is>
      </c>
      <c r="I316" s="210" t="n"/>
      <c r="J316" s="209" t="n"/>
      <c r="K316" s="16" t="inlineStr">
        <is>
          <t>Sales solutions architecture is distinct from internal platform architecture.</t>
        </is>
      </c>
      <c r="L316" s="210" t="n"/>
      <c r="M316" s="209" t="n"/>
      <c r="N316" s="16" t="inlineStr">
        <is>
          <t>Global</t>
        </is>
      </c>
      <c r="O316" s="16" t="inlineStr">
        <is>
          <t>https://handbook.gitlab.com/job-description-library/sales/solutions-architect/</t>
        </is>
      </c>
    </row>
    <row r="317" ht="93" customHeight="1">
      <c r="A317" s="13" t="inlineStr">
        <is>
          <t>R27</t>
        </is>
      </c>
      <c r="B317" s="16" t="inlineStr">
        <is>
          <t>Lens 2</t>
        </is>
      </c>
      <c r="C317" s="209" t="n"/>
      <c r="D317" s="16" t="inlineStr">
        <is>
          <t>GitLab</t>
        </is>
      </c>
      <c r="E317" s="209" t="n"/>
      <c r="F317" s="16" t="inlineStr">
        <is>
          <t>Support engineer</t>
        </is>
      </c>
      <c r="G317" s="209" t="n"/>
      <c r="H317" s="16" t="inlineStr">
        <is>
          <t>The role handles product problems through customer tickets; associate and other support-engineering levels are documented.</t>
        </is>
      </c>
      <c r="I317" s="210" t="n"/>
      <c r="J317" s="209" t="n"/>
      <c r="K317" s="16" t="inlineStr">
        <is>
          <t>Do not treat customer support as the same discipline as IT service desk.</t>
        </is>
      </c>
      <c r="L317" s="210" t="n"/>
      <c r="M317" s="209" t="n"/>
      <c r="N317" s="16" t="inlineStr">
        <is>
          <t>Global</t>
        </is>
      </c>
      <c r="O317" s="16" t="inlineStr">
        <is>
          <t>https://handbook.gitlab.com/job-description-library/engineering/support-engineer/</t>
        </is>
      </c>
    </row>
    <row r="318" ht="106" customHeight="1">
      <c r="A318" s="13" t="inlineStr">
        <is>
          <t>R32</t>
        </is>
      </c>
      <c r="B318" s="16" t="inlineStr">
        <is>
          <t>Lens 2</t>
        </is>
      </c>
      <c r="C318" s="209" t="n"/>
      <c r="D318" s="16" t="inlineStr">
        <is>
          <t>GitLab</t>
        </is>
      </c>
      <c r="E318" s="209" t="n"/>
      <c r="F318" s="16" t="inlineStr">
        <is>
          <t>Legal counsel</t>
        </is>
      </c>
      <c r="G318" s="209" t="n"/>
      <c r="H318" s="16" t="inlineStr">
        <is>
          <t>Associate and counsel responsibilities are published; the page explicitly leaves the next career step undefined.</t>
        </is>
      </c>
      <c r="I318" s="210" t="n"/>
      <c r="J318" s="209" t="n"/>
      <c r="K318" s="16" t="inlineStr">
        <is>
          <t>Higher legal roles in the proposal are synthesized, not represented as GitLab's published full ladder.</t>
        </is>
      </c>
      <c r="L318" s="210" t="n"/>
      <c r="M318" s="209" t="n"/>
      <c r="N318" s="16" t="inlineStr">
        <is>
          <t>Global</t>
        </is>
      </c>
      <c r="O318" s="16" t="inlineStr">
        <is>
          <t>https://handbook.gitlab.com/job-description-library/legal-and-corporate-affairs/legal-counsel/</t>
        </is>
      </c>
    </row>
    <row r="319" ht="119" customHeight="1">
      <c r="A319" s="13" t="inlineStr">
        <is>
          <t>R33</t>
        </is>
      </c>
      <c r="B319" s="16" t="inlineStr">
        <is>
          <t>Lens 2</t>
        </is>
      </c>
      <c r="C319" s="209" t="n"/>
      <c r="D319" s="16" t="inlineStr">
        <is>
          <t>Whatfix</t>
        </is>
      </c>
      <c r="E319" s="209" t="n"/>
      <c r="F319" s="16" t="inlineStr">
        <is>
          <t>Sales development framework</t>
        </is>
      </c>
      <c r="G319" s="209" t="n"/>
      <c r="H319" s="16" t="inlineStr">
        <is>
          <t>The published framework distinguishes descriptive title, scope and competency expectations for sales development.</t>
        </is>
      </c>
      <c r="I319" s="210" t="n"/>
      <c r="J319" s="209" t="n"/>
      <c r="K319" s="16" t="inlineStr">
        <is>
          <t>Version history is 2023–2024. It is a dated India SaaS practice example, not current internal policy.</t>
        </is>
      </c>
      <c r="L319" s="210" t="n"/>
      <c r="M319" s="209" t="n"/>
      <c r="N319" s="16" t="inlineStr">
        <is>
          <t>Global</t>
        </is>
      </c>
      <c r="O319" s="16" t="inlineStr">
        <is>
          <t>https://whatfix.com/wp-content/uploads/2024/06/sales_development_team_-_career___competency_framework.pdf</t>
        </is>
      </c>
    </row>
    <row r="320" ht="54" customHeight="1">
      <c r="A320" s="13" t="inlineStr">
        <is>
          <t>R35</t>
        </is>
      </c>
      <c r="B320" s="16" t="inlineStr">
        <is>
          <t>Professional overlay</t>
        </is>
      </c>
      <c r="C320" s="209" t="n"/>
      <c r="D320" s="16" t="inlineStr">
        <is>
          <t>SFIA Foundation</t>
        </is>
      </c>
      <c r="E320" s="209" t="n"/>
      <c r="F320" s="16" t="inlineStr">
        <is>
          <t>SFIA 9 responsibility levels</t>
        </is>
      </c>
      <c r="G320" s="209" t="n"/>
      <c r="H320" s="16" t="inlineStr">
        <is>
          <t>Seven responsibility levels distinguish autonomy, influence, complexity and broader accountability.</t>
        </is>
      </c>
      <c r="I320" s="210" t="n"/>
      <c r="J320" s="209" t="n"/>
      <c r="K320" s="16" t="inlineStr">
        <is>
          <t>SFIA levels are skills/responsibility anchors, not salary grades or this model's 13 levels.</t>
        </is>
      </c>
      <c r="L320" s="210" t="n"/>
      <c r="M320" s="209" t="n"/>
      <c r="N320" s="16" t="inlineStr">
        <is>
          <t>Global</t>
        </is>
      </c>
      <c r="O320" s="16" t="inlineStr">
        <is>
          <t>https://sfia-online.org/en/sfia-9/responsibilities</t>
        </is>
      </c>
    </row>
    <row r="321" ht="106" customHeight="1">
      <c r="A321" s="13" t="inlineStr">
        <is>
          <t>R36</t>
        </is>
      </c>
      <c r="B321" s="16" t="inlineStr">
        <is>
          <t>Professional overlay</t>
        </is>
      </c>
      <c r="C321" s="209" t="n"/>
      <c r="D321" s="16" t="inlineStr">
        <is>
          <t>CIPD</t>
        </is>
      </c>
      <c r="E321" s="209" t="n"/>
      <c r="F321" s="16" t="inlineStr">
        <is>
          <t>Profession map impact levels</t>
        </is>
      </c>
      <c r="G321" s="209" t="n"/>
      <c r="H321" s="16" t="inlineStr">
        <is>
          <t>The four impact levels move from tactical work through operational complexity to strategic and sustained value.</t>
        </is>
      </c>
      <c r="I321" s="210" t="n"/>
      <c r="J321" s="209" t="n"/>
      <c r="K321" s="16" t="inlineStr">
        <is>
          <t>Membership designations and impact levels are not corporate job titles.</t>
        </is>
      </c>
      <c r="L321" s="210" t="n"/>
      <c r="M321" s="209" t="n"/>
      <c r="N321" s="16" t="inlineStr">
        <is>
          <t>Global</t>
        </is>
      </c>
      <c r="O321" s="16" t="inlineStr">
        <is>
          <t>https://www.cipd.org/en/the-people-profession/the-profession-map/explore-the-profession-map/levels/</t>
        </is>
      </c>
    </row>
    <row r="322" ht="106" customHeight="1">
      <c r="A322" s="13" t="inlineStr">
        <is>
          <t>R40</t>
        </is>
      </c>
      <c r="B322" s="16" t="inlineStr">
        <is>
          <t>Professional overlay</t>
        </is>
      </c>
      <c r="C322" s="209" t="n"/>
      <c r="D322" s="16" t="inlineStr">
        <is>
          <t>CIM</t>
        </is>
      </c>
      <c r="E322" s="209" t="n"/>
      <c r="F322" s="16" t="inlineStr">
        <is>
          <t>Global professional marketing framework</t>
        </is>
      </c>
      <c r="G322" s="209" t="n"/>
      <c r="H322" s="16" t="inlineStr">
        <is>
          <t>The framework differentiates marketing capabilities and five competency stages from aware to expert.</t>
        </is>
      </c>
      <c r="I322" s="210" t="n"/>
      <c r="J322" s="209" t="n"/>
      <c r="K322" s="16" t="inlineStr">
        <is>
          <t>Use concepts and attribution; this proposal does not reproduce or modify the licensed framework.</t>
        </is>
      </c>
      <c r="L322" s="210" t="n"/>
      <c r="M322" s="209" t="n"/>
      <c r="N322" s="16" t="inlineStr">
        <is>
          <t>Global</t>
        </is>
      </c>
      <c r="O322" s="16" t="inlineStr">
        <is>
          <t>https://www.cim.co.uk/membership/cim-standards/global-professional-marketing-framework-gpmf/</t>
        </is>
      </c>
    </row>
    <row r="323" ht="67" customHeight="1">
      <c r="A323" s="13" t="inlineStr">
        <is>
          <t>R42</t>
        </is>
      </c>
      <c r="B323" s="16" t="inlineStr">
        <is>
          <t>Professional overlay</t>
        </is>
      </c>
      <c r="C323" s="209" t="n"/>
      <c r="D323" s="16" t="inlineStr">
        <is>
          <t>XBRL International</t>
        </is>
      </c>
      <c r="E323" s="209" t="n"/>
      <c r="F323" s="16" t="inlineStr">
        <is>
          <t>Taxonomy quick start guide</t>
        </is>
      </c>
      <c r="G323" s="209" t="n"/>
      <c r="H323" s="16" t="inlineStr">
        <is>
          <t>Taxonomy development involves content, architecture, testing, documentation and lifecycle governance.</t>
        </is>
      </c>
      <c r="I323" s="210" t="n"/>
      <c r="J323" s="209" t="n"/>
      <c r="K323" s="16" t="inlineStr">
        <is>
          <t>The page labels the guide a review draft published in 2023. Role design uses its technical process concepts.</t>
        </is>
      </c>
      <c r="L323" s="210" t="n"/>
      <c r="M323" s="209" t="n"/>
      <c r="N323" s="16" t="inlineStr">
        <is>
          <t>Global</t>
        </is>
      </c>
      <c r="O323" s="16" t="inlineStr">
        <is>
          <t>https://www.xbrl.org/guidance/taxonomy-quick-start-guide/</t>
        </is>
      </c>
    </row>
    <row r="324" ht="41" customHeight="1">
      <c r="A324" s="13" t="inlineStr">
        <is>
          <t>R44</t>
        </is>
      </c>
      <c r="B324" s="16" t="inlineStr">
        <is>
          <t>Professional overlay</t>
        </is>
      </c>
      <c r="C324" s="209" t="n"/>
      <c r="D324" s="16" t="inlineStr">
        <is>
          <t>IFMA</t>
        </is>
      </c>
      <c r="E324" s="209" t="n"/>
      <c r="F324" s="16" t="inlineStr">
        <is>
          <t>Facility management competencies</t>
        </is>
      </c>
      <c r="G324" s="209" t="n"/>
      <c r="H324" s="16" t="inlineStr">
        <is>
          <t>Facility management integrates people, places and processes and spans several competence domains.</t>
        </is>
      </c>
      <c r="I324" s="210" t="n"/>
      <c r="J324" s="209" t="n"/>
      <c r="K324" s="16" t="inlineStr">
        <is>
          <t>Facilities and workplace roles have broader scope than general office administration.</t>
        </is>
      </c>
      <c r="L324" s="210" t="n"/>
      <c r="M324" s="209" t="n"/>
      <c r="N324" s="16" t="inlineStr">
        <is>
          <t>Global</t>
        </is>
      </c>
      <c r="O324" s="16" t="inlineStr">
        <is>
          <t>https://www.ifma.org/about/what-is-fm/</t>
        </is>
      </c>
    </row>
    <row r="325" ht="93" customHeight="1">
      <c r="A325" s="13" t="inlineStr">
        <is>
          <t>R49</t>
        </is>
      </c>
      <c r="B325" s="16" t="inlineStr">
        <is>
          <t>Lens 2 other</t>
        </is>
      </c>
      <c r="C325" s="209" t="n"/>
      <c r="D325" s="16" t="inlineStr">
        <is>
          <t>UK Government</t>
        </is>
      </c>
      <c r="E325" s="209" t="n"/>
      <c r="F325" s="16" t="inlineStr">
        <is>
          <t>Business analyst role levels</t>
        </is>
      </c>
      <c r="G325" s="209" t="n"/>
      <c r="H325" s="16" t="inlineStr">
        <is>
          <t>The current public framework identifies trainee, junior, practitioner, senior, lead and head roles.</t>
        </is>
      </c>
      <c r="I325" s="210" t="n"/>
      <c r="J325" s="209" t="n"/>
      <c r="K325" s="16" t="inlineStr">
        <is>
          <t>Updated August 2026. Civil Service grades are not private-sector corporate levels.</t>
        </is>
      </c>
      <c r="L325" s="210" t="n"/>
      <c r="M325" s="209" t="n"/>
      <c r="N325" s="16" t="inlineStr">
        <is>
          <t>Global</t>
        </is>
      </c>
      <c r="O325" s="16" t="inlineStr">
        <is>
          <t>https://understand-digital-data-roles-skills.service.gov.uk/role/business-analyst/</t>
        </is>
      </c>
    </row>
    <row r="326" ht="15" customHeight="1"/>
    <row r="327" ht="20" customHeight="1">
      <c r="A327" s="6" t="inlineStr">
        <is>
          <t>R6. Websites referenced</t>
        </is>
      </c>
    </row>
    <row r="328" ht="15" customHeight="1">
      <c r="A328" s="12" t="inlineStr">
        <is>
          <t>Website</t>
        </is>
      </c>
      <c r="B328" s="210" t="n"/>
      <c r="C328" s="209" t="n"/>
      <c r="D328" s="12" t="inlineStr">
        <is>
          <t>References</t>
        </is>
      </c>
      <c r="E328" s="12" t="inlineStr">
        <is>
          <t>Example link</t>
        </is>
      </c>
      <c r="F328" s="210" t="n"/>
      <c r="G328" s="210" t="n"/>
      <c r="H328" s="210" t="n"/>
      <c r="I328" s="210" t="n"/>
      <c r="J328" s="210" t="n"/>
      <c r="K328" s="210" t="n"/>
      <c r="L328" s="210" t="n"/>
      <c r="M328" s="210" t="n"/>
      <c r="N328" s="210" t="n"/>
      <c r="O328" s="209" t="n"/>
    </row>
    <row r="329" ht="15" customHeight="1">
      <c r="A329" s="13" t="inlineStr">
        <is>
          <t>levels.fyi</t>
        </is>
      </c>
      <c r="B329" s="210" t="n"/>
      <c r="C329" s="209" t="n"/>
      <c r="D329" s="15" t="n">
        <v>9</v>
      </c>
      <c r="E329" s="16" t="inlineStr">
        <is>
          <t>https://www.levels.fyi/companies/workiva/salaries/software-engineer</t>
        </is>
      </c>
      <c r="F329" s="210" t="n"/>
      <c r="G329" s="210" t="n"/>
      <c r="H329" s="210" t="n"/>
      <c r="I329" s="210" t="n"/>
      <c r="J329" s="210" t="n"/>
      <c r="K329" s="210" t="n"/>
      <c r="L329" s="210" t="n"/>
      <c r="M329" s="210" t="n"/>
      <c r="N329" s="210" t="n"/>
      <c r="O329" s="209" t="n"/>
    </row>
    <row r="330" ht="15" customHeight="1">
      <c r="A330" s="13" t="inlineStr">
        <is>
          <t>designgurus.io</t>
        </is>
      </c>
      <c r="B330" s="210" t="n"/>
      <c r="C330" s="209" t="n"/>
      <c r="D330" s="15" t="n">
        <v>7</v>
      </c>
      <c r="E330" s="16" t="inlineStr">
        <is>
          <t>https://www.designgurus.io/blog/salesforce-software-engineer-levels</t>
        </is>
      </c>
      <c r="F330" s="210" t="n"/>
      <c r="G330" s="210" t="n"/>
      <c r="H330" s="210" t="n"/>
      <c r="I330" s="210" t="n"/>
      <c r="J330" s="210" t="n"/>
      <c r="K330" s="210" t="n"/>
      <c r="L330" s="210" t="n"/>
      <c r="M330" s="210" t="n"/>
      <c r="N330" s="210" t="n"/>
      <c r="O330" s="209" t="n"/>
    </row>
    <row r="331" ht="15" customHeight="1">
      <c r="A331" s="13" t="inlineStr">
        <is>
          <t>sfia-online.org</t>
        </is>
      </c>
      <c r="B331" s="210" t="n"/>
      <c r="C331" s="209" t="n"/>
      <c r="D331" s="15" t="n">
        <v>4</v>
      </c>
      <c r="E331" s="16" t="inlineStr">
        <is>
          <t>https://sfia-online.org/en/about-sfia/how-sfia-works</t>
        </is>
      </c>
      <c r="F331" s="210" t="n"/>
      <c r="G331" s="210" t="n"/>
      <c r="H331" s="210" t="n"/>
      <c r="I331" s="210" t="n"/>
      <c r="J331" s="210" t="n"/>
      <c r="K331" s="210" t="n"/>
      <c r="L331" s="210" t="n"/>
      <c r="M331" s="210" t="n"/>
      <c r="N331" s="210" t="n"/>
      <c r="O331" s="209" t="n"/>
    </row>
    <row r="332" ht="28" customHeight="1">
      <c r="A332" s="13" t="inlineStr">
        <is>
          <t>canada.ca</t>
        </is>
      </c>
      <c r="B332" s="210" t="n"/>
      <c r="C332" s="209" t="n"/>
      <c r="D332" s="15" t="n">
        <v>3</v>
      </c>
      <c r="E332" s="16" t="inlineStr">
        <is>
          <t>https://www.canada.ca/en/treasury-board-secretariat/services/collective-agreements/job-evaluation/executive-group-position-evaluation-plan-september-2005.html</t>
        </is>
      </c>
      <c r="F332" s="210" t="n"/>
      <c r="G332" s="210" t="n"/>
      <c r="H332" s="210" t="n"/>
      <c r="I332" s="210" t="n"/>
      <c r="J332" s="210" t="n"/>
      <c r="K332" s="210" t="n"/>
      <c r="L332" s="210" t="n"/>
      <c r="M332" s="210" t="n"/>
      <c r="N332" s="210" t="n"/>
      <c r="O332" s="209" t="n"/>
    </row>
    <row r="333" ht="15" customHeight="1">
      <c r="A333" s="13" t="inlineStr">
        <is>
          <t>cfoshortlist.com</t>
        </is>
      </c>
      <c r="B333" s="210" t="n"/>
      <c r="C333" s="209" t="n"/>
      <c r="D333" s="15" t="n">
        <v>3</v>
      </c>
      <c r="E333" s="16" t="inlineStr">
        <is>
          <t>https://www.cfoshortlist.com/reports/sec-reporting-software</t>
        </is>
      </c>
      <c r="F333" s="210" t="n"/>
      <c r="G333" s="210" t="n"/>
      <c r="H333" s="210" t="n"/>
      <c r="I333" s="210" t="n"/>
      <c r="J333" s="210" t="n"/>
      <c r="K333" s="210" t="n"/>
      <c r="L333" s="210" t="n"/>
      <c r="M333" s="210" t="n"/>
      <c r="N333" s="210" t="n"/>
      <c r="O333" s="209" t="n"/>
    </row>
    <row r="334" ht="15" customHeight="1">
      <c r="A334" s="13" t="inlineStr">
        <is>
          <t>regnology.net</t>
        </is>
      </c>
      <c r="B334" s="210" t="n"/>
      <c r="C334" s="209" t="n"/>
      <c r="D334" s="15" t="n">
        <v>3</v>
      </c>
      <c r="E334" s="16" t="inlineStr">
        <is>
          <t>https://www.regnology.net/en/careers/detail/?id=2527504</t>
        </is>
      </c>
      <c r="F334" s="210" t="n"/>
      <c r="G334" s="210" t="n"/>
      <c r="H334" s="210" t="n"/>
      <c r="I334" s="210" t="n"/>
      <c r="J334" s="210" t="n"/>
      <c r="K334" s="210" t="n"/>
      <c r="L334" s="210" t="n"/>
      <c r="M334" s="210" t="n"/>
      <c r="N334" s="210" t="n"/>
      <c r="O334" s="209" t="n"/>
    </row>
    <row r="335" ht="15" customHeight="1">
      <c r="A335" s="13" t="inlineStr">
        <is>
          <t>support.pave.com</t>
        </is>
      </c>
      <c r="B335" s="210" t="n"/>
      <c r="C335" s="209" t="n"/>
      <c r="D335" s="15" t="n">
        <v>3</v>
      </c>
      <c r="E335" s="16" t="inlineStr">
        <is>
          <t>https://support.pave.com/articles/understand-job-levels-SiKTjMHZtr.md</t>
        </is>
      </c>
      <c r="F335" s="210" t="n"/>
      <c r="G335" s="210" t="n"/>
      <c r="H335" s="210" t="n"/>
      <c r="I335" s="210" t="n"/>
      <c r="J335" s="210" t="n"/>
      <c r="K335" s="210" t="n"/>
      <c r="L335" s="210" t="n"/>
      <c r="M335" s="210" t="n"/>
      <c r="N335" s="210" t="n"/>
      <c r="O335" s="209" t="n"/>
    </row>
    <row r="336" ht="15" customHeight="1">
      <c r="A336" s="13" t="inlineStr">
        <is>
          <t>builtin.com</t>
        </is>
      </c>
      <c r="B336" s="210" t="n"/>
      <c r="C336" s="209" t="n"/>
      <c r="D336" s="15" t="n">
        <v>2</v>
      </c>
      <c r="E336" s="16" t="inlineStr">
        <is>
          <t>https://builtin.com/job/professional-services-manager/3581840</t>
        </is>
      </c>
      <c r="F336" s="210" t="n"/>
      <c r="G336" s="210" t="n"/>
      <c r="H336" s="210" t="n"/>
      <c r="I336" s="210" t="n"/>
      <c r="J336" s="210" t="n"/>
      <c r="K336" s="210" t="n"/>
      <c r="L336" s="210" t="n"/>
      <c r="M336" s="210" t="n"/>
      <c r="N336" s="210" t="n"/>
      <c r="O336" s="209" t="n"/>
    </row>
    <row r="337" ht="15" customHeight="1">
      <c r="A337" s="13" t="inlineStr">
        <is>
          <t>centralbanking.com</t>
        </is>
      </c>
      <c r="B337" s="210" t="n"/>
      <c r="C337" s="209" t="n"/>
      <c r="D337" s="15" t="n">
        <v>2</v>
      </c>
      <c r="E337" s="16" t="inlineStr">
        <is>
          <t>https://www.centralbanking.com/awards/7941536/technology-services-regulatory-regnology</t>
        </is>
      </c>
      <c r="F337" s="210" t="n"/>
      <c r="G337" s="210" t="n"/>
      <c r="H337" s="210" t="n"/>
      <c r="I337" s="210" t="n"/>
      <c r="J337" s="210" t="n"/>
      <c r="K337" s="210" t="n"/>
      <c r="L337" s="210" t="n"/>
      <c r="M337" s="210" t="n"/>
      <c r="N337" s="210" t="n"/>
      <c r="O337" s="209" t="n"/>
    </row>
    <row r="338" ht="15" customHeight="1">
      <c r="A338" s="13" t="inlineStr">
        <is>
          <t>datatracks.com</t>
        </is>
      </c>
      <c r="B338" s="210" t="n"/>
      <c r="C338" s="209" t="n"/>
      <c r="D338" s="15" t="n">
        <v>2</v>
      </c>
      <c r="E338" s="16" t="inlineStr">
        <is>
          <t>https://www.datatracks.com/in/careers/</t>
        </is>
      </c>
      <c r="F338" s="210" t="n"/>
      <c r="G338" s="210" t="n"/>
      <c r="H338" s="210" t="n"/>
      <c r="I338" s="210" t="n"/>
      <c r="J338" s="210" t="n"/>
      <c r="K338" s="210" t="n"/>
      <c r="L338" s="210" t="n"/>
      <c r="M338" s="210" t="n"/>
      <c r="N338" s="210" t="n"/>
      <c r="O338" s="209" t="n"/>
    </row>
    <row r="339" ht="15" customHeight="1">
      <c r="A339" s="13" t="inlineStr">
        <is>
          <t>deloitte.com</t>
        </is>
      </c>
      <c r="B339" s="210" t="n"/>
      <c r="C339" s="209" t="n"/>
      <c r="D339" s="15" t="n">
        <v>2</v>
      </c>
      <c r="E339" s="16" t="inlineStr">
        <is>
          <t>https://www.deloitte.com/us/en/insights/topics/talent/organizational-skill-based-hiring.html</t>
        </is>
      </c>
      <c r="F339" s="210" t="n"/>
      <c r="G339" s="210" t="n"/>
      <c r="H339" s="210" t="n"/>
      <c r="I339" s="210" t="n"/>
      <c r="J339" s="210" t="n"/>
      <c r="K339" s="210" t="n"/>
      <c r="L339" s="210" t="n"/>
      <c r="M339" s="210" t="n"/>
      <c r="N339" s="210" t="n"/>
      <c r="O339" s="209" t="n"/>
    </row>
    <row r="340" ht="15" customHeight="1">
      <c r="A340" s="13" t="inlineStr">
        <is>
          <t>gainsight.com</t>
        </is>
      </c>
      <c r="B340" s="210" t="n"/>
      <c r="C340" s="209" t="n"/>
      <c r="D340" s="15" t="n">
        <v>2</v>
      </c>
      <c r="E340" s="16" t="inlineStr">
        <is>
          <t>https://www.gainsight.com/blog/customer-success-career-opportunities/</t>
        </is>
      </c>
      <c r="F340" s="210" t="n"/>
      <c r="G340" s="210" t="n"/>
      <c r="H340" s="210" t="n"/>
      <c r="I340" s="210" t="n"/>
      <c r="J340" s="210" t="n"/>
      <c r="K340" s="210" t="n"/>
      <c r="L340" s="210" t="n"/>
      <c r="M340" s="210" t="n"/>
      <c r="N340" s="210" t="n"/>
      <c r="O340" s="209" t="n"/>
    </row>
    <row r="341" ht="15" customHeight="1">
      <c r="A341" s="13" t="inlineStr">
        <is>
          <t>handbook.gitlab.com</t>
        </is>
      </c>
      <c r="B341" s="210" t="n"/>
      <c r="C341" s="209" t="n"/>
      <c r="D341" s="15" t="n">
        <v>2</v>
      </c>
      <c r="E341" s="16" t="inlineStr">
        <is>
          <t>https://handbook.gitlab.com/handbook/company/structure/</t>
        </is>
      </c>
      <c r="F341" s="210" t="n"/>
      <c r="G341" s="210" t="n"/>
      <c r="H341" s="210" t="n"/>
      <c r="I341" s="210" t="n"/>
      <c r="J341" s="210" t="n"/>
      <c r="K341" s="210" t="n"/>
      <c r="L341" s="210" t="n"/>
      <c r="M341" s="210" t="n"/>
      <c r="N341" s="210" t="n"/>
      <c r="O341" s="209" t="n"/>
    </row>
    <row r="342" ht="15" customHeight="1">
      <c r="A342" s="13" t="inlineStr">
        <is>
          <t>help.figures.hr</t>
        </is>
      </c>
      <c r="B342" s="210" t="n"/>
      <c r="C342" s="209" t="n"/>
      <c r="D342" s="15" t="n">
        <v>2</v>
      </c>
      <c r="E342" s="16" t="inlineStr">
        <is>
          <t>https://help.figures.hr/en/articles/389223-mercer-levels</t>
        </is>
      </c>
      <c r="F342" s="210" t="n"/>
      <c r="G342" s="210" t="n"/>
      <c r="H342" s="210" t="n"/>
      <c r="I342" s="210" t="n"/>
      <c r="J342" s="210" t="n"/>
      <c r="K342" s="210" t="n"/>
      <c r="L342" s="210" t="n"/>
      <c r="M342" s="210" t="n"/>
      <c r="N342" s="210" t="n"/>
      <c r="O342" s="209" t="n"/>
    </row>
    <row r="343" ht="15" customHeight="1">
      <c r="A343" s="13" t="inlineStr">
        <is>
          <t>icsi.edu</t>
        </is>
      </c>
      <c r="B343" s="210" t="n"/>
      <c r="C343" s="209" t="n"/>
      <c r="D343" s="15" t="n">
        <v>2</v>
      </c>
      <c r="E343" s="16" t="inlineStr">
        <is>
          <t>https://www.icsi.edu</t>
        </is>
      </c>
      <c r="F343" s="210" t="n"/>
      <c r="G343" s="210" t="n"/>
      <c r="H343" s="210" t="n"/>
      <c r="I343" s="210" t="n"/>
      <c r="J343" s="210" t="n"/>
      <c r="K343" s="210" t="n"/>
      <c r="L343" s="210" t="n"/>
      <c r="M343" s="210" t="n"/>
      <c r="N343" s="210" t="n"/>
      <c r="O343" s="209" t="n"/>
    </row>
    <row r="344" ht="15" customHeight="1">
      <c r="A344" s="13" t="inlineStr">
        <is>
          <t>iiba.org</t>
        </is>
      </c>
      <c r="B344" s="210" t="n"/>
      <c r="C344" s="209" t="n"/>
      <c r="D344" s="15" t="n">
        <v>2</v>
      </c>
      <c r="E344" s="16" t="inlineStr">
        <is>
          <t>https://www.iiba.org</t>
        </is>
      </c>
      <c r="F344" s="210" t="n"/>
      <c r="G344" s="210" t="n"/>
      <c r="H344" s="210" t="n"/>
      <c r="I344" s="210" t="n"/>
      <c r="J344" s="210" t="n"/>
      <c r="K344" s="210" t="n"/>
      <c r="L344" s="210" t="n"/>
      <c r="M344" s="210" t="n"/>
      <c r="N344" s="210" t="n"/>
      <c r="O344" s="209" t="n"/>
    </row>
    <row r="345" ht="15" customHeight="1">
      <c r="A345" s="13" t="inlineStr">
        <is>
          <t>imanet.org</t>
        </is>
      </c>
      <c r="B345" s="210" t="n"/>
      <c r="C345" s="209" t="n"/>
      <c r="D345" s="15" t="n">
        <v>2</v>
      </c>
      <c r="E345" s="16" t="inlineStr">
        <is>
          <t>https://www.imanet.org/framework</t>
        </is>
      </c>
      <c r="F345" s="210" t="n"/>
      <c r="G345" s="210" t="n"/>
      <c r="H345" s="210" t="n"/>
      <c r="I345" s="210" t="n"/>
      <c r="J345" s="210" t="n"/>
      <c r="K345" s="210" t="n"/>
      <c r="L345" s="210" t="n"/>
      <c r="M345" s="210" t="n"/>
      <c r="N345" s="210" t="n"/>
      <c r="O345" s="209" t="n"/>
    </row>
    <row r="346" ht="15" customHeight="1">
      <c r="A346" s="13" t="inlineStr">
        <is>
          <t>iso.org</t>
        </is>
      </c>
      <c r="B346" s="210" t="n"/>
      <c r="C346" s="209" t="n"/>
      <c r="D346" s="15" t="n">
        <v>2</v>
      </c>
      <c r="E346" s="16" t="inlineStr">
        <is>
          <t>https://www.iso.org/standard/27001</t>
        </is>
      </c>
      <c r="F346" s="210" t="n"/>
      <c r="G346" s="210" t="n"/>
      <c r="H346" s="210" t="n"/>
      <c r="I346" s="210" t="n"/>
      <c r="J346" s="210" t="n"/>
      <c r="K346" s="210" t="n"/>
      <c r="L346" s="210" t="n"/>
      <c r="M346" s="210" t="n"/>
      <c r="N346" s="210" t="n"/>
      <c r="O346" s="209" t="n"/>
    </row>
    <row r="347" ht="15" customHeight="1">
      <c r="A347" s="13" t="inlineStr">
        <is>
          <t>istqb.org</t>
        </is>
      </c>
      <c r="B347" s="210" t="n"/>
      <c r="C347" s="209" t="n"/>
      <c r="D347" s="15" t="n">
        <v>2</v>
      </c>
      <c r="E347" s="16" t="inlineStr">
        <is>
          <t>https://www.istqb.org</t>
        </is>
      </c>
      <c r="F347" s="210" t="n"/>
      <c r="G347" s="210" t="n"/>
      <c r="H347" s="210" t="n"/>
      <c r="I347" s="210" t="n"/>
      <c r="J347" s="210" t="n"/>
      <c r="K347" s="210" t="n"/>
      <c r="L347" s="210" t="n"/>
      <c r="M347" s="210" t="n"/>
      <c r="N347" s="210" t="n"/>
      <c r="O347" s="209" t="n"/>
    </row>
    <row r="348" ht="15" customHeight="1">
      <c r="A348" s="13" t="inlineStr">
        <is>
          <t>jobrise.io</t>
        </is>
      </c>
      <c r="B348" s="210" t="n"/>
      <c r="C348" s="209" t="n"/>
      <c r="D348" s="15" t="n">
        <v>2</v>
      </c>
      <c r="E348" s="16" t="inlineStr">
        <is>
          <t>https://jobrise.io/hi/blog/accenture-salary-package-2026-india/</t>
        </is>
      </c>
      <c r="F348" s="210" t="n"/>
      <c r="G348" s="210" t="n"/>
      <c r="H348" s="210" t="n"/>
      <c r="I348" s="210" t="n"/>
      <c r="J348" s="210" t="n"/>
      <c r="K348" s="210" t="n"/>
      <c r="L348" s="210" t="n"/>
      <c r="M348" s="210" t="n"/>
      <c r="N348" s="210" t="n"/>
      <c r="O348" s="209" t="n"/>
    </row>
    <row r="349" ht="28" customHeight="1">
      <c r="A349" s="13" t="inlineStr">
        <is>
          <t>mckinsey.com</t>
        </is>
      </c>
      <c r="B349" s="210" t="n"/>
      <c r="C349" s="209" t="n"/>
      <c r="D349" s="15" t="n">
        <v>2</v>
      </c>
      <c r="E349" s="16" t="inlineStr">
        <is>
          <t>https://www.mckinsey.com/capabilities/people-and-organizational-performance/our-insights/how-to-identify-the-right-spans-of-control-for-your-organization</t>
        </is>
      </c>
      <c r="F349" s="210" t="n"/>
      <c r="G349" s="210" t="n"/>
      <c r="H349" s="210" t="n"/>
      <c r="I349" s="210" t="n"/>
      <c r="J349" s="210" t="n"/>
      <c r="K349" s="210" t="n"/>
      <c r="L349" s="210" t="n"/>
      <c r="M349" s="210" t="n"/>
      <c r="N349" s="210" t="n"/>
      <c r="O349" s="209" t="n"/>
    </row>
    <row r="350" ht="15" customHeight="1">
      <c r="A350" s="13" t="inlineStr">
        <is>
          <t>mercer.com</t>
        </is>
      </c>
      <c r="B350" s="210" t="n"/>
      <c r="C350" s="209" t="n"/>
      <c r="D350" s="15" t="n">
        <v>2</v>
      </c>
      <c r="E350" s="16" t="inlineStr">
        <is>
          <t>https://info.mercer.com/rs/521-DEV-513/images/MLS-Job-Catalogue.pdf</t>
        </is>
      </c>
      <c r="F350" s="210" t="n"/>
      <c r="G350" s="210" t="n"/>
      <c r="H350" s="210" t="n"/>
      <c r="I350" s="210" t="n"/>
      <c r="J350" s="210" t="n"/>
      <c r="K350" s="210" t="n"/>
      <c r="L350" s="210" t="n"/>
      <c r="M350" s="210" t="n"/>
      <c r="N350" s="210" t="n"/>
      <c r="O350" s="209" t="n"/>
    </row>
    <row r="351" ht="15" customHeight="1">
      <c r="A351" s="13" t="inlineStr">
        <is>
          <t>networkinterview.com</t>
        </is>
      </c>
      <c r="B351" s="210" t="n"/>
      <c r="C351" s="209" t="n"/>
      <c r="D351" s="15" t="n">
        <v>2</v>
      </c>
      <c r="E351" s="16" t="inlineStr">
        <is>
          <t>https://networkinterview.com/technical-hierarchy-deloitte-india/</t>
        </is>
      </c>
      <c r="F351" s="210" t="n"/>
      <c r="G351" s="210" t="n"/>
      <c r="H351" s="210" t="n"/>
      <c r="I351" s="210" t="n"/>
      <c r="J351" s="210" t="n"/>
      <c r="K351" s="210" t="n"/>
      <c r="L351" s="210" t="n"/>
      <c r="M351" s="210" t="n"/>
      <c r="N351" s="210" t="n"/>
      <c r="O351" s="209" t="n"/>
    </row>
    <row r="352" ht="15" customHeight="1">
      <c r="A352" s="13" t="inlineStr">
        <is>
          <t>pmi.org</t>
        </is>
      </c>
      <c r="B352" s="210" t="n"/>
      <c r="C352" s="209" t="n"/>
      <c r="D352" s="15" t="n">
        <v>2</v>
      </c>
      <c r="E352" s="16" t="inlineStr">
        <is>
          <t>https://www.pmi.org/certifications/certification-resources/maintain/talent-triangle</t>
        </is>
      </c>
      <c r="F352" s="210" t="n"/>
      <c r="G352" s="210" t="n"/>
      <c r="H352" s="210" t="n"/>
      <c r="I352" s="210" t="n"/>
      <c r="J352" s="210" t="n"/>
      <c r="K352" s="210" t="n"/>
      <c r="L352" s="210" t="n"/>
      <c r="M352" s="210" t="n"/>
      <c r="N352" s="210" t="n"/>
      <c r="O352" s="209" t="n"/>
    </row>
    <row r="353" ht="15" customHeight="1">
      <c r="A353" s="13" t="inlineStr">
        <is>
          <t>prospeo.io</t>
        </is>
      </c>
      <c r="B353" s="210" t="n"/>
      <c r="C353" s="209" t="n"/>
      <c r="D353" s="15" t="n">
        <v>2</v>
      </c>
      <c r="E353" s="16" t="inlineStr">
        <is>
          <t>https://prospeo.io/s/sales-titles-hierarchy</t>
        </is>
      </c>
      <c r="F353" s="210" t="n"/>
      <c r="G353" s="210" t="n"/>
      <c r="H353" s="210" t="n"/>
      <c r="I353" s="210" t="n"/>
      <c r="J353" s="210" t="n"/>
      <c r="K353" s="210" t="n"/>
      <c r="L353" s="210" t="n"/>
      <c r="M353" s="210" t="n"/>
      <c r="N353" s="210" t="n"/>
      <c r="O353" s="209" t="n"/>
    </row>
    <row r="354" ht="15" customHeight="1">
      <c r="A354" s="13" t="inlineStr">
        <is>
          <t>radford.aon.com</t>
        </is>
      </c>
      <c r="B354" s="210" t="n"/>
      <c r="C354" s="209" t="n"/>
      <c r="D354" s="15" t="n">
        <v>2</v>
      </c>
      <c r="E354" s="16" t="inlineStr">
        <is>
          <t>https://radford.aon.com/en-us/products/release-notes/2021/radford-job-architecture-leveling</t>
        </is>
      </c>
      <c r="F354" s="210" t="n"/>
      <c r="G354" s="210" t="n"/>
      <c r="H354" s="210" t="n"/>
      <c r="I354" s="210" t="n"/>
      <c r="J354" s="210" t="n"/>
      <c r="K354" s="210" t="n"/>
      <c r="L354" s="210" t="n"/>
      <c r="M354" s="210" t="n"/>
      <c r="N354" s="210" t="n"/>
      <c r="O354" s="209" t="n"/>
    </row>
    <row r="355" ht="15" customHeight="1">
      <c r="A355" s="13" t="inlineStr">
        <is>
          <t>shrm.org</t>
        </is>
      </c>
      <c r="B355" s="210" t="n"/>
      <c r="C355" s="209" t="n"/>
      <c r="D355" s="15" t="n">
        <v>2</v>
      </c>
      <c r="E355" s="16" t="inlineStr">
        <is>
          <t>https://www.shrm.org/credentials/certification/shrm-bask</t>
        </is>
      </c>
      <c r="F355" s="210" t="n"/>
      <c r="G355" s="210" t="n"/>
      <c r="H355" s="210" t="n"/>
      <c r="I355" s="210" t="n"/>
      <c r="J355" s="210" t="n"/>
      <c r="K355" s="210" t="n"/>
      <c r="L355" s="210" t="n"/>
      <c r="M355" s="210" t="n"/>
      <c r="N355" s="210" t="n"/>
      <c r="O355" s="209" t="n"/>
    </row>
    <row r="356" ht="15" customHeight="1">
      <c r="A356" s="13" t="inlineStr">
        <is>
          <t>testrigor.com</t>
        </is>
      </c>
      <c r="B356" s="210" t="n"/>
      <c r="C356" s="209" t="n"/>
      <c r="D356" s="15" t="n">
        <v>2</v>
      </c>
      <c r="E356" s="16" t="inlineStr">
        <is>
          <t>https://testrigor.com/blog/engineering-levels-in-different-companies-compared/</t>
        </is>
      </c>
      <c r="F356" s="210" t="n"/>
      <c r="G356" s="210" t="n"/>
      <c r="H356" s="210" t="n"/>
      <c r="I356" s="210" t="n"/>
      <c r="J356" s="210" t="n"/>
      <c r="K356" s="210" t="n"/>
      <c r="L356" s="210" t="n"/>
      <c r="M356" s="210" t="n"/>
      <c r="N356" s="210" t="n"/>
      <c r="O356" s="209" t="n"/>
    </row>
    <row r="357" ht="15" customHeight="1">
      <c r="A357" s="13" t="inlineStr">
        <is>
          <t>tsia.com</t>
        </is>
      </c>
      <c r="B357" s="210" t="n"/>
      <c r="C357" s="209" t="n"/>
      <c r="D357" s="15" t="n">
        <v>2</v>
      </c>
      <c r="E357" s="16" t="inlineStr">
        <is>
          <t>https://www.tsia.com</t>
        </is>
      </c>
      <c r="F357" s="210" t="n"/>
      <c r="G357" s="210" t="n"/>
      <c r="H357" s="210" t="n"/>
      <c r="I357" s="210" t="n"/>
      <c r="J357" s="210" t="n"/>
      <c r="K357" s="210" t="n"/>
      <c r="L357" s="210" t="n"/>
      <c r="M357" s="210" t="n"/>
      <c r="N357" s="210" t="n"/>
      <c r="O357" s="209" t="n"/>
    </row>
    <row r="358" ht="15" customHeight="1">
      <c r="A358" s="13" t="inlineStr">
        <is>
          <t>uwo.ca</t>
        </is>
      </c>
      <c r="B358" s="210" t="n"/>
      <c r="C358" s="209" t="n"/>
      <c r="D358" s="15" t="n">
        <v>2</v>
      </c>
      <c r="E358" s="16" t="inlineStr">
        <is>
          <t>https://www.uwo.ca/humanresources/wjec/docs/hay_method_overview.pdf</t>
        </is>
      </c>
      <c r="F358" s="210" t="n"/>
      <c r="G358" s="210" t="n"/>
      <c r="H358" s="210" t="n"/>
      <c r="I358" s="210" t="n"/>
      <c r="J358" s="210" t="n"/>
      <c r="K358" s="210" t="n"/>
      <c r="L358" s="210" t="n"/>
      <c r="M358" s="210" t="n"/>
      <c r="N358" s="210" t="n"/>
      <c r="O358" s="209" t="n"/>
    </row>
    <row r="359" ht="15" customHeight="1">
      <c r="A359" s="13" t="inlineStr">
        <is>
          <t>weforum.org</t>
        </is>
      </c>
      <c r="B359" s="210" t="n"/>
      <c r="C359" s="209" t="n"/>
      <c r="D359" s="15" t="n">
        <v>2</v>
      </c>
      <c r="E359" s="16" t="inlineStr">
        <is>
          <t>https://www.weforum.org/publications/the-future-of-jobs-report-2025/digest/</t>
        </is>
      </c>
      <c r="F359" s="210" t="n"/>
      <c r="G359" s="210" t="n"/>
      <c r="H359" s="210" t="n"/>
      <c r="I359" s="210" t="n"/>
      <c r="J359" s="210" t="n"/>
      <c r="K359" s="210" t="n"/>
      <c r="L359" s="210" t="n"/>
      <c r="M359" s="210" t="n"/>
      <c r="N359" s="210" t="n"/>
      <c r="O359" s="209" t="n"/>
    </row>
    <row r="360" ht="15" customHeight="1">
      <c r="A360" s="13" t="inlineStr">
        <is>
          <t>wtwco.com</t>
        </is>
      </c>
      <c r="B360" s="210" t="n"/>
      <c r="C360" s="209" t="n"/>
      <c r="D360" s="15" t="n">
        <v>2</v>
      </c>
      <c r="E360" s="16" t="inlineStr">
        <is>
          <t>https://www.wtwco.com/en-in/insights/2023/09/building-resilient-career-ecosystems-with-robust-career-strategy-and-design</t>
        </is>
      </c>
      <c r="F360" s="210" t="n"/>
      <c r="G360" s="210" t="n"/>
      <c r="H360" s="210" t="n"/>
      <c r="I360" s="210" t="n"/>
      <c r="J360" s="210" t="n"/>
      <c r="K360" s="210" t="n"/>
      <c r="L360" s="210" t="n"/>
      <c r="M360" s="210" t="n"/>
      <c r="N360" s="210" t="n"/>
      <c r="O360" s="209" t="n"/>
    </row>
    <row r="361" ht="15" customHeight="1">
      <c r="A361" s="13" t="inlineStr">
        <is>
          <t>xbrl.us</t>
        </is>
      </c>
      <c r="B361" s="210" t="n"/>
      <c r="C361" s="209" t="n"/>
      <c r="D361" s="15" t="n">
        <v>2</v>
      </c>
      <c r="E361" s="16" t="inlineStr">
        <is>
          <t>https://xbrl.us</t>
        </is>
      </c>
      <c r="F361" s="210" t="n"/>
      <c r="G361" s="210" t="n"/>
      <c r="H361" s="210" t="n"/>
      <c r="I361" s="210" t="n"/>
      <c r="J361" s="210" t="n"/>
      <c r="K361" s="210" t="n"/>
      <c r="L361" s="210" t="n"/>
      <c r="M361" s="210" t="n"/>
      <c r="N361" s="210" t="n"/>
      <c r="O361" s="209" t="n"/>
    </row>
    <row r="362" ht="15" customHeight="1">
      <c r="A362" s="13" t="inlineStr">
        <is>
          <t>abseil.io</t>
        </is>
      </c>
      <c r="B362" s="210" t="n"/>
      <c r="C362" s="209" t="n"/>
      <c r="D362" s="15" t="n">
        <v>1</v>
      </c>
      <c r="E362" s="16" t="inlineStr">
        <is>
          <t>https://abseil.io/resources/swe-book/html/ch05.html</t>
        </is>
      </c>
      <c r="F362" s="210" t="n"/>
      <c r="G362" s="210" t="n"/>
      <c r="H362" s="210" t="n"/>
      <c r="I362" s="210" t="n"/>
      <c r="J362" s="210" t="n"/>
      <c r="K362" s="210" t="n"/>
      <c r="L362" s="210" t="n"/>
      <c r="M362" s="210" t="n"/>
      <c r="N362" s="210" t="n"/>
      <c r="O362" s="209" t="n"/>
    </row>
    <row r="363" ht="15" customHeight="1">
      <c r="A363" s="13" t="inlineStr">
        <is>
          <t>assets.publishing.service.gov.uk</t>
        </is>
      </c>
      <c r="B363" s="210" t="n"/>
      <c r="C363" s="209" t="n"/>
      <c r="D363" s="15" t="n">
        <v>1</v>
      </c>
      <c r="E363" s="16" t="inlineStr">
        <is>
          <t>https://assets.publishing.service.gov.uk/media/66a370440808eaf43b50d7b2/WTW_OME-STRB_Job_Levelling_FOR_PUBLICATION.pdf</t>
        </is>
      </c>
      <c r="F363" s="210" t="n"/>
      <c r="G363" s="210" t="n"/>
      <c r="H363" s="210" t="n"/>
      <c r="I363" s="210" t="n"/>
      <c r="J363" s="210" t="n"/>
      <c r="K363" s="210" t="n"/>
      <c r="L363" s="210" t="n"/>
      <c r="M363" s="210" t="n"/>
      <c r="N363" s="210" t="n"/>
      <c r="O363" s="209" t="n"/>
    </row>
    <row r="364" ht="15" customHeight="1">
      <c r="A364" s="13" t="inlineStr">
        <is>
          <t>blog.ipleaders.in</t>
        </is>
      </c>
      <c r="B364" s="210" t="n"/>
      <c r="C364" s="209" t="n"/>
      <c r="D364" s="15" t="n">
        <v>1</v>
      </c>
      <c r="E364" s="16" t="inlineStr">
        <is>
          <t>https://blog.ipleaders.in/director-companies-act-2013/</t>
        </is>
      </c>
      <c r="F364" s="210" t="n"/>
      <c r="G364" s="210" t="n"/>
      <c r="H364" s="210" t="n"/>
      <c r="I364" s="210" t="n"/>
      <c r="J364" s="210" t="n"/>
      <c r="K364" s="210" t="n"/>
      <c r="L364" s="210" t="n"/>
      <c r="M364" s="210" t="n"/>
      <c r="N364" s="210" t="n"/>
      <c r="O364" s="209" t="n"/>
    </row>
    <row r="365" ht="15" customHeight="1">
      <c r="A365" s="13" t="inlineStr">
        <is>
          <t>bootcamp.uxdesign.cc</t>
        </is>
      </c>
      <c r="B365" s="210" t="n"/>
      <c r="C365" s="209" t="n"/>
      <c r="D365" s="15" t="n">
        <v>1</v>
      </c>
      <c r="E365" s="16" t="inlineStr">
        <is>
          <t>https://bootcamp.uxdesign.cc/career-ladder-from-junior-to-director-guidance-for-ux-professionals-1b5f9b2bd6b8</t>
        </is>
      </c>
      <c r="F365" s="210" t="n"/>
      <c r="G365" s="210" t="n"/>
      <c r="H365" s="210" t="n"/>
      <c r="I365" s="210" t="n"/>
      <c r="J365" s="210" t="n"/>
      <c r="K365" s="210" t="n"/>
      <c r="L365" s="210" t="n"/>
      <c r="M365" s="210" t="n"/>
      <c r="N365" s="210" t="n"/>
      <c r="O365" s="209" t="n"/>
    </row>
    <row r="366" ht="15" customHeight="1">
      <c r="A366" s="13" t="inlineStr">
        <is>
          <t>builtinbengaluru.in</t>
        </is>
      </c>
      <c r="B366" s="210" t="n"/>
      <c r="C366" s="209" t="n"/>
      <c r="D366" s="15" t="n">
        <v>1</v>
      </c>
      <c r="E366" s="16" t="inlineStr">
        <is>
          <t>https://builtinbengaluru.in/job/xbrl-financial-analyst-assoc/4131532</t>
        </is>
      </c>
      <c r="F366" s="210" t="n"/>
      <c r="G366" s="210" t="n"/>
      <c r="H366" s="210" t="n"/>
      <c r="I366" s="210" t="n"/>
      <c r="J366" s="210" t="n"/>
      <c r="K366" s="210" t="n"/>
      <c r="L366" s="210" t="n"/>
      <c r="M366" s="210" t="n"/>
      <c r="N366" s="210" t="n"/>
      <c r="O366" s="209" t="n"/>
    </row>
    <row r="367" ht="15" customHeight="1">
      <c r="A367" s="13" t="inlineStr">
        <is>
          <t>businesswire.com</t>
        </is>
      </c>
      <c r="B367" s="210" t="n"/>
      <c r="C367" s="209" t="n"/>
      <c r="D367" s="15" t="n">
        <v>1</v>
      </c>
      <c r="E367" s="16" t="inlineStr">
        <is>
          <t>https://www.businesswire.com/news/home/20241124525888/en/</t>
        </is>
      </c>
      <c r="F367" s="210" t="n"/>
      <c r="G367" s="210" t="n"/>
      <c r="H367" s="210" t="n"/>
      <c r="I367" s="210" t="n"/>
      <c r="J367" s="210" t="n"/>
      <c r="K367" s="210" t="n"/>
      <c r="L367" s="210" t="n"/>
      <c r="M367" s="210" t="n"/>
      <c r="N367" s="210" t="n"/>
      <c r="O367" s="209" t="n"/>
    </row>
    <row r="368" ht="15" customHeight="1">
      <c r="A368" s="13" t="inlineStr">
        <is>
          <t>cardinalatwork.stanford.edu</t>
        </is>
      </c>
      <c r="B368" s="210" t="n"/>
      <c r="C368" s="209" t="n"/>
      <c r="D368" s="15" t="n">
        <v>1</v>
      </c>
      <c r="E368" s="16" t="inlineStr">
        <is>
          <t>https://cardinalatwork.stanford.edu/careers/performance-management/competencies</t>
        </is>
      </c>
      <c r="F368" s="210" t="n"/>
      <c r="G368" s="210" t="n"/>
      <c r="H368" s="210" t="n"/>
      <c r="I368" s="210" t="n"/>
      <c r="J368" s="210" t="n"/>
      <c r="K368" s="210" t="n"/>
      <c r="L368" s="210" t="n"/>
      <c r="M368" s="210" t="n"/>
      <c r="N368" s="210" t="n"/>
      <c r="O368" s="209" t="n"/>
    </row>
    <row r="369" ht="15" customHeight="1">
      <c r="A369" s="13" t="inlineStr">
        <is>
          <t>carta.com</t>
        </is>
      </c>
      <c r="B369" s="210" t="n"/>
      <c r="C369" s="209" t="n"/>
      <c r="D369" s="15" t="n">
        <v>1</v>
      </c>
      <c r="E369" s="16" t="inlineStr">
        <is>
          <t>https://carta.com/learn/startups/compensation/job-leveling/</t>
        </is>
      </c>
      <c r="F369" s="210" t="n"/>
      <c r="G369" s="210" t="n"/>
      <c r="H369" s="210" t="n"/>
      <c r="I369" s="210" t="n"/>
      <c r="J369" s="210" t="n"/>
      <c r="K369" s="210" t="n"/>
      <c r="L369" s="210" t="n"/>
      <c r="M369" s="210" t="n"/>
      <c r="N369" s="210" t="n"/>
      <c r="O369" s="209" t="n"/>
    </row>
    <row r="370" ht="15" customHeight="1">
      <c r="A370" s="13" t="inlineStr">
        <is>
          <t>cim.co.uk</t>
        </is>
      </c>
      <c r="B370" s="210" t="n"/>
      <c r="C370" s="209" t="n"/>
      <c r="D370" s="15" t="n">
        <v>1</v>
      </c>
      <c r="E370" s="16" t="inlineStr">
        <is>
          <t>https://www.cim.co.uk/more/professional-marketing-competencies</t>
        </is>
      </c>
      <c r="F370" s="210" t="n"/>
      <c r="G370" s="210" t="n"/>
      <c r="H370" s="210" t="n"/>
      <c r="I370" s="210" t="n"/>
      <c r="J370" s="210" t="n"/>
      <c r="K370" s="210" t="n"/>
      <c r="L370" s="210" t="n"/>
      <c r="M370" s="210" t="n"/>
      <c r="N370" s="210" t="n"/>
      <c r="O370" s="209" t="n"/>
    </row>
    <row r="371" ht="15" customHeight="1">
      <c r="A371" s="13" t="inlineStr">
        <is>
          <t>cipd.org</t>
        </is>
      </c>
      <c r="B371" s="210" t="n"/>
      <c r="C371" s="209" t="n"/>
      <c r="D371" s="15" t="n">
        <v>1</v>
      </c>
      <c r="E371" s="16" t="inlineStr">
        <is>
          <t>https://www.cipd.org/en/the-people-profession/the-profession-map/</t>
        </is>
      </c>
      <c r="F371" s="210" t="n"/>
      <c r="G371" s="210" t="n"/>
      <c r="H371" s="210" t="n"/>
      <c r="I371" s="210" t="n"/>
      <c r="J371" s="210" t="n"/>
      <c r="K371" s="210" t="n"/>
      <c r="L371" s="210" t="n"/>
      <c r="M371" s="210" t="n"/>
      <c r="N371" s="210" t="n"/>
      <c r="O371" s="209" t="n"/>
    </row>
    <row r="372" ht="15" customHeight="1">
      <c r="A372" s="13" t="inlineStr">
        <is>
          <t>copc.com</t>
        </is>
      </c>
      <c r="B372" s="210" t="n"/>
      <c r="C372" s="209" t="n"/>
      <c r="D372" s="15" t="n">
        <v>1</v>
      </c>
      <c r="E372" s="16" t="inlineStr">
        <is>
          <t>https://copc.com/copc-standards</t>
        </is>
      </c>
      <c r="F372" s="210" t="n"/>
      <c r="G372" s="210" t="n"/>
      <c r="H372" s="210" t="n"/>
      <c r="I372" s="210" t="n"/>
      <c r="J372" s="210" t="n"/>
      <c r="K372" s="210" t="n"/>
      <c r="L372" s="210" t="n"/>
      <c r="M372" s="210" t="n"/>
      <c r="N372" s="210" t="n"/>
      <c r="O372" s="209" t="n"/>
    </row>
    <row r="373" ht="15" customHeight="1">
      <c r="A373" s="13" t="inlineStr">
        <is>
          <t>developer.squareup.com</t>
        </is>
      </c>
      <c r="B373" s="210" t="n"/>
      <c r="C373" s="209" t="n"/>
      <c r="D373" s="15" t="n">
        <v>1</v>
      </c>
      <c r="E373" s="16" t="inlineStr">
        <is>
          <t>https://developer.squareup.com/blog/squares-growth-framework-for-engineers-and-engineering-managers/</t>
        </is>
      </c>
      <c r="F373" s="210" t="n"/>
      <c r="G373" s="210" t="n"/>
      <c r="H373" s="210" t="n"/>
      <c r="I373" s="210" t="n"/>
      <c r="J373" s="210" t="n"/>
      <c r="K373" s="210" t="n"/>
      <c r="L373" s="210" t="n"/>
      <c r="M373" s="210" t="n"/>
      <c r="N373" s="210" t="n"/>
      <c r="O373" s="209" t="n"/>
    </row>
    <row r="374" ht="15" customHeight="1">
      <c r="A374" s="13" t="inlineStr">
        <is>
          <t>dfinsolutions.com</t>
        </is>
      </c>
      <c r="B374" s="210" t="n"/>
      <c r="C374" s="209" t="n"/>
      <c r="D374" s="15" t="n">
        <v>1</v>
      </c>
      <c r="E374" s="16" t="inlineStr">
        <is>
          <t>https://www.dfinsolutions.com</t>
        </is>
      </c>
      <c r="F374" s="210" t="n"/>
      <c r="G374" s="210" t="n"/>
      <c r="H374" s="210" t="n"/>
      <c r="I374" s="210" t="n"/>
      <c r="J374" s="210" t="n"/>
      <c r="K374" s="210" t="n"/>
      <c r="L374" s="210" t="n"/>
      <c r="M374" s="210" t="n"/>
      <c r="N374" s="210" t="n"/>
      <c r="O374" s="209" t="n"/>
    </row>
    <row r="375" ht="15" customHeight="1">
      <c r="A375" s="13" t="inlineStr">
        <is>
          <t>dropbox.tech</t>
        </is>
      </c>
      <c r="B375" s="210" t="n"/>
      <c r="C375" s="209" t="n"/>
      <c r="D375" s="15" t="n">
        <v>1</v>
      </c>
      <c r="E375" s="16" t="inlineStr">
        <is>
          <t>https://dropbox.tech/culture/our-updated-engineering-career-framework</t>
        </is>
      </c>
      <c r="F375" s="210" t="n"/>
      <c r="G375" s="210" t="n"/>
      <c r="H375" s="210" t="n"/>
      <c r="I375" s="210" t="n"/>
      <c r="J375" s="210" t="n"/>
      <c r="K375" s="210" t="n"/>
      <c r="L375" s="210" t="n"/>
      <c r="M375" s="210" t="n"/>
      <c r="N375" s="210" t="n"/>
      <c r="O375" s="209" t="n"/>
    </row>
    <row r="376" ht="28" customHeight="1">
      <c r="A376" s="13" t="inlineStr">
        <is>
          <t>gov.nl.ca</t>
        </is>
      </c>
      <c r="B376" s="210" t="n"/>
      <c r="C376" s="209" t="n"/>
      <c r="D376" s="15" t="n">
        <v>1</v>
      </c>
      <c r="E376" s="16" t="inlineStr">
        <is>
          <t>https://www.gov.nl.ca/exec/tbs/department/branches/classification/what-is-the-korn-ferry-hay-group-guide-chart-profile-method-of-job-evaluation/</t>
        </is>
      </c>
      <c r="F376" s="210" t="n"/>
      <c r="G376" s="210" t="n"/>
      <c r="H376" s="210" t="n"/>
      <c r="I376" s="210" t="n"/>
      <c r="J376" s="210" t="n"/>
      <c r="K376" s="210" t="n"/>
      <c r="L376" s="210" t="n"/>
      <c r="M376" s="210" t="n"/>
      <c r="N376" s="210" t="n"/>
      <c r="O376" s="209" t="n"/>
    </row>
    <row r="377" ht="15" customHeight="1">
      <c r="A377" s="13" t="inlineStr">
        <is>
          <t>highland.gov.uk</t>
        </is>
      </c>
      <c r="B377" s="210" t="n"/>
      <c r="C377" s="209" t="n"/>
      <c r="D377" s="15" t="n">
        <v>1</v>
      </c>
      <c r="E377" s="16" t="inlineStr">
        <is>
          <t>https://www.highland.gov.uk/download/downloads/id/3889/scoring_matrix.pdf</t>
        </is>
      </c>
      <c r="F377" s="210" t="n"/>
      <c r="G377" s="210" t="n"/>
      <c r="H377" s="210" t="n"/>
      <c r="I377" s="210" t="n"/>
      <c r="J377" s="210" t="n"/>
      <c r="K377" s="210" t="n"/>
      <c r="L377" s="210" t="n"/>
      <c r="M377" s="210" t="n"/>
      <c r="N377" s="210" t="n"/>
      <c r="O377" s="209" t="n"/>
    </row>
    <row r="378" ht="15" customHeight="1">
      <c r="A378" s="13" t="inlineStr">
        <is>
          <t>info.mercer.com</t>
        </is>
      </c>
      <c r="B378" s="210" t="n"/>
      <c r="C378" s="209" t="n"/>
      <c r="D378" s="15" t="n">
        <v>1</v>
      </c>
      <c r="E378" s="16" t="inlineStr">
        <is>
          <t>https://info.mercer.com/rs/521-DEV-513/images/MLS-Job-Catalogue.pdf</t>
        </is>
      </c>
      <c r="F378" s="210" t="n"/>
      <c r="G378" s="210" t="n"/>
      <c r="H378" s="210" t="n"/>
      <c r="I378" s="210" t="n"/>
      <c r="J378" s="210" t="n"/>
      <c r="K378" s="210" t="n"/>
      <c r="L378" s="210" t="n"/>
      <c r="M378" s="210" t="n"/>
      <c r="N378" s="210" t="n"/>
      <c r="O378" s="209" t="n"/>
    </row>
    <row r="379" ht="15" customHeight="1">
      <c r="A379" s="13" t="inlineStr">
        <is>
          <t>itjobswatch.co.uk</t>
        </is>
      </c>
      <c r="B379" s="210" t="n"/>
      <c r="C379" s="209" t="n"/>
      <c r="D379" s="15" t="n">
        <v>1</v>
      </c>
      <c r="E379" s="16" t="inlineStr">
        <is>
          <t>https://www.itjobswatch.co.uk/jv/Space-Executive/Sales-Lead-Player-Coach-HR-Tech-Job-City-of-London-Greater-London-UK-4vommq</t>
        </is>
      </c>
      <c r="F379" s="210" t="n"/>
      <c r="G379" s="210" t="n"/>
      <c r="H379" s="210" t="n"/>
      <c r="I379" s="210" t="n"/>
      <c r="J379" s="210" t="n"/>
      <c r="K379" s="210" t="n"/>
      <c r="L379" s="210" t="n"/>
      <c r="M379" s="210" t="n"/>
      <c r="N379" s="210" t="n"/>
      <c r="O379" s="209" t="n"/>
    </row>
    <row r="380" ht="15" customHeight="1">
      <c r="A380" s="13" t="inlineStr">
        <is>
          <t>jobs.insightpartners.com</t>
        </is>
      </c>
      <c r="B380" s="210" t="n"/>
      <c r="C380" s="209" t="n"/>
      <c r="D380" s="15" t="n">
        <v>1</v>
      </c>
      <c r="E380" s="16" t="inlineStr">
        <is>
          <t>https://jobs.insightpartners.com/companies/gainsight/jobs/64120646-director-customer-success</t>
        </is>
      </c>
      <c r="F380" s="210" t="n"/>
      <c r="G380" s="210" t="n"/>
      <c r="H380" s="210" t="n"/>
      <c r="I380" s="210" t="n"/>
      <c r="J380" s="210" t="n"/>
      <c r="K380" s="210" t="n"/>
      <c r="L380" s="210" t="n"/>
      <c r="M380" s="210" t="n"/>
      <c r="N380" s="210" t="n"/>
      <c r="O380" s="209" t="n"/>
    </row>
    <row r="381" ht="15" customHeight="1">
      <c r="A381" s="13" t="inlineStr">
        <is>
          <t>kaanoon.com</t>
        </is>
      </c>
      <c r="B381" s="210" t="n"/>
      <c r="C381" s="209" t="n"/>
      <c r="D381" s="15" t="n">
        <v>1</v>
      </c>
      <c r="E381" s="16" t="inlineStr">
        <is>
          <t>https://www.kaanoon.com/241487/designation-with-word-director-as-per-hr-policy-but-not-as-per-companies-act</t>
        </is>
      </c>
      <c r="F381" s="210" t="n"/>
      <c r="G381" s="210" t="n"/>
      <c r="H381" s="210" t="n"/>
      <c r="I381" s="210" t="n"/>
      <c r="J381" s="210" t="n"/>
      <c r="K381" s="210" t="n"/>
      <c r="L381" s="210" t="n"/>
      <c r="M381" s="210" t="n"/>
      <c r="N381" s="210" t="n"/>
      <c r="O381" s="209" t="n"/>
    </row>
    <row r="382" ht="15" customHeight="1">
      <c r="A382" s="13" t="inlineStr">
        <is>
          <t>karlancer.com</t>
        </is>
      </c>
      <c r="B382" s="210" t="n"/>
      <c r="C382" s="209" t="n"/>
      <c r="D382" s="15" t="n">
        <v>1</v>
      </c>
      <c r="E382" s="16" t="inlineStr">
        <is>
          <t>https://www.karlancer.com/api/file/1685038954-V7Gx.pdf</t>
        </is>
      </c>
      <c r="F382" s="210" t="n"/>
      <c r="G382" s="210" t="n"/>
      <c r="H382" s="210" t="n"/>
      <c r="I382" s="210" t="n"/>
      <c r="J382" s="210" t="n"/>
      <c r="K382" s="210" t="n"/>
      <c r="L382" s="210" t="n"/>
      <c r="M382" s="210" t="n"/>
      <c r="N382" s="210" t="n"/>
      <c r="O382" s="209" t="n"/>
    </row>
    <row r="383" ht="15" customHeight="1">
      <c r="A383" s="13" t="inlineStr">
        <is>
          <t>kornferry.com</t>
        </is>
      </c>
      <c r="B383" s="210" t="n"/>
      <c r="C383" s="209" t="n"/>
      <c r="D383" s="15" t="n">
        <v>1</v>
      </c>
      <c r="E383" s="16" t="inlineStr">
        <is>
          <t>https://www.kornferry.com</t>
        </is>
      </c>
      <c r="F383" s="210" t="n"/>
      <c r="G383" s="210" t="n"/>
      <c r="H383" s="210" t="n"/>
      <c r="I383" s="210" t="n"/>
      <c r="J383" s="210" t="n"/>
      <c r="K383" s="210" t="n"/>
      <c r="L383" s="210" t="n"/>
      <c r="M383" s="210" t="n"/>
      <c r="N383" s="210" t="n"/>
      <c r="O383" s="209" t="n"/>
    </row>
    <row r="384" ht="15" customHeight="1">
      <c r="A384" s="13" t="inlineStr">
        <is>
          <t>lb2.local.gov.uk</t>
        </is>
      </c>
      <c r="B384" s="210" t="n"/>
      <c r="C384" s="209" t="n"/>
      <c r="D384" s="15" t="n">
        <v>1</v>
      </c>
      <c r="E384" s="16" t="inlineStr">
        <is>
          <t>https://lb2.local.gov.uk/sites/default/files/documents/police-staff-council-13-f-342.pdf</t>
        </is>
      </c>
      <c r="F384" s="210" t="n"/>
      <c r="G384" s="210" t="n"/>
      <c r="H384" s="210" t="n"/>
      <c r="I384" s="210" t="n"/>
      <c r="J384" s="210" t="n"/>
      <c r="K384" s="210" t="n"/>
      <c r="L384" s="210" t="n"/>
      <c r="M384" s="210" t="n"/>
      <c r="N384" s="210" t="n"/>
      <c r="O384" s="209" t="n"/>
    </row>
    <row r="385" ht="15" customHeight="1">
      <c r="A385" s="13" t="inlineStr">
        <is>
          <t>leaddev.com</t>
        </is>
      </c>
      <c r="B385" s="210" t="n"/>
      <c r="C385" s="209" t="n"/>
      <c r="D385" s="15" t="n">
        <v>1</v>
      </c>
      <c r="E385" s="16" t="inlineStr">
        <is>
          <t>https://leaddev.com/career-ladders/who-are-staff-principal-and-distinguished-engineers</t>
        </is>
      </c>
      <c r="F385" s="210" t="n"/>
      <c r="G385" s="210" t="n"/>
      <c r="H385" s="210" t="n"/>
      <c r="I385" s="210" t="n"/>
      <c r="J385" s="210" t="n"/>
      <c r="K385" s="210" t="n"/>
      <c r="L385" s="210" t="n"/>
      <c r="M385" s="210" t="n"/>
      <c r="N385" s="210" t="n"/>
      <c r="O385" s="209" t="n"/>
    </row>
    <row r="386" ht="15" customHeight="1">
      <c r="A386" s="13" t="inlineStr">
        <is>
          <t>newsletter.pragmaticengineer.com</t>
        </is>
      </c>
      <c r="B386" s="210" t="n"/>
      <c r="C386" s="209" t="n"/>
      <c r="D386" s="15" t="n">
        <v>1</v>
      </c>
      <c r="E386" s="16" t="inlineStr">
        <is>
          <t>https://newsletter.pragmaticengineer.com/p/leading-effective-engineering-teams</t>
        </is>
      </c>
      <c r="F386" s="210" t="n"/>
      <c r="G386" s="210" t="n"/>
      <c r="H386" s="210" t="n"/>
      <c r="I386" s="210" t="n"/>
      <c r="J386" s="210" t="n"/>
      <c r="K386" s="210" t="n"/>
      <c r="L386" s="210" t="n"/>
      <c r="M386" s="210" t="n"/>
      <c r="N386" s="210" t="n"/>
      <c r="O386" s="209" t="n"/>
    </row>
    <row r="387" ht="15" customHeight="1">
      <c r="A387" s="13" t="inlineStr">
        <is>
          <t>nhsemployers.org</t>
        </is>
      </c>
      <c r="B387" s="210" t="n"/>
      <c r="C387" s="209" t="n"/>
      <c r="D387" s="15" t="n">
        <v>1</v>
      </c>
      <c r="E387" s="16" t="inlineStr">
        <is>
          <t>https://www.nhsemployers.org/sites/default/files/pdf/22/165.pdf</t>
        </is>
      </c>
      <c r="F387" s="210" t="n"/>
      <c r="G387" s="210" t="n"/>
      <c r="H387" s="210" t="n"/>
      <c r="I387" s="210" t="n"/>
      <c r="J387" s="210" t="n"/>
      <c r="K387" s="210" t="n"/>
      <c r="L387" s="210" t="n"/>
      <c r="M387" s="210" t="n"/>
      <c r="N387" s="210" t="n"/>
      <c r="O387" s="209" t="n"/>
    </row>
    <row r="388" ht="28" customHeight="1">
      <c r="A388" s="13" t="inlineStr">
        <is>
          <t>opm.gov</t>
        </is>
      </c>
      <c r="B388" s="210" t="n"/>
      <c r="C388" s="209" t="n"/>
      <c r="D388" s="15" t="n">
        <v>1</v>
      </c>
      <c r="E388" s="16" t="inlineStr">
        <is>
          <t>https://www.opm.gov/policy-data-oversight/classification-qualifications/classifying-general-schedule-positions/positionclassificationintro.pdf</t>
        </is>
      </c>
      <c r="F388" s="210" t="n"/>
      <c r="G388" s="210" t="n"/>
      <c r="H388" s="210" t="n"/>
      <c r="I388" s="210" t="n"/>
      <c r="J388" s="210" t="n"/>
      <c r="K388" s="210" t="n"/>
      <c r="L388" s="210" t="n"/>
      <c r="M388" s="210" t="n"/>
      <c r="N388" s="210" t="n"/>
      <c r="O388" s="209" t="n"/>
    </row>
    <row r="389" ht="15" customHeight="1">
      <c r="A389" s="13" t="inlineStr">
        <is>
          <t>pave.com</t>
        </is>
      </c>
      <c r="B389" s="210" t="n"/>
      <c r="C389" s="209" t="n"/>
      <c r="D389" s="15" t="n">
        <v>1</v>
      </c>
      <c r="E389" s="16" t="inlineStr">
        <is>
          <t>https://support.pave.com/articles/understand-job-levels-SiKTjMHZtr.md</t>
        </is>
      </c>
      <c r="F389" s="210" t="n"/>
      <c r="G389" s="210" t="n"/>
      <c r="H389" s="210" t="n"/>
      <c r="I389" s="210" t="n"/>
      <c r="J389" s="210" t="n"/>
      <c r="K389" s="210" t="n"/>
      <c r="L389" s="210" t="n"/>
      <c r="M389" s="210" t="n"/>
      <c r="N389" s="210" t="n"/>
      <c r="O389" s="209" t="n"/>
    </row>
    <row r="390" ht="15" customHeight="1">
      <c r="A390" s="13" t="inlineStr">
        <is>
          <t>payscale.com</t>
        </is>
      </c>
      <c r="B390" s="210" t="n"/>
      <c r="C390" s="209" t="n"/>
      <c r="D390" s="15" t="n">
        <v>1</v>
      </c>
      <c r="E390" s="16" t="inlineStr">
        <is>
          <t>https://www.payscale.com/research/IN/Job=Chief_Architect%2C_IT/Skill-Experience</t>
        </is>
      </c>
      <c r="F390" s="210" t="n"/>
      <c r="G390" s="210" t="n"/>
      <c r="H390" s="210" t="n"/>
      <c r="I390" s="210" t="n"/>
      <c r="J390" s="210" t="n"/>
      <c r="K390" s="210" t="n"/>
      <c r="L390" s="210" t="n"/>
      <c r="M390" s="210" t="n"/>
      <c r="N390" s="210" t="n"/>
      <c r="O390" s="209" t="n"/>
    </row>
    <row r="391" ht="15" customHeight="1">
      <c r="A391" s="13" t="inlineStr">
        <is>
          <t>peoplecentre.wordpress.com</t>
        </is>
      </c>
      <c r="B391" s="210" t="n"/>
      <c r="C391" s="209" t="n"/>
      <c r="D391" s="15" t="n">
        <v>1</v>
      </c>
      <c r="E391" s="16" t="inlineStr">
        <is>
          <t>https://peoplecentre.wordpress.com/2016/10/02/hay-job-evaluation-methodology-the-short-profile/</t>
        </is>
      </c>
      <c r="F391" s="210" t="n"/>
      <c r="G391" s="210" t="n"/>
      <c r="H391" s="210" t="n"/>
      <c r="I391" s="210" t="n"/>
      <c r="J391" s="210" t="n"/>
      <c r="K391" s="210" t="n"/>
      <c r="L391" s="210" t="n"/>
      <c r="M391" s="210" t="n"/>
      <c r="N391" s="210" t="n"/>
      <c r="O391" s="209" t="n"/>
    </row>
    <row r="392" ht="15" customHeight="1">
      <c r="A392" s="13" t="inlineStr">
        <is>
          <t>peoplematters.in</t>
        </is>
      </c>
      <c r="B392" s="210" t="n"/>
      <c r="C392" s="209" t="n"/>
      <c r="D392" s="15" t="n">
        <v>1</v>
      </c>
      <c r="E392" s="16" t="inlineStr">
        <is>
          <t>https://www.peoplematters.in/news/compensation-benefits/indias-2026-salary-increases-to-reward-skills-over-seniority-ey-48541</t>
        </is>
      </c>
      <c r="F392" s="210" t="n"/>
      <c r="G392" s="210" t="n"/>
      <c r="H392" s="210" t="n"/>
      <c r="I392" s="210" t="n"/>
      <c r="J392" s="210" t="n"/>
      <c r="K392" s="210" t="n"/>
      <c r="L392" s="210" t="n"/>
      <c r="M392" s="210" t="n"/>
      <c r="N392" s="210" t="n"/>
      <c r="O392" s="209" t="n"/>
    </row>
    <row r="393" ht="15" customHeight="1">
      <c r="A393" s="13" t="inlineStr">
        <is>
          <t>pragmaticinstitute.com</t>
        </is>
      </c>
      <c r="B393" s="210" t="n"/>
      <c r="C393" s="209" t="n"/>
      <c r="D393" s="15" t="n">
        <v>1</v>
      </c>
      <c r="E393" s="16" t="inlineStr">
        <is>
          <t>https://pragmaticinstitute.com/product/framework/launch</t>
        </is>
      </c>
      <c r="F393" s="210" t="n"/>
      <c r="G393" s="210" t="n"/>
      <c r="H393" s="210" t="n"/>
      <c r="I393" s="210" t="n"/>
      <c r="J393" s="210" t="n"/>
      <c r="K393" s="210" t="n"/>
      <c r="L393" s="210" t="n"/>
      <c r="M393" s="210" t="n"/>
      <c r="N393" s="210" t="n"/>
      <c r="O393" s="209" t="n"/>
    </row>
    <row r="394" ht="15" customHeight="1">
      <c r="A394" s="13" t="inlineStr">
        <is>
          <t>professionals.lincolnshire.gov.uk</t>
        </is>
      </c>
      <c r="B394" s="210" t="n"/>
      <c r="C394" s="209" t="n"/>
      <c r="D394" s="15" t="n">
        <v>1</v>
      </c>
      <c r="E394" s="16" t="inlineStr">
        <is>
          <t>https://professionals.lincolnshire.gov.uk/downloads/file/576/hay-group-je-method</t>
        </is>
      </c>
      <c r="F394" s="210" t="n"/>
      <c r="G394" s="210" t="n"/>
      <c r="H394" s="210" t="n"/>
      <c r="I394" s="210" t="n"/>
      <c r="J394" s="210" t="n"/>
      <c r="K394" s="210" t="n"/>
      <c r="L394" s="210" t="n"/>
      <c r="M394" s="210" t="n"/>
      <c r="N394" s="210" t="n"/>
      <c r="O394" s="209" t="n"/>
    </row>
    <row r="395" ht="15" customHeight="1">
      <c r="A395" s="13" t="inlineStr">
        <is>
          <t>rajendrauppal.substack.com</t>
        </is>
      </c>
      <c r="B395" s="210" t="n"/>
      <c r="C395" s="209" t="n"/>
      <c r="D395" s="15" t="n">
        <v>1</v>
      </c>
      <c r="E395" s="16" t="inlineStr">
        <is>
          <t>https://rajendrauppal.substack.com/p/understanding-levels-at-google-microsoft</t>
        </is>
      </c>
      <c r="F395" s="210" t="n"/>
      <c r="G395" s="210" t="n"/>
      <c r="H395" s="210" t="n"/>
      <c r="I395" s="210" t="n"/>
      <c r="J395" s="210" t="n"/>
      <c r="K395" s="210" t="n"/>
      <c r="L395" s="210" t="n"/>
      <c r="M395" s="210" t="n"/>
      <c r="N395" s="210" t="n"/>
      <c r="O395" s="209" t="n"/>
    </row>
    <row r="396" ht="15" customHeight="1">
      <c r="A396" s="13" t="inlineStr">
        <is>
          <t>rework.withgoogle.com</t>
        </is>
      </c>
      <c r="B396" s="210" t="n"/>
      <c r="C396" s="209" t="n"/>
      <c r="D396" s="15" t="n">
        <v>1</v>
      </c>
      <c r="E396" s="16" t="inlineStr">
        <is>
          <t>https://rework.withgoogle.com/intl/en/guides/following-the-data-the-research-behind-great-managers</t>
        </is>
      </c>
      <c r="F396" s="210" t="n"/>
      <c r="G396" s="210" t="n"/>
      <c r="H396" s="210" t="n"/>
      <c r="I396" s="210" t="n"/>
      <c r="J396" s="210" t="n"/>
      <c r="K396" s="210" t="n"/>
      <c r="L396" s="210" t="n"/>
      <c r="M396" s="210" t="n"/>
      <c r="N396" s="210" t="n"/>
      <c r="O396" s="209" t="n"/>
    </row>
    <row r="397" ht="15" customHeight="1">
      <c r="A397" s="13" t="inlineStr">
        <is>
          <t>saastr.com</t>
        </is>
      </c>
      <c r="B397" s="210" t="n"/>
      <c r="C397" s="209" t="n"/>
      <c r="D397" s="15" t="n">
        <v>1</v>
      </c>
      <c r="E397" s="16" t="inlineStr">
        <is>
          <t>https://www.saastr.com/dear-saastr-do-i-have-to-provide-a-promotion-path-from-sdr-to-ae</t>
        </is>
      </c>
      <c r="F397" s="210" t="n"/>
      <c r="G397" s="210" t="n"/>
      <c r="H397" s="210" t="n"/>
      <c r="I397" s="210" t="n"/>
      <c r="J397" s="210" t="n"/>
      <c r="K397" s="210" t="n"/>
      <c r="L397" s="210" t="n"/>
      <c r="M397" s="210" t="n"/>
      <c r="N397" s="210" t="n"/>
      <c r="O397" s="209" t="n"/>
    </row>
    <row r="398" ht="15" customHeight="1">
      <c r="A398" s="13" t="inlineStr">
        <is>
          <t>salesgravy.com</t>
        </is>
      </c>
      <c r="B398" s="210" t="n"/>
      <c r="C398" s="209" t="n"/>
      <c r="D398" s="15" t="n">
        <v>1</v>
      </c>
      <c r="E398" s="16" t="inlineStr">
        <is>
          <t>https://salesgravy.com/the-player-coach-problem-how-to-prospect-and-lead-at-the-same-time-ask-jeb/</t>
        </is>
      </c>
      <c r="F398" s="210" t="n"/>
      <c r="G398" s="210" t="n"/>
      <c r="H398" s="210" t="n"/>
      <c r="I398" s="210" t="n"/>
      <c r="J398" s="210" t="n"/>
      <c r="K398" s="210" t="n"/>
      <c r="L398" s="210" t="n"/>
      <c r="M398" s="210" t="n"/>
      <c r="N398" s="210" t="n"/>
      <c r="O398" s="209" t="n"/>
    </row>
    <row r="399" ht="15" customHeight="1">
      <c r="A399" s="13" t="inlineStr">
        <is>
          <t>sec.gov</t>
        </is>
      </c>
      <c r="B399" s="210" t="n"/>
      <c r="C399" s="209" t="n"/>
      <c r="D399" s="15" t="n">
        <v>1</v>
      </c>
      <c r="E399" s="16" t="inlineStr">
        <is>
          <t>https://www.sec.gov/Archives/edgar/data/1445305/000144530526000016/wk-20251231.htm</t>
        </is>
      </c>
      <c r="F399" s="210" t="n"/>
      <c r="G399" s="210" t="n"/>
      <c r="H399" s="210" t="n"/>
      <c r="I399" s="210" t="n"/>
      <c r="J399" s="210" t="n"/>
      <c r="K399" s="210" t="n"/>
      <c r="L399" s="210" t="n"/>
      <c r="M399" s="210" t="n"/>
      <c r="N399" s="210" t="n"/>
      <c r="O399" s="209" t="n"/>
    </row>
    <row r="400" ht="15" customHeight="1">
      <c r="A400" s="13" t="inlineStr">
        <is>
          <t>shl.com</t>
        </is>
      </c>
      <c r="B400" s="210" t="n"/>
      <c r="C400" s="209" t="n"/>
      <c r="D400" s="15" t="n">
        <v>1</v>
      </c>
      <c r="E400" s="16" t="inlineStr">
        <is>
          <t>https://www.shl.com/assets/campaigns/global/competency-fit/universal-competency-framework-whitepaper-en.pdf</t>
        </is>
      </c>
      <c r="F400" s="210" t="n"/>
      <c r="G400" s="210" t="n"/>
      <c r="H400" s="210" t="n"/>
      <c r="I400" s="210" t="n"/>
      <c r="J400" s="210" t="n"/>
      <c r="K400" s="210" t="n"/>
      <c r="L400" s="210" t="n"/>
      <c r="M400" s="210" t="n"/>
      <c r="N400" s="210" t="n"/>
      <c r="O400" s="209" t="n"/>
    </row>
    <row r="401" ht="15" customHeight="1">
      <c r="A401" s="13" t="inlineStr">
        <is>
          <t>sirddinbych.gov.uk</t>
        </is>
      </c>
      <c r="B401" s="210" t="n"/>
      <c r="C401" s="209" t="n"/>
      <c r="D401" s="15" t="n">
        <v>1</v>
      </c>
      <c r="E401" s="16" t="inlineStr">
        <is>
          <t>https://www.sirddinbych.gov.uk/en/documents/jobs-and-employees/my-employment/reorganisation-and-change/glpc-points-weighting.pdf</t>
        </is>
      </c>
      <c r="F401" s="210" t="n"/>
      <c r="G401" s="210" t="n"/>
      <c r="H401" s="210" t="n"/>
      <c r="I401" s="210" t="n"/>
      <c r="J401" s="210" t="n"/>
      <c r="K401" s="210" t="n"/>
      <c r="L401" s="210" t="n"/>
      <c r="M401" s="210" t="n"/>
      <c r="N401" s="210" t="n"/>
      <c r="O401" s="209" t="n"/>
    </row>
    <row r="402" ht="15" customHeight="1">
      <c r="A402" s="13" t="inlineStr">
        <is>
          <t>slideshare.net</t>
        </is>
      </c>
      <c r="B402" s="210" t="n"/>
      <c r="C402" s="209" t="n"/>
      <c r="D402" s="15" t="n">
        <v>1</v>
      </c>
      <c r="E402" s="16" t="inlineStr">
        <is>
          <t>https://www.slideshare.net/slideshow/hay-summary/55196354</t>
        </is>
      </c>
      <c r="F402" s="210" t="n"/>
      <c r="G402" s="210" t="n"/>
      <c r="H402" s="210" t="n"/>
      <c r="I402" s="210" t="n"/>
      <c r="J402" s="210" t="n"/>
      <c r="K402" s="210" t="n"/>
      <c r="L402" s="210" t="n"/>
      <c r="M402" s="210" t="n"/>
      <c r="N402" s="210" t="n"/>
      <c r="O402" s="209" t="n"/>
    </row>
    <row r="403" ht="15" customHeight="1">
      <c r="A403" s="13" t="inlineStr">
        <is>
          <t>snowflake.com</t>
        </is>
      </c>
      <c r="B403" s="210" t="n"/>
      <c r="C403" s="209" t="n"/>
      <c r="D403" s="15" t="n">
        <v>1</v>
      </c>
      <c r="E403" s="16" t="inlineStr">
        <is>
          <t>https://www.snowflake.com/en/fundamentals/data-governance/framework/dama-dmbok/</t>
        </is>
      </c>
      <c r="F403" s="210" t="n"/>
      <c r="G403" s="210" t="n"/>
      <c r="H403" s="210" t="n"/>
      <c r="I403" s="210" t="n"/>
      <c r="J403" s="210" t="n"/>
      <c r="K403" s="210" t="n"/>
      <c r="L403" s="210" t="n"/>
      <c r="M403" s="210" t="n"/>
      <c r="N403" s="210" t="n"/>
      <c r="O403" s="209" t="n"/>
    </row>
    <row r="404" ht="15" customHeight="1">
      <c r="A404" s="13" t="inlineStr">
        <is>
          <t>staff.derbyshire.gov.uk</t>
        </is>
      </c>
      <c r="B404" s="210" t="n"/>
      <c r="C404" s="209" t="n"/>
      <c r="D404" s="15" t="n">
        <v>1</v>
      </c>
      <c r="E404" s="16" t="inlineStr">
        <is>
          <t>https://staff.derbyshire.gov.uk/jobs-and-recruitment/job-evaluation/korn-ferry-hay-scheme/korn-ferry-hay-scheme.aspx</t>
        </is>
      </c>
      <c r="F404" s="210" t="n"/>
      <c r="G404" s="210" t="n"/>
      <c r="H404" s="210" t="n"/>
      <c r="I404" s="210" t="n"/>
      <c r="J404" s="210" t="n"/>
      <c r="K404" s="210" t="n"/>
      <c r="L404" s="210" t="n"/>
      <c r="M404" s="210" t="n"/>
      <c r="N404" s="210" t="n"/>
      <c r="O404" s="209" t="n"/>
    </row>
    <row r="405" ht="15" customHeight="1">
      <c r="A405" s="13" t="inlineStr">
        <is>
          <t>studylib.net</t>
        </is>
      </c>
      <c r="B405" s="210" t="n"/>
      <c r="C405" s="209" t="n"/>
      <c r="D405" s="15" t="n">
        <v>1</v>
      </c>
      <c r="E405" s="16" t="inlineStr">
        <is>
          <t>https://studylib.net/doc/25471018/197145561-evaluation-factors-mercer</t>
        </is>
      </c>
      <c r="F405" s="210" t="n"/>
      <c r="G405" s="210" t="n"/>
      <c r="H405" s="210" t="n"/>
      <c r="I405" s="210" t="n"/>
      <c r="J405" s="210" t="n"/>
      <c r="K405" s="210" t="n"/>
      <c r="L405" s="210" t="n"/>
      <c r="M405" s="210" t="n"/>
      <c r="N405" s="210" t="n"/>
      <c r="O405" s="209" t="n"/>
    </row>
    <row r="406" ht="15" customHeight="1">
      <c r="A406" s="13" t="inlineStr">
        <is>
          <t>toppanmerrill.com</t>
        </is>
      </c>
      <c r="B406" s="210" t="n"/>
      <c r="C406" s="209" t="n"/>
      <c r="D406" s="15" t="n">
        <v>1</v>
      </c>
      <c r="E406" s="16" t="inlineStr">
        <is>
          <t>https://toppanmerrill.com/bridge/</t>
        </is>
      </c>
      <c r="F406" s="210" t="n"/>
      <c r="G406" s="210" t="n"/>
      <c r="H406" s="210" t="n"/>
      <c r="I406" s="210" t="n"/>
      <c r="J406" s="210" t="n"/>
      <c r="K406" s="210" t="n"/>
      <c r="L406" s="210" t="n"/>
      <c r="M406" s="210" t="n"/>
      <c r="N406" s="210" t="n"/>
      <c r="O406" s="209" t="n"/>
    </row>
    <row r="407" ht="15" customHeight="1">
      <c r="A407" s="13" t="inlineStr">
        <is>
          <t>wipro.com</t>
        </is>
      </c>
      <c r="B407" s="210" t="n"/>
      <c r="C407" s="209" t="n"/>
      <c r="D407" s="15" t="n">
        <v>1</v>
      </c>
      <c r="E407" s="16" t="inlineStr">
        <is>
          <t>https://www.wipro.com/innovation/distinguished-member-of-technical-staff/</t>
        </is>
      </c>
      <c r="F407" s="210" t="n"/>
      <c r="G407" s="210" t="n"/>
      <c r="H407" s="210" t="n"/>
      <c r="I407" s="210" t="n"/>
      <c r="J407" s="210" t="n"/>
      <c r="K407" s="210" t="n"/>
      <c r="L407" s="210" t="n"/>
      <c r="M407" s="210" t="n"/>
      <c r="N407" s="210" t="n"/>
      <c r="O407" s="209" t="n"/>
    </row>
    <row r="408" ht="15" customHeight="1">
      <c r="A408" s="13" t="inlineStr">
        <is>
          <t>worldatwork.org</t>
        </is>
      </c>
      <c r="B408" s="210" t="n"/>
      <c r="C408" s="209" t="n"/>
      <c r="D408" s="15" t="n">
        <v>1</v>
      </c>
      <c r="E408" s="16" t="inlineStr">
        <is>
          <t>https://worldatwork.org/media/CDN/dist/CDN2/documents/pdf/resources/research/Salary-Structure-Policies-Practices-2012.pdf</t>
        </is>
      </c>
      <c r="F408" s="210" t="n"/>
      <c r="G408" s="210" t="n"/>
      <c r="H408" s="210" t="n"/>
      <c r="I408" s="210" t="n"/>
      <c r="J408" s="210" t="n"/>
      <c r="K408" s="210" t="n"/>
      <c r="L408" s="210" t="n"/>
      <c r="M408" s="210" t="n"/>
      <c r="N408" s="210" t="n"/>
      <c r="O408" s="209" t="n"/>
    </row>
    <row r="409" ht="15" customHeight="1">
      <c r="A409" s="13" t="inlineStr">
        <is>
          <t>worldoftaxonomy.com</t>
        </is>
      </c>
      <c r="B409" s="210" t="n"/>
      <c r="C409" s="209" t="n"/>
      <c r="D409" s="15" t="n">
        <v>1</v>
      </c>
      <c r="E409" s="16" t="inlineStr">
        <is>
          <t>https://worldoftaxonomy.com/system/isco_08/node/251</t>
        </is>
      </c>
      <c r="F409" s="210" t="n"/>
      <c r="G409" s="210" t="n"/>
      <c r="H409" s="210" t="n"/>
      <c r="I409" s="210" t="n"/>
      <c r="J409" s="210" t="n"/>
      <c r="K409" s="210" t="n"/>
      <c r="L409" s="210" t="n"/>
      <c r="M409" s="210" t="n"/>
      <c r="N409" s="210" t="n"/>
      <c r="O409" s="209" t="n"/>
    </row>
  </sheetData>
  <mergeCells count="996">
    <mergeCell ref="G225:J225"/>
    <mergeCell ref="B231:D231"/>
    <mergeCell ref="K321:M321"/>
    <mergeCell ref="E376:O376"/>
    <mergeCell ref="A364:C364"/>
    <mergeCell ref="G200:J200"/>
    <mergeCell ref="E234:F234"/>
    <mergeCell ref="G227:J227"/>
    <mergeCell ref="K323:M323"/>
    <mergeCell ref="H278:J278"/>
    <mergeCell ref="G202:J202"/>
    <mergeCell ref="E244:F244"/>
    <mergeCell ref="D281:E281"/>
    <mergeCell ref="M35:N35"/>
    <mergeCell ref="B297:C297"/>
    <mergeCell ref="K255:N255"/>
    <mergeCell ref="K218:N218"/>
    <mergeCell ref="E236:F236"/>
    <mergeCell ref="D297:E297"/>
    <mergeCell ref="K316:M316"/>
    <mergeCell ref="E371:O371"/>
    <mergeCell ref="A181:C181"/>
    <mergeCell ref="H317:J317"/>
    <mergeCell ref="E358:O358"/>
    <mergeCell ref="H304:J304"/>
    <mergeCell ref="B312:C312"/>
    <mergeCell ref="B241:D241"/>
    <mergeCell ref="E229:F229"/>
    <mergeCell ref="D312:E312"/>
    <mergeCell ref="B299:C299"/>
    <mergeCell ref="H273:J273"/>
    <mergeCell ref="B213:D213"/>
    <mergeCell ref="K232:N232"/>
    <mergeCell ref="B314:C314"/>
    <mergeCell ref="A33:B33"/>
    <mergeCell ref="C11:J11"/>
    <mergeCell ref="K219:N219"/>
    <mergeCell ref="E335:O335"/>
    <mergeCell ref="A352:C352"/>
    <mergeCell ref="K305:M305"/>
    <mergeCell ref="A40:O40"/>
    <mergeCell ref="B242:D242"/>
    <mergeCell ref="K261:N261"/>
    <mergeCell ref="D187:I187"/>
    <mergeCell ref="D307:E307"/>
    <mergeCell ref="A35:B35"/>
    <mergeCell ref="A368:C368"/>
    <mergeCell ref="G36:I36"/>
    <mergeCell ref="A49:C49"/>
    <mergeCell ref="B208:D208"/>
    <mergeCell ref="H306:J306"/>
    <mergeCell ref="J46:N46"/>
    <mergeCell ref="A334:C334"/>
    <mergeCell ref="A28:B28"/>
    <mergeCell ref="A383:C383"/>
    <mergeCell ref="A408:C408"/>
    <mergeCell ref="C28:D28"/>
    <mergeCell ref="D45:I45"/>
    <mergeCell ref="A370:C370"/>
    <mergeCell ref="B219:D219"/>
    <mergeCell ref="G222:J222"/>
    <mergeCell ref="B210:D210"/>
    <mergeCell ref="K300:M300"/>
    <mergeCell ref="K271:M271"/>
    <mergeCell ref="J48:N48"/>
    <mergeCell ref="H297:J297"/>
    <mergeCell ref="A30:B30"/>
    <mergeCell ref="H291:J291"/>
    <mergeCell ref="C30:D30"/>
    <mergeCell ref="E361:O361"/>
    <mergeCell ref="G215:J215"/>
    <mergeCell ref="K250:N250"/>
    <mergeCell ref="K273:M273"/>
    <mergeCell ref="K9:O9"/>
    <mergeCell ref="E219:F219"/>
    <mergeCell ref="N184:O184"/>
    <mergeCell ref="K230:N230"/>
    <mergeCell ref="H305:J305"/>
    <mergeCell ref="H292:J292"/>
    <mergeCell ref="K11:O11"/>
    <mergeCell ref="B287:C287"/>
    <mergeCell ref="F322:G322"/>
    <mergeCell ref="D287:E287"/>
    <mergeCell ref="B201:D201"/>
    <mergeCell ref="B239:D239"/>
    <mergeCell ref="A135:O135"/>
    <mergeCell ref="B289:C289"/>
    <mergeCell ref="G241:J241"/>
    <mergeCell ref="E252:F252"/>
    <mergeCell ref="A44:C44"/>
    <mergeCell ref="D289:E289"/>
    <mergeCell ref="A357:C357"/>
    <mergeCell ref="B203:D203"/>
    <mergeCell ref="G228:J228"/>
    <mergeCell ref="E379:O379"/>
    <mergeCell ref="N190:O190"/>
    <mergeCell ref="A329:C329"/>
    <mergeCell ref="E366:O366"/>
    <mergeCell ref="F317:G317"/>
    <mergeCell ref="H319:J319"/>
    <mergeCell ref="E250:F250"/>
    <mergeCell ref="G243:J243"/>
    <mergeCell ref="E237:F237"/>
    <mergeCell ref="B232:D232"/>
    <mergeCell ref="E381:O381"/>
    <mergeCell ref="H318:J318"/>
    <mergeCell ref="A358:C358"/>
    <mergeCell ref="B313:C313"/>
    <mergeCell ref="B215:D215"/>
    <mergeCell ref="E380:O380"/>
    <mergeCell ref="E239:F239"/>
    <mergeCell ref="H323:J323"/>
    <mergeCell ref="B263:D263"/>
    <mergeCell ref="E251:F251"/>
    <mergeCell ref="H314:J314"/>
    <mergeCell ref="K286:M286"/>
    <mergeCell ref="A360:C360"/>
    <mergeCell ref="B315:C315"/>
    <mergeCell ref="A34:B34"/>
    <mergeCell ref="E238:F238"/>
    <mergeCell ref="B244:D244"/>
    <mergeCell ref="C34:D34"/>
    <mergeCell ref="D189:I189"/>
    <mergeCell ref="B302:C302"/>
    <mergeCell ref="D315:E315"/>
    <mergeCell ref="B229:D229"/>
    <mergeCell ref="A54:O54"/>
    <mergeCell ref="D302:E302"/>
    <mergeCell ref="G19:I19"/>
    <mergeCell ref="G246:J246"/>
    <mergeCell ref="A36:B36"/>
    <mergeCell ref="C14:J14"/>
    <mergeCell ref="A385:C385"/>
    <mergeCell ref="G221:J221"/>
    <mergeCell ref="A50:C50"/>
    <mergeCell ref="D300:E300"/>
    <mergeCell ref="A56:O56"/>
    <mergeCell ref="B258:D258"/>
    <mergeCell ref="A42:C42"/>
    <mergeCell ref="B245:D245"/>
    <mergeCell ref="A384:C384"/>
    <mergeCell ref="C29:D29"/>
    <mergeCell ref="E29:F29"/>
    <mergeCell ref="A188:C188"/>
    <mergeCell ref="E205:F205"/>
    <mergeCell ref="G198:J198"/>
    <mergeCell ref="G223:J223"/>
    <mergeCell ref="B260:D260"/>
    <mergeCell ref="B318:C318"/>
    <mergeCell ref="A386:C386"/>
    <mergeCell ref="C31:D31"/>
    <mergeCell ref="M31:N31"/>
    <mergeCell ref="E31:F31"/>
    <mergeCell ref="A190:C190"/>
    <mergeCell ref="K251:N251"/>
    <mergeCell ref="J184:M184"/>
    <mergeCell ref="K238:N238"/>
    <mergeCell ref="H313:J313"/>
    <mergeCell ref="D284:E284"/>
    <mergeCell ref="H307:J307"/>
    <mergeCell ref="E329:O329"/>
    <mergeCell ref="H294:J294"/>
    <mergeCell ref="K253:N253"/>
    <mergeCell ref="B270:C270"/>
    <mergeCell ref="E393:O393"/>
    <mergeCell ref="K240:N240"/>
    <mergeCell ref="E331:O331"/>
    <mergeCell ref="A143:O143"/>
    <mergeCell ref="D313:E313"/>
    <mergeCell ref="M26:N26"/>
    <mergeCell ref="N187:O187"/>
    <mergeCell ref="G249:J249"/>
    <mergeCell ref="B238:D238"/>
    <mergeCell ref="A1:O1"/>
    <mergeCell ref="D303:E303"/>
    <mergeCell ref="J187:M187"/>
    <mergeCell ref="D290:E290"/>
    <mergeCell ref="E258:F258"/>
    <mergeCell ref="F290:G290"/>
    <mergeCell ref="A355:C355"/>
    <mergeCell ref="G234:J234"/>
    <mergeCell ref="B240:D240"/>
    <mergeCell ref="A24:B24"/>
    <mergeCell ref="A330:C330"/>
    <mergeCell ref="A379:C379"/>
    <mergeCell ref="C24:D24"/>
    <mergeCell ref="A366:C366"/>
    <mergeCell ref="E24:F24"/>
    <mergeCell ref="E195:F195"/>
    <mergeCell ref="K292:M292"/>
    <mergeCell ref="B321:C321"/>
    <mergeCell ref="A397:C397"/>
    <mergeCell ref="E382:O382"/>
    <mergeCell ref="A381:C381"/>
    <mergeCell ref="K307:M307"/>
    <mergeCell ref="C26:D26"/>
    <mergeCell ref="E259:F259"/>
    <mergeCell ref="E253:F253"/>
    <mergeCell ref="F285:G285"/>
    <mergeCell ref="B323:C323"/>
    <mergeCell ref="E240:F240"/>
    <mergeCell ref="A374:C374"/>
    <mergeCell ref="A361:C361"/>
    <mergeCell ref="E19:F19"/>
    <mergeCell ref="K287:M287"/>
    <mergeCell ref="D316:E316"/>
    <mergeCell ref="K201:N201"/>
    <mergeCell ref="D272:E272"/>
    <mergeCell ref="F272:G272"/>
    <mergeCell ref="J21:L21"/>
    <mergeCell ref="D308:E308"/>
    <mergeCell ref="G25:I25"/>
    <mergeCell ref="K289:M289"/>
    <mergeCell ref="A327:O327"/>
    <mergeCell ref="A392:C392"/>
    <mergeCell ref="D274:E274"/>
    <mergeCell ref="D301:E301"/>
    <mergeCell ref="F274:G274"/>
    <mergeCell ref="M28:N28"/>
    <mergeCell ref="J23:L23"/>
    <mergeCell ref="B197:D197"/>
    <mergeCell ref="G262:J262"/>
    <mergeCell ref="A93:O93"/>
    <mergeCell ref="B224:D224"/>
    <mergeCell ref="K213:N213"/>
    <mergeCell ref="A350:C350"/>
    <mergeCell ref="H275:J275"/>
    <mergeCell ref="B261:D261"/>
    <mergeCell ref="A45:C45"/>
    <mergeCell ref="A343:C343"/>
    <mergeCell ref="M32:N32"/>
    <mergeCell ref="G239:J239"/>
    <mergeCell ref="C37:D37"/>
    <mergeCell ref="F269:G269"/>
    <mergeCell ref="E37:F37"/>
    <mergeCell ref="E208:F208"/>
    <mergeCell ref="E330:O330"/>
    <mergeCell ref="E401:O401"/>
    <mergeCell ref="E395:O395"/>
    <mergeCell ref="B309:C309"/>
    <mergeCell ref="A345:C345"/>
    <mergeCell ref="G38:I38"/>
    <mergeCell ref="K254:N254"/>
    <mergeCell ref="B271:C271"/>
    <mergeCell ref="E210:F210"/>
    <mergeCell ref="A46:C46"/>
    <mergeCell ref="F300:G300"/>
    <mergeCell ref="H316:J316"/>
    <mergeCell ref="E332:O332"/>
    <mergeCell ref="H310:J310"/>
    <mergeCell ref="K282:M282"/>
    <mergeCell ref="B250:D250"/>
    <mergeCell ref="B311:C311"/>
    <mergeCell ref="N188:O188"/>
    <mergeCell ref="E203:F203"/>
    <mergeCell ref="A376:C376"/>
    <mergeCell ref="J189:M189"/>
    <mergeCell ref="G242:J242"/>
    <mergeCell ref="A7:B7"/>
    <mergeCell ref="B230:D230"/>
    <mergeCell ref="J188:M188"/>
    <mergeCell ref="A405:C405"/>
    <mergeCell ref="B254:D254"/>
    <mergeCell ref="G208:J208"/>
    <mergeCell ref="A150:O150"/>
    <mergeCell ref="E398:O398"/>
    <mergeCell ref="A380:C380"/>
    <mergeCell ref="A184:C184"/>
    <mergeCell ref="G244:J244"/>
    <mergeCell ref="D306:E306"/>
    <mergeCell ref="A371:C371"/>
    <mergeCell ref="J190:M190"/>
    <mergeCell ref="G194:J194"/>
    <mergeCell ref="E261:F261"/>
    <mergeCell ref="A407:C407"/>
    <mergeCell ref="B256:D256"/>
    <mergeCell ref="H288:J288"/>
    <mergeCell ref="G237:J237"/>
    <mergeCell ref="A382:C382"/>
    <mergeCell ref="C27:D27"/>
    <mergeCell ref="A170:O170"/>
    <mergeCell ref="E27:F27"/>
    <mergeCell ref="E350:O350"/>
    <mergeCell ref="K209:N209"/>
    <mergeCell ref="G245:J245"/>
    <mergeCell ref="K203:N203"/>
    <mergeCell ref="B316:C316"/>
    <mergeCell ref="K310:M310"/>
    <mergeCell ref="J29:L29"/>
    <mergeCell ref="E196:F196"/>
    <mergeCell ref="E256:F256"/>
    <mergeCell ref="F293:G293"/>
    <mergeCell ref="D322:E322"/>
    <mergeCell ref="E389:O389"/>
    <mergeCell ref="D309:E309"/>
    <mergeCell ref="M19:N19"/>
    <mergeCell ref="E22:F22"/>
    <mergeCell ref="E345:O345"/>
    <mergeCell ref="E198:F198"/>
    <mergeCell ref="B268:C268"/>
    <mergeCell ref="B324:C324"/>
    <mergeCell ref="B259:D259"/>
    <mergeCell ref="K204:N204"/>
    <mergeCell ref="D324:E324"/>
    <mergeCell ref="E391:O391"/>
    <mergeCell ref="F275:G275"/>
    <mergeCell ref="G207:J207"/>
    <mergeCell ref="J24:L24"/>
    <mergeCell ref="D311:E311"/>
    <mergeCell ref="G28:I28"/>
    <mergeCell ref="B225:D225"/>
    <mergeCell ref="A351:C351"/>
    <mergeCell ref="F277:G277"/>
    <mergeCell ref="F304:G304"/>
    <mergeCell ref="J26:L26"/>
    <mergeCell ref="G30:I30"/>
    <mergeCell ref="A101:O101"/>
    <mergeCell ref="A393:C393"/>
    <mergeCell ref="E403:O403"/>
    <mergeCell ref="A331:C331"/>
    <mergeCell ref="F276:G276"/>
    <mergeCell ref="K279:M279"/>
    <mergeCell ref="F319:G319"/>
    <mergeCell ref="E38:F38"/>
    <mergeCell ref="A2:O2"/>
    <mergeCell ref="E209:F209"/>
    <mergeCell ref="F306:G306"/>
    <mergeCell ref="D184:I184"/>
    <mergeCell ref="H293:J293"/>
    <mergeCell ref="A395:C395"/>
    <mergeCell ref="E211:F211"/>
    <mergeCell ref="K308:M308"/>
    <mergeCell ref="C9:J9"/>
    <mergeCell ref="K283:M283"/>
    <mergeCell ref="A26:B26"/>
    <mergeCell ref="K12:O12"/>
    <mergeCell ref="D42:I42"/>
    <mergeCell ref="B251:D251"/>
    <mergeCell ref="A332:C332"/>
    <mergeCell ref="K274:M274"/>
    <mergeCell ref="B216:D216"/>
    <mergeCell ref="E338:O338"/>
    <mergeCell ref="B279:C279"/>
    <mergeCell ref="K298:M298"/>
    <mergeCell ref="F303:G303"/>
    <mergeCell ref="D50:I50"/>
    <mergeCell ref="K285:M285"/>
    <mergeCell ref="K14:O14"/>
    <mergeCell ref="D44:I44"/>
    <mergeCell ref="A127:O127"/>
    <mergeCell ref="A8:B8"/>
    <mergeCell ref="E340:O340"/>
    <mergeCell ref="B218:D218"/>
    <mergeCell ref="M24:N24"/>
    <mergeCell ref="B281:C281"/>
    <mergeCell ref="G258:J258"/>
    <mergeCell ref="K7:O7"/>
    <mergeCell ref="F288:G288"/>
    <mergeCell ref="G220:J220"/>
    <mergeCell ref="J37:L37"/>
    <mergeCell ref="A10:B10"/>
    <mergeCell ref="H271:J271"/>
    <mergeCell ref="G195:J195"/>
    <mergeCell ref="G260:J260"/>
    <mergeCell ref="J183:M183"/>
    <mergeCell ref="A187:C187"/>
    <mergeCell ref="K211:N211"/>
    <mergeCell ref="F271:G271"/>
    <mergeCell ref="E351:O351"/>
    <mergeCell ref="G259:J259"/>
    <mergeCell ref="K301:M301"/>
    <mergeCell ref="G197:J197"/>
    <mergeCell ref="C6:J6"/>
    <mergeCell ref="B292:C292"/>
    <mergeCell ref="A189:C189"/>
    <mergeCell ref="K311:M311"/>
    <mergeCell ref="K267:M267"/>
    <mergeCell ref="G34:I34"/>
    <mergeCell ref="E353:O353"/>
    <mergeCell ref="G261:J261"/>
    <mergeCell ref="H302:J302"/>
    <mergeCell ref="K303:M303"/>
    <mergeCell ref="B307:C307"/>
    <mergeCell ref="K212:N212"/>
    <mergeCell ref="E328:O328"/>
    <mergeCell ref="K206:N206"/>
    <mergeCell ref="E224:F224"/>
    <mergeCell ref="F283:G283"/>
    <mergeCell ref="B294:C294"/>
    <mergeCell ref="J32:L32"/>
    <mergeCell ref="A47:C47"/>
    <mergeCell ref="H268:J268"/>
    <mergeCell ref="B211:D211"/>
    <mergeCell ref="K269:M269"/>
    <mergeCell ref="K296:M296"/>
    <mergeCell ref="D325:E325"/>
    <mergeCell ref="F298:G298"/>
    <mergeCell ref="N189:O189"/>
    <mergeCell ref="K214:N214"/>
    <mergeCell ref="F325:G325"/>
    <mergeCell ref="K235:N235"/>
    <mergeCell ref="G29:I29"/>
    <mergeCell ref="A100:O100"/>
    <mergeCell ref="F291:G291"/>
    <mergeCell ref="A401:C401"/>
    <mergeCell ref="A21:B21"/>
    <mergeCell ref="C21:D21"/>
    <mergeCell ref="B212:D212"/>
    <mergeCell ref="M37:N37"/>
    <mergeCell ref="G31:I31"/>
    <mergeCell ref="B206:D206"/>
    <mergeCell ref="A32:B32"/>
    <mergeCell ref="J186:M186"/>
    <mergeCell ref="J41:N41"/>
    <mergeCell ref="K280:M280"/>
    <mergeCell ref="A23:B23"/>
    <mergeCell ref="A403:C403"/>
    <mergeCell ref="H284:J284"/>
    <mergeCell ref="C23:D23"/>
    <mergeCell ref="A182:C182"/>
    <mergeCell ref="K295:M295"/>
    <mergeCell ref="E346:O346"/>
    <mergeCell ref="K322:M322"/>
    <mergeCell ref="K224:N224"/>
    <mergeCell ref="A396:C396"/>
    <mergeCell ref="J43:N43"/>
    <mergeCell ref="M38:N38"/>
    <mergeCell ref="E212:F212"/>
    <mergeCell ref="H286:J286"/>
    <mergeCell ref="K309:M309"/>
    <mergeCell ref="G210:J210"/>
    <mergeCell ref="K13:O13"/>
    <mergeCell ref="E348:O348"/>
    <mergeCell ref="B305:C305"/>
    <mergeCell ref="K324:M324"/>
    <mergeCell ref="A398:C398"/>
    <mergeCell ref="H279:J279"/>
    <mergeCell ref="E214:F214"/>
    <mergeCell ref="B280:C280"/>
    <mergeCell ref="D280:E280"/>
    <mergeCell ref="K225:N225"/>
    <mergeCell ref="A335:C335"/>
    <mergeCell ref="E341:O341"/>
    <mergeCell ref="F296:G296"/>
    <mergeCell ref="B295:C295"/>
    <mergeCell ref="K200:N200"/>
    <mergeCell ref="H281:J281"/>
    <mergeCell ref="B282:C282"/>
    <mergeCell ref="J20:L20"/>
    <mergeCell ref="D282:E282"/>
    <mergeCell ref="B196:D196"/>
    <mergeCell ref="A192:O192"/>
    <mergeCell ref="D47:I47"/>
    <mergeCell ref="E372:O372"/>
    <mergeCell ref="K202:N202"/>
    <mergeCell ref="D275:E275"/>
    <mergeCell ref="H312:J312"/>
    <mergeCell ref="J22:L22"/>
    <mergeCell ref="G236:J236"/>
    <mergeCell ref="F297:G297"/>
    <mergeCell ref="E230:F230"/>
    <mergeCell ref="E374:O374"/>
    <mergeCell ref="N185:O185"/>
    <mergeCell ref="K231:N231"/>
    <mergeCell ref="D277:E277"/>
    <mergeCell ref="F302:G302"/>
    <mergeCell ref="C12:J12"/>
    <mergeCell ref="E367:O367"/>
    <mergeCell ref="E232:F232"/>
    <mergeCell ref="K317:M317"/>
    <mergeCell ref="E354:O354"/>
    <mergeCell ref="E207:F207"/>
    <mergeCell ref="K304:M304"/>
    <mergeCell ref="A353:C353"/>
    <mergeCell ref="B308:C308"/>
    <mergeCell ref="B237:D237"/>
    <mergeCell ref="E225:F225"/>
    <mergeCell ref="D182:I182"/>
    <mergeCell ref="K256:N256"/>
    <mergeCell ref="A328:C328"/>
    <mergeCell ref="E369:O369"/>
    <mergeCell ref="A48:C48"/>
    <mergeCell ref="B300:C300"/>
    <mergeCell ref="K319:M319"/>
    <mergeCell ref="E356:O356"/>
    <mergeCell ref="B209:D209"/>
    <mergeCell ref="K306:M306"/>
    <mergeCell ref="B310:C310"/>
    <mergeCell ref="A29:B29"/>
    <mergeCell ref="C7:J7"/>
    <mergeCell ref="D190:I190"/>
    <mergeCell ref="D46:I46"/>
    <mergeCell ref="E227:F227"/>
    <mergeCell ref="B214:D214"/>
    <mergeCell ref="G205:J205"/>
    <mergeCell ref="A110:O110"/>
    <mergeCell ref="K257:N257"/>
    <mergeCell ref="D183:I183"/>
    <mergeCell ref="A31:B31"/>
    <mergeCell ref="G216:J216"/>
    <mergeCell ref="D295:E295"/>
    <mergeCell ref="B253:D253"/>
    <mergeCell ref="D185:I185"/>
    <mergeCell ref="D41:I41"/>
    <mergeCell ref="A118:O118"/>
    <mergeCell ref="G218:J218"/>
    <mergeCell ref="J35:L35"/>
    <mergeCell ref="E347:O347"/>
    <mergeCell ref="H300:J300"/>
    <mergeCell ref="A406:C406"/>
    <mergeCell ref="A55:O55"/>
    <mergeCell ref="D43:I43"/>
    <mergeCell ref="H287:J287"/>
    <mergeCell ref="G211:J211"/>
    <mergeCell ref="K288:M288"/>
    <mergeCell ref="A185:C185"/>
    <mergeCell ref="K246:N246"/>
    <mergeCell ref="E362:O362"/>
    <mergeCell ref="K233:N233"/>
    <mergeCell ref="E349:O349"/>
    <mergeCell ref="K227:N227"/>
    <mergeCell ref="F287:G287"/>
    <mergeCell ref="H289:J289"/>
    <mergeCell ref="E220:F220"/>
    <mergeCell ref="B290:C290"/>
    <mergeCell ref="E364:O364"/>
    <mergeCell ref="A43:C43"/>
    <mergeCell ref="K226:N226"/>
    <mergeCell ref="H301:J301"/>
    <mergeCell ref="B204:D204"/>
    <mergeCell ref="D188:I188"/>
    <mergeCell ref="B198:D198"/>
    <mergeCell ref="A265:O265"/>
    <mergeCell ref="E363:O363"/>
    <mergeCell ref="B283:C283"/>
    <mergeCell ref="K241:N241"/>
    <mergeCell ref="N182:O182"/>
    <mergeCell ref="E222:F222"/>
    <mergeCell ref="D283:E283"/>
    <mergeCell ref="F312:G312"/>
    <mergeCell ref="F318:G318"/>
    <mergeCell ref="K228:N228"/>
    <mergeCell ref="H303:J303"/>
    <mergeCell ref="H290:J290"/>
    <mergeCell ref="B233:D233"/>
    <mergeCell ref="K252:N252"/>
    <mergeCell ref="B298:C298"/>
    <mergeCell ref="B227:D227"/>
    <mergeCell ref="B285:C285"/>
    <mergeCell ref="D285:E285"/>
    <mergeCell ref="J50:N50"/>
    <mergeCell ref="B199:D199"/>
    <mergeCell ref="A266:O266"/>
    <mergeCell ref="G229:J229"/>
    <mergeCell ref="E375:O375"/>
    <mergeCell ref="A19:B19"/>
    <mergeCell ref="C19:D19"/>
    <mergeCell ref="F313:G313"/>
    <mergeCell ref="H315:J315"/>
    <mergeCell ref="E246:F246"/>
    <mergeCell ref="F278:G278"/>
    <mergeCell ref="K281:M281"/>
    <mergeCell ref="C13:J13"/>
    <mergeCell ref="E233:F233"/>
    <mergeCell ref="B228:D228"/>
    <mergeCell ref="K318:M318"/>
    <mergeCell ref="A367:C367"/>
    <mergeCell ref="E377:O377"/>
    <mergeCell ref="A183:C183"/>
    <mergeCell ref="A354:C354"/>
    <mergeCell ref="E248:F248"/>
    <mergeCell ref="E235:F235"/>
    <mergeCell ref="B301:C301"/>
    <mergeCell ref="K320:M320"/>
    <mergeCell ref="A369:C369"/>
    <mergeCell ref="E368:O368"/>
    <mergeCell ref="E406:O406"/>
    <mergeCell ref="E247:F247"/>
    <mergeCell ref="G213:J213"/>
    <mergeCell ref="A356:C356"/>
    <mergeCell ref="A149:O149"/>
    <mergeCell ref="K221:N221"/>
    <mergeCell ref="D267:E267"/>
    <mergeCell ref="K215:N215"/>
    <mergeCell ref="F267:G267"/>
    <mergeCell ref="H283:J283"/>
    <mergeCell ref="B303:C303"/>
    <mergeCell ref="G255:J255"/>
    <mergeCell ref="H277:J277"/>
    <mergeCell ref="A86:O86"/>
    <mergeCell ref="B217:D217"/>
    <mergeCell ref="K236:N236"/>
    <mergeCell ref="C10:J10"/>
    <mergeCell ref="A37:B37"/>
    <mergeCell ref="K223:N223"/>
    <mergeCell ref="D269:E269"/>
    <mergeCell ref="D296:E296"/>
    <mergeCell ref="H308:J308"/>
    <mergeCell ref="D51:I51"/>
    <mergeCell ref="A372:C372"/>
    <mergeCell ref="E201:F201"/>
    <mergeCell ref="G219:J219"/>
    <mergeCell ref="D298:E298"/>
    <mergeCell ref="K248:N248"/>
    <mergeCell ref="D273:E273"/>
    <mergeCell ref="E388:O388"/>
    <mergeCell ref="F273:G273"/>
    <mergeCell ref="M27:N27"/>
    <mergeCell ref="A338:C338"/>
    <mergeCell ref="N186:O186"/>
    <mergeCell ref="A186:C186"/>
    <mergeCell ref="K247:N247"/>
    <mergeCell ref="A51:C51"/>
    <mergeCell ref="H309:J309"/>
    <mergeCell ref="E399:O399"/>
    <mergeCell ref="A349:C349"/>
    <mergeCell ref="E390:O390"/>
    <mergeCell ref="A340:C340"/>
    <mergeCell ref="E25:F25"/>
    <mergeCell ref="K249:N249"/>
    <mergeCell ref="E365:O365"/>
    <mergeCell ref="K243:N243"/>
    <mergeCell ref="H311:J311"/>
    <mergeCell ref="B306:C306"/>
    <mergeCell ref="B235:D235"/>
    <mergeCell ref="N183:O183"/>
    <mergeCell ref="E223:F223"/>
    <mergeCell ref="E394:O394"/>
    <mergeCell ref="G201:J201"/>
    <mergeCell ref="G250:J250"/>
    <mergeCell ref="E254:F254"/>
    <mergeCell ref="B249:D249"/>
    <mergeCell ref="G203:J203"/>
    <mergeCell ref="B243:D243"/>
    <mergeCell ref="G230:J230"/>
    <mergeCell ref="C20:D20"/>
    <mergeCell ref="E20:F20"/>
    <mergeCell ref="J185:M185"/>
    <mergeCell ref="E343:O343"/>
    <mergeCell ref="B322:C322"/>
    <mergeCell ref="G238:J238"/>
    <mergeCell ref="K196:N196"/>
    <mergeCell ref="G232:J232"/>
    <mergeCell ref="A377:C377"/>
    <mergeCell ref="C22:D22"/>
    <mergeCell ref="E249:F249"/>
    <mergeCell ref="E241:F241"/>
    <mergeCell ref="K198:N198"/>
    <mergeCell ref="H322:J322"/>
    <mergeCell ref="E257:F257"/>
    <mergeCell ref="A362:C362"/>
    <mergeCell ref="B317:C317"/>
    <mergeCell ref="G233:J233"/>
    <mergeCell ref="D317:E317"/>
    <mergeCell ref="E384:O384"/>
    <mergeCell ref="B304:C304"/>
    <mergeCell ref="K262:N262"/>
    <mergeCell ref="E378:O378"/>
    <mergeCell ref="D304:E304"/>
    <mergeCell ref="G21:I21"/>
    <mergeCell ref="H324:J324"/>
    <mergeCell ref="K237:N237"/>
    <mergeCell ref="J182:M182"/>
    <mergeCell ref="B319:C319"/>
    <mergeCell ref="A38:B38"/>
    <mergeCell ref="H299:J299"/>
    <mergeCell ref="D319:E319"/>
    <mergeCell ref="C38:D38"/>
    <mergeCell ref="F270:G270"/>
    <mergeCell ref="J19:L19"/>
    <mergeCell ref="G23:I23"/>
    <mergeCell ref="B220:D220"/>
    <mergeCell ref="K239:N239"/>
    <mergeCell ref="B247:D247"/>
    <mergeCell ref="A359:C359"/>
    <mergeCell ref="E396:O396"/>
    <mergeCell ref="A346:C346"/>
    <mergeCell ref="K272:M272"/>
    <mergeCell ref="D299:E299"/>
    <mergeCell ref="F299:G299"/>
    <mergeCell ref="B262:D262"/>
    <mergeCell ref="A41:C41"/>
    <mergeCell ref="A388:C388"/>
    <mergeCell ref="K277:M277"/>
    <mergeCell ref="D314:E314"/>
    <mergeCell ref="C33:D33"/>
    <mergeCell ref="F314:G314"/>
    <mergeCell ref="E33:F33"/>
    <mergeCell ref="A193:O193"/>
    <mergeCell ref="E204:F204"/>
    <mergeCell ref="A375:C375"/>
    <mergeCell ref="K276:M276"/>
    <mergeCell ref="A341:C341"/>
    <mergeCell ref="A390:C390"/>
    <mergeCell ref="A6:B6"/>
    <mergeCell ref="G226:J226"/>
    <mergeCell ref="C35:D35"/>
    <mergeCell ref="E231:F231"/>
    <mergeCell ref="E35:F35"/>
    <mergeCell ref="E206:F206"/>
    <mergeCell ref="G217:J217"/>
    <mergeCell ref="E262:F262"/>
    <mergeCell ref="B272:C272"/>
    <mergeCell ref="K242:N242"/>
    <mergeCell ref="K278:M278"/>
    <mergeCell ref="D288:E288"/>
    <mergeCell ref="E333:O333"/>
    <mergeCell ref="B246:D246"/>
    <mergeCell ref="A71:O71"/>
    <mergeCell ref="E28:F28"/>
    <mergeCell ref="B274:C274"/>
    <mergeCell ref="G251:J251"/>
    <mergeCell ref="E245:F245"/>
    <mergeCell ref="M30:N30"/>
    <mergeCell ref="E30:F30"/>
    <mergeCell ref="A171:O171"/>
    <mergeCell ref="B267:C267"/>
    <mergeCell ref="D292:E292"/>
    <mergeCell ref="G253:J253"/>
    <mergeCell ref="G240:J240"/>
    <mergeCell ref="B269:C269"/>
    <mergeCell ref="D294:E294"/>
    <mergeCell ref="E409:O409"/>
    <mergeCell ref="B252:D252"/>
    <mergeCell ref="F294:G294"/>
    <mergeCell ref="E359:O359"/>
    <mergeCell ref="G254:J254"/>
    <mergeCell ref="E199:F199"/>
    <mergeCell ref="E255:F255"/>
    <mergeCell ref="G248:J248"/>
    <mergeCell ref="B325:C325"/>
    <mergeCell ref="E242:F242"/>
    <mergeCell ref="K199:N199"/>
    <mergeCell ref="E217:F217"/>
    <mergeCell ref="G235:J235"/>
    <mergeCell ref="E386:O386"/>
    <mergeCell ref="E392:O392"/>
    <mergeCell ref="A363:C363"/>
    <mergeCell ref="E21:F21"/>
    <mergeCell ref="K245:N245"/>
    <mergeCell ref="E263:F263"/>
    <mergeCell ref="E404:O404"/>
    <mergeCell ref="F289:G289"/>
    <mergeCell ref="D318:E318"/>
    <mergeCell ref="K207:N207"/>
    <mergeCell ref="K263:N263"/>
    <mergeCell ref="A378:C378"/>
    <mergeCell ref="J27:L27"/>
    <mergeCell ref="H325:J325"/>
    <mergeCell ref="A365:C365"/>
    <mergeCell ref="E23:F23"/>
    <mergeCell ref="E194:F194"/>
    <mergeCell ref="K291:M291"/>
    <mergeCell ref="B320:C320"/>
    <mergeCell ref="D320:E320"/>
    <mergeCell ref="E387:O387"/>
    <mergeCell ref="F320:G320"/>
    <mergeCell ref="A3:O3"/>
    <mergeCell ref="B234:D234"/>
    <mergeCell ref="G24:I24"/>
    <mergeCell ref="J25:L25"/>
    <mergeCell ref="B257:D257"/>
    <mergeCell ref="K268:M268"/>
    <mergeCell ref="A5:O5"/>
    <mergeCell ref="G26:I26"/>
    <mergeCell ref="J49:N49"/>
    <mergeCell ref="A27:B27"/>
    <mergeCell ref="D321:E321"/>
    <mergeCell ref="K217:N217"/>
    <mergeCell ref="F321:G321"/>
    <mergeCell ref="A389:C389"/>
    <mergeCell ref="K275:M275"/>
    <mergeCell ref="F315:G315"/>
    <mergeCell ref="E34:F34"/>
    <mergeCell ref="M25:N25"/>
    <mergeCell ref="A161:O161"/>
    <mergeCell ref="A391:C391"/>
    <mergeCell ref="E397:O397"/>
    <mergeCell ref="C36:D36"/>
    <mergeCell ref="M36:N36"/>
    <mergeCell ref="H272:J272"/>
    <mergeCell ref="M33:N33"/>
    <mergeCell ref="E36:F36"/>
    <mergeCell ref="K194:N194"/>
    <mergeCell ref="E334:O334"/>
    <mergeCell ref="A22:B22"/>
    <mergeCell ref="E405:O405"/>
    <mergeCell ref="J38:L38"/>
    <mergeCell ref="H274:J274"/>
    <mergeCell ref="K258:N258"/>
    <mergeCell ref="B275:C275"/>
    <mergeCell ref="H320:J320"/>
    <mergeCell ref="E336:O336"/>
    <mergeCell ref="K10:O10"/>
    <mergeCell ref="A9:B9"/>
    <mergeCell ref="K195:N195"/>
    <mergeCell ref="G231:J231"/>
    <mergeCell ref="K260:N260"/>
    <mergeCell ref="B277:C277"/>
    <mergeCell ref="E400:O400"/>
    <mergeCell ref="F284:G284"/>
    <mergeCell ref="A16:O16"/>
    <mergeCell ref="G37:I37"/>
    <mergeCell ref="A11:B11"/>
    <mergeCell ref="D305:E305"/>
    <mergeCell ref="D270:E270"/>
    <mergeCell ref="A409:C409"/>
    <mergeCell ref="G256:J256"/>
    <mergeCell ref="F292:G292"/>
    <mergeCell ref="F286:G286"/>
    <mergeCell ref="A18:O18"/>
    <mergeCell ref="D310:E310"/>
    <mergeCell ref="K270:M270"/>
    <mergeCell ref="F310:G310"/>
    <mergeCell ref="E200:F200"/>
    <mergeCell ref="K297:M297"/>
    <mergeCell ref="J181:M181"/>
    <mergeCell ref="G247:J247"/>
    <mergeCell ref="K205:N205"/>
    <mergeCell ref="K312:M312"/>
    <mergeCell ref="H267:J267"/>
    <mergeCell ref="G257:J257"/>
    <mergeCell ref="E202:F202"/>
    <mergeCell ref="K299:M299"/>
    <mergeCell ref="A373:C373"/>
    <mergeCell ref="K293:M293"/>
    <mergeCell ref="A404:C404"/>
    <mergeCell ref="K314:M314"/>
    <mergeCell ref="B207:D207"/>
    <mergeCell ref="G32:I32"/>
    <mergeCell ref="M21:N21"/>
    <mergeCell ref="J33:L33"/>
    <mergeCell ref="H269:J269"/>
    <mergeCell ref="A134:O134"/>
    <mergeCell ref="E260:F260"/>
    <mergeCell ref="K8:O8"/>
    <mergeCell ref="B288:C288"/>
    <mergeCell ref="G209:J209"/>
    <mergeCell ref="E26:F26"/>
    <mergeCell ref="E197:F197"/>
    <mergeCell ref="K294:M294"/>
    <mergeCell ref="D323:E323"/>
    <mergeCell ref="K208:N208"/>
    <mergeCell ref="D279:E279"/>
    <mergeCell ref="F323:G323"/>
    <mergeCell ref="F279:G279"/>
    <mergeCell ref="G27:I27"/>
    <mergeCell ref="J28:L28"/>
    <mergeCell ref="B202:D202"/>
    <mergeCell ref="A399:C399"/>
    <mergeCell ref="K325:M325"/>
    <mergeCell ref="J42:N42"/>
    <mergeCell ref="H280:J280"/>
    <mergeCell ref="G204:J204"/>
    <mergeCell ref="F281:G281"/>
    <mergeCell ref="J30:L30"/>
    <mergeCell ref="A162:O162"/>
    <mergeCell ref="E342:O342"/>
    <mergeCell ref="K220:N220"/>
    <mergeCell ref="H295:J295"/>
    <mergeCell ref="E407:O407"/>
    <mergeCell ref="F280:G280"/>
    <mergeCell ref="M34:N34"/>
    <mergeCell ref="J44:N44"/>
    <mergeCell ref="H282:J282"/>
    <mergeCell ref="E213:F213"/>
    <mergeCell ref="G206:J206"/>
    <mergeCell ref="E357:O357"/>
    <mergeCell ref="E344:O344"/>
    <mergeCell ref="A394:C394"/>
    <mergeCell ref="G252:J252"/>
    <mergeCell ref="D48:I48"/>
    <mergeCell ref="K222:N222"/>
    <mergeCell ref="K259:N259"/>
    <mergeCell ref="K234:N234"/>
    <mergeCell ref="K197:N197"/>
    <mergeCell ref="E215:F215"/>
    <mergeCell ref="B276:C276"/>
    <mergeCell ref="D276:E276"/>
    <mergeCell ref="F305:G305"/>
    <mergeCell ref="H296:J296"/>
    <mergeCell ref="F309:G309"/>
    <mergeCell ref="H321:J321"/>
    <mergeCell ref="E337:O337"/>
    <mergeCell ref="E408:O408"/>
    <mergeCell ref="E402:O402"/>
    <mergeCell ref="B255:D255"/>
    <mergeCell ref="B226:D226"/>
    <mergeCell ref="E373:O373"/>
    <mergeCell ref="B278:C278"/>
    <mergeCell ref="E352:O352"/>
    <mergeCell ref="D278:E278"/>
    <mergeCell ref="G20:I20"/>
    <mergeCell ref="F307:G307"/>
    <mergeCell ref="E339:O339"/>
    <mergeCell ref="A17:O17"/>
    <mergeCell ref="A12:B12"/>
    <mergeCell ref="A53:O53"/>
    <mergeCell ref="B222:D222"/>
    <mergeCell ref="A180:O180"/>
    <mergeCell ref="A348:C348"/>
    <mergeCell ref="G22:I22"/>
    <mergeCell ref="E226:F226"/>
    <mergeCell ref="B221:D221"/>
    <mergeCell ref="E370:O370"/>
    <mergeCell ref="G224:J224"/>
    <mergeCell ref="A14:B14"/>
    <mergeCell ref="F311:G311"/>
    <mergeCell ref="A347:C347"/>
    <mergeCell ref="F308:G308"/>
    <mergeCell ref="G199:J199"/>
    <mergeCell ref="C8:J8"/>
    <mergeCell ref="J47:N47"/>
    <mergeCell ref="E228:F228"/>
    <mergeCell ref="A387:C387"/>
    <mergeCell ref="K313:M313"/>
    <mergeCell ref="C32:D32"/>
    <mergeCell ref="M29:N29"/>
    <mergeCell ref="E32:F32"/>
    <mergeCell ref="G263:J263"/>
    <mergeCell ref="M23:N23"/>
    <mergeCell ref="A142:O142"/>
    <mergeCell ref="E355:O355"/>
    <mergeCell ref="E243:F243"/>
    <mergeCell ref="B296:C296"/>
    <mergeCell ref="H276:J276"/>
    <mergeCell ref="J34:L34"/>
    <mergeCell ref="K315:M315"/>
    <mergeCell ref="H270:J270"/>
    <mergeCell ref="K302:M302"/>
    <mergeCell ref="B248:D248"/>
    <mergeCell ref="D271:E271"/>
    <mergeCell ref="D49:I49"/>
    <mergeCell ref="K216:N216"/>
    <mergeCell ref="K210:N210"/>
    <mergeCell ref="J36:L36"/>
    <mergeCell ref="B273:C273"/>
    <mergeCell ref="B291:C291"/>
    <mergeCell ref="G212:J212"/>
    <mergeCell ref="D291:E291"/>
    <mergeCell ref="G33:I33"/>
    <mergeCell ref="F316:G316"/>
    <mergeCell ref="B205:D205"/>
    <mergeCell ref="F301:G301"/>
    <mergeCell ref="D181:I181"/>
    <mergeCell ref="F295:G295"/>
    <mergeCell ref="M20:N20"/>
    <mergeCell ref="A25:B25"/>
    <mergeCell ref="C25:D25"/>
    <mergeCell ref="F282:G282"/>
    <mergeCell ref="E221:F221"/>
    <mergeCell ref="G214:J214"/>
    <mergeCell ref="J31:L31"/>
    <mergeCell ref="B293:C293"/>
    <mergeCell ref="D293:E293"/>
    <mergeCell ref="G35:I35"/>
    <mergeCell ref="A342:C342"/>
    <mergeCell ref="D268:E268"/>
    <mergeCell ref="A336:C336"/>
    <mergeCell ref="J45:N45"/>
    <mergeCell ref="F268:G268"/>
    <mergeCell ref="M22:N22"/>
    <mergeCell ref="K284:M284"/>
    <mergeCell ref="F324:G324"/>
    <mergeCell ref="N181:O181"/>
    <mergeCell ref="A333:C333"/>
    <mergeCell ref="E383:O383"/>
    <mergeCell ref="H298:J298"/>
    <mergeCell ref="A344:C344"/>
    <mergeCell ref="A400:C400"/>
    <mergeCell ref="E385:O385"/>
    <mergeCell ref="H285:J285"/>
    <mergeCell ref="E216:F216"/>
    <mergeCell ref="K244:N244"/>
    <mergeCell ref="E360:O360"/>
    <mergeCell ref="A337:C337"/>
    <mergeCell ref="B200:D200"/>
    <mergeCell ref="B194:D194"/>
    <mergeCell ref="A402:C402"/>
    <mergeCell ref="A20:B20"/>
    <mergeCell ref="E218:F218"/>
    <mergeCell ref="B284:C284"/>
    <mergeCell ref="J51:N51"/>
    <mergeCell ref="G196:J196"/>
    <mergeCell ref="K229:N229"/>
    <mergeCell ref="B236:D236"/>
    <mergeCell ref="K290:M290"/>
    <mergeCell ref="D186:I186"/>
    <mergeCell ref="A13:B13"/>
    <mergeCell ref="A339:C339"/>
    <mergeCell ref="B223:D223"/>
    <mergeCell ref="K6:O6"/>
    <mergeCell ref="A119:O119"/>
    <mergeCell ref="B286:C286"/>
    <mergeCell ref="D286:E286"/>
    <mergeCell ref="B195:D195"/>
  </mergeCells>
  <hyperlinks>
    <hyperlink xmlns:r="http://schemas.openxmlformats.org/officeDocument/2006/relationships" ref="P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8.xml><?xml version="1.0" encoding="utf-8"?>
<worksheet xmlns="http://schemas.openxmlformats.org/spreadsheetml/2006/main">
  <sheetPr>
    <tabColor rgb="00C55A11"/>
    <outlinePr summaryBelow="1" summaryRight="1"/>
    <pageSetUpPr fitToPage="1"/>
  </sheetPr>
  <dimension ref="A1:H31"/>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12" customWidth="1" min="4" max="4"/>
    <col width="12" customWidth="1" min="5" max="5"/>
    <col width="12" customWidth="1" min="6" max="6"/>
    <col width="40" customWidth="1" min="7" max="7"/>
    <col width="13" customWidth="1" min="8" max="8"/>
  </cols>
  <sheetData>
    <row r="1" ht="34" customHeight="1">
      <c r="A1" s="1" t="inlineStr">
        <is>
          <t>Org health — spans, layers and overlap, with the people behind them</t>
        </is>
      </c>
      <c r="H1" s="241" t="inlineStr">
        <is>
          <t>◂ Contents</t>
        </is>
      </c>
    </row>
    <row r="2" ht="32" customHeight="1">
      <c r="A2" s="3" t="inlineStr">
        <is>
          <t>Sheet 12 · Managers with very small or very large teams, the deepest reporting chains, and the sub-family overlap across businesses. Counts and charts: Leadership Dashboard, sheet 0b.</t>
        </is>
      </c>
    </row>
    <row r="3">
      <c r="A3" s="4" t="inlineStr">
        <is>
          <t>IRIS · Job Architecture &amp; Job Design · Final v1.12 · October 2026 · Internal — Confidential</t>
        </is>
      </c>
    </row>
    <row r="4"/>
    <row r="5" ht="20" customHeight="1">
      <c r="A5" s="6" t="inlineStr">
        <is>
          <t>Managers with 2 or fewer, or 10 or more, direct reports — 2</t>
        </is>
      </c>
    </row>
    <row r="6" ht="28" customHeight="1">
      <c r="A6" s="12" t="inlineStr">
        <is>
          <t>Manager</t>
        </is>
      </c>
      <c r="B6" s="12" t="inlineStr">
        <is>
          <t>Business</t>
        </is>
      </c>
      <c r="C6" s="12" t="inlineStr">
        <is>
          <t>Department</t>
        </is>
      </c>
      <c r="D6" s="12" t="inlineStr">
        <is>
          <t>Level</t>
        </is>
      </c>
      <c r="E6" s="12" t="inlineStr">
        <is>
          <t>Direct reports</t>
        </is>
      </c>
      <c r="F6" s="12" t="inlineStr">
        <is>
          <t>Layer</t>
        </is>
      </c>
      <c r="G6" s="12" t="inlineStr">
        <is>
          <t>What to look at</t>
        </is>
      </c>
    </row>
    <row r="7" ht="28" customHeight="1">
      <c r="A7" s="13" t="inlineStr">
        <is>
          <t>Jeevan Khokale</t>
        </is>
      </c>
      <c r="B7" s="16" t="inlineStr">
        <is>
          <t>Datatech</t>
        </is>
      </c>
      <c r="C7" s="16" t="inlineStr">
        <is>
          <t>Datatech - Outreach</t>
        </is>
      </c>
      <c r="D7" s="15" t="inlineStr">
        <is>
          <t>B2</t>
        </is>
      </c>
      <c r="E7" s="15" t="n">
        <v>1</v>
      </c>
      <c r="F7" s="15" t="n">
        <v>3</v>
      </c>
      <c r="G7" s="16" t="inlineStr">
        <is>
          <r>
            <rPr>
              <rFont val="Calibri"/>
              <b val="1"/>
              <sz val="10"/>
            </rPr>
            <t>Very small team:</t>
          </r>
          <r>
            <rPr>
              <rFont val="Calibri"/>
              <sz val="10"/>
            </rPr>
            <t xml:space="preserve"> merge with a neighbouring team or make a POD Lead role</t>
          </r>
        </is>
      </c>
    </row>
    <row r="8" ht="28" customHeight="1">
      <c r="A8" s="13" t="inlineStr">
        <is>
          <t>Akshay Shetty</t>
        </is>
      </c>
      <c r="B8" s="16" t="inlineStr">
        <is>
          <t>Datatech</t>
        </is>
      </c>
      <c r="C8" s="16" t="inlineStr">
        <is>
          <t>Technology</t>
        </is>
      </c>
      <c r="D8" s="15" t="inlineStr">
        <is>
          <t>B2</t>
        </is>
      </c>
      <c r="E8" s="15" t="n">
        <v>2</v>
      </c>
      <c r="F8" s="15" t="n">
        <v>2</v>
      </c>
      <c r="G8" s="16" t="inlineStr">
        <is>
          <r>
            <rPr>
              <rFont val="Calibri"/>
              <b val="1"/>
              <sz val="10"/>
            </rPr>
            <t>Very small team:</t>
          </r>
          <r>
            <rPr>
              <rFont val="Calibri"/>
              <sz val="10"/>
            </rPr>
            <t xml:space="preserve"> merge with a neighbouring team or make a POD Lead role</t>
          </r>
        </is>
      </c>
    </row>
    <row r="9" ht="15" customHeight="1"/>
    <row r="10" ht="20" customHeight="1">
      <c r="A10" s="6" t="inlineStr">
        <is>
          <t>People 8 or more layers from the top — 0</t>
        </is>
      </c>
    </row>
    <row r="11" ht="15" customHeight="1">
      <c r="A11" s="11" t="inlineStr">
        <is>
          <t>Check whether every layer above them is a real management step.</t>
        </is>
      </c>
    </row>
    <row r="12" ht="15" customHeight="1">
      <c r="A12" s="12" t="inlineStr">
        <is>
          <t>Person</t>
        </is>
      </c>
      <c r="B12" s="12" t="inlineStr">
        <is>
          <t>Business</t>
        </is>
      </c>
      <c r="C12" s="12" t="inlineStr">
        <is>
          <t>Department</t>
        </is>
      </c>
      <c r="D12" s="12" t="inlineStr">
        <is>
          <t>Level</t>
        </is>
      </c>
      <c r="E12" s="12" t="inlineStr">
        <is>
          <t>Layer</t>
        </is>
      </c>
      <c r="F12" s="12" t="inlineStr">
        <is>
          <t>Reporting manager</t>
        </is>
      </c>
      <c r="G12" s="209" t="n"/>
    </row>
    <row r="13" ht="15" customHeight="1"/>
    <row r="14" ht="20" customHeight="1">
      <c r="A14" s="6" t="inlineStr">
        <is>
          <t>Sub-family overlap across businesses · people</t>
        </is>
      </c>
    </row>
    <row r="15" ht="15" customHeight="1">
      <c r="A15" s="12" t="inlineStr">
        <is>
          <t>Sub-family · family</t>
        </is>
      </c>
      <c r="B15" s="12" t="inlineStr">
        <is>
          <t>CARBON</t>
        </is>
      </c>
      <c r="C15" s="12" t="inlineStr">
        <is>
          <t>iFile</t>
        </is>
      </c>
      <c r="D15" s="12" t="inlineStr">
        <is>
          <t>iDEAL</t>
        </is>
      </c>
      <c r="E15" s="12" t="inlineStr">
        <is>
          <t>Datatech</t>
        </is>
      </c>
      <c r="F15" s="12" t="inlineStr">
        <is>
          <t>Consume</t>
        </is>
      </c>
      <c r="G15" s="12" t="inlineStr">
        <is>
          <t>Corporate</t>
        </is>
      </c>
    </row>
    <row r="16" ht="28" customHeight="1">
      <c r="A16" s="13" t="inlineStr">
        <is>
          <t>Backend Development · Engineering &amp; Development</t>
        </is>
      </c>
      <c r="B16" s="15" t="n"/>
      <c r="C16" s="15" t="n"/>
      <c r="D16" s="15" t="n"/>
      <c r="E16" s="15" t="n">
        <v>7</v>
      </c>
      <c r="F16" s="15" t="n"/>
      <c r="G16" s="15" t="n"/>
    </row>
    <row r="17" ht="41" customHeight="1">
      <c r="A17" s="13" t="inlineStr">
        <is>
          <t>Brand, Graphic &amp; Video Design · Design &amp; Creative</t>
        </is>
      </c>
      <c r="B17" s="15" t="n"/>
      <c r="C17" s="15" t="n"/>
      <c r="D17" s="15" t="n"/>
      <c r="E17" s="15" t="n">
        <v>1</v>
      </c>
      <c r="F17" s="15" t="n"/>
      <c r="G17" s="15" t="n"/>
    </row>
    <row r="18" ht="41" customHeight="1">
      <c r="A18" s="13" t="inlineStr">
        <is>
          <t>Business &amp; Functional Leadership · Executive Leadership</t>
        </is>
      </c>
      <c r="B18" s="15" t="n"/>
      <c r="C18" s="15" t="n"/>
      <c r="D18" s="15" t="n"/>
      <c r="E18" s="15" t="n">
        <v>1</v>
      </c>
      <c r="F18" s="15" t="n"/>
      <c r="G18" s="15" t="n"/>
    </row>
    <row r="19" ht="28" customHeight="1">
      <c r="A19" s="13" t="inlineStr">
        <is>
          <t>Content Marketing · Marketing &amp; Communications</t>
        </is>
      </c>
      <c r="B19" s="15" t="n"/>
      <c r="C19" s="15" t="n"/>
      <c r="D19" s="15" t="n"/>
      <c r="E19" s="15" t="n">
        <v>1</v>
      </c>
      <c r="F19" s="15" t="n"/>
      <c r="G19" s="15" t="n"/>
    </row>
    <row r="20" ht="41" customHeight="1">
      <c r="A20" s="13" t="inlineStr">
        <is>
          <t>Digital Marketing, Web &amp; Social · Marketing &amp; Communications</t>
        </is>
      </c>
      <c r="B20" s="15" t="n"/>
      <c r="C20" s="15" t="n"/>
      <c r="D20" s="15" t="n"/>
      <c r="E20" s="15" t="n">
        <v>1</v>
      </c>
      <c r="F20" s="15" t="n"/>
      <c r="G20" s="15" t="n"/>
    </row>
    <row r="21" ht="41" customHeight="1">
      <c r="A21" s="13" t="inlineStr">
        <is>
          <t>Field Outreach &amp; Programme Sales · Sales &amp; Business Development</t>
        </is>
      </c>
      <c r="B21" s="15" t="n"/>
      <c r="C21" s="15" t="n"/>
      <c r="D21" s="15" t="n"/>
      <c r="E21" s="15" t="n">
        <v>7</v>
      </c>
      <c r="F21" s="15" t="n"/>
      <c r="G21" s="15" t="n"/>
    </row>
    <row r="22" ht="28" customHeight="1">
      <c r="A22" s="13" t="inlineStr">
        <is>
          <t>Functional &amp; Domain Testing · Quality Assurance</t>
        </is>
      </c>
      <c r="B22" s="15" t="n"/>
      <c r="C22" s="15" t="n"/>
      <c r="D22" s="15" t="n"/>
      <c r="E22" s="15" t="n">
        <v>1</v>
      </c>
      <c r="F22" s="15" t="n"/>
      <c r="G22" s="15" t="n"/>
    </row>
    <row r="23" ht="28" customHeight="1">
      <c r="A23" s="13" t="inlineStr">
        <is>
          <t>MIS &amp; Business Reporting · Data &amp; Analytics</t>
        </is>
      </c>
      <c r="B23" s="15" t="n"/>
      <c r="C23" s="15" t="n"/>
      <c r="D23" s="15" t="n"/>
      <c r="E23" s="15" t="n">
        <v>1</v>
      </c>
      <c r="F23" s="15" t="n"/>
      <c r="G23" s="15" t="n"/>
    </row>
    <row r="24" ht="41" customHeight="1">
      <c r="A24" s="13" t="inlineStr">
        <is>
          <t>Marketing · role not recorded · Marketing &amp; Communications</t>
        </is>
      </c>
      <c r="B24" s="15" t="n"/>
      <c r="C24" s="15" t="n"/>
      <c r="D24" s="15" t="n"/>
      <c r="E24" s="15" t="n">
        <v>1</v>
      </c>
      <c r="F24" s="15" t="n"/>
      <c r="G24" s="15" t="n"/>
    </row>
    <row r="25" ht="41" customHeight="1">
      <c r="A25" s="13" t="inlineStr">
        <is>
          <t>Marketing Leadership · Marketing &amp; Communications</t>
        </is>
      </c>
      <c r="B25" s="15" t="n"/>
      <c r="C25" s="15" t="n"/>
      <c r="D25" s="15" t="n"/>
      <c r="E25" s="15" t="n">
        <v>1</v>
      </c>
      <c r="F25" s="15" t="n"/>
      <c r="G25" s="15" t="n"/>
    </row>
    <row r="26" ht="28" customHeight="1">
      <c r="A26" s="13" t="inlineStr">
        <is>
          <t>Product Management · Product Management</t>
        </is>
      </c>
      <c r="B26" s="15" t="n"/>
      <c r="C26" s="15" t="n"/>
      <c r="D26" s="15" t="n"/>
      <c r="E26" s="15" t="n">
        <v>5</v>
      </c>
      <c r="F26" s="15" t="n"/>
      <c r="G26" s="15" t="n"/>
    </row>
    <row r="27" ht="41" customHeight="1">
      <c r="A27" s="13" t="inlineStr">
        <is>
          <t>Product Operations &amp; Research · Product Management</t>
        </is>
      </c>
      <c r="B27" s="15" t="n"/>
      <c r="C27" s="15" t="n"/>
      <c r="D27" s="15" t="n"/>
      <c r="E27" s="15" t="n">
        <v>1</v>
      </c>
      <c r="F27" s="15" t="n"/>
      <c r="G27" s="15" t="n"/>
    </row>
    <row r="28" ht="28" customHeight="1">
      <c r="A28" s="13" t="inlineStr">
        <is>
          <t>Sales Leadership · Sales &amp; Business Development</t>
        </is>
      </c>
      <c r="B28" s="15" t="n"/>
      <c r="C28" s="15" t="n"/>
      <c r="D28" s="15" t="n"/>
      <c r="E28" s="15" t="n">
        <v>1</v>
      </c>
      <c r="F28" s="15" t="n"/>
      <c r="G28" s="15" t="n"/>
    </row>
    <row r="29" ht="41" customHeight="1">
      <c r="A29" s="13" t="inlineStr">
        <is>
          <t>Solution &amp; Technical Architecture · Engineering &amp; Architecture</t>
        </is>
      </c>
      <c r="B29" s="15" t="n"/>
      <c r="C29" s="15" t="n"/>
      <c r="D29" s="15" t="n"/>
      <c r="E29" s="15" t="n">
        <v>1</v>
      </c>
      <c r="F29" s="15" t="n"/>
      <c r="G29" s="15" t="n"/>
    </row>
    <row r="30" ht="28" customHeight="1">
      <c r="A30" s="13" t="inlineStr">
        <is>
          <t>Test Automation · Quality Assurance</t>
        </is>
      </c>
      <c r="B30" s="15" t="n"/>
      <c r="C30" s="15" t="n"/>
      <c r="D30" s="15" t="n"/>
      <c r="E30" s="15" t="n">
        <v>1</v>
      </c>
      <c r="F30" s="15" t="n"/>
      <c r="G30" s="15" t="n"/>
    </row>
    <row r="31" ht="28" customHeight="1">
      <c r="A31" s="13" t="inlineStr">
        <is>
          <t>UX / UI Design · Design &amp; Creative</t>
        </is>
      </c>
      <c r="B31" s="15" t="n"/>
      <c r="C31" s="15" t="n"/>
      <c r="D31" s="15" t="n"/>
      <c r="E31" s="15" t="n">
        <v>1</v>
      </c>
      <c r="F31" s="15" t="n"/>
      <c r="G31" s="15" t="n"/>
    </row>
  </sheetData>
  <mergeCells count="8">
    <mergeCell ref="A14:G14"/>
    <mergeCell ref="F12:G12"/>
    <mergeCell ref="A1:G1"/>
    <mergeCell ref="A3:G3"/>
    <mergeCell ref="A2:G2"/>
    <mergeCell ref="A11:G11"/>
    <mergeCell ref="A10:G10"/>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2">
    <tablePart xmlns:r="http://schemas.openxmlformats.org/officeDocument/2006/relationships" r:id="rId2"/>
    <tablePart xmlns:r="http://schemas.openxmlformats.org/officeDocument/2006/relationships" r:id="rId3"/>
  </tableParts>
</worksheet>
</file>

<file path=xl/worksheets/sheet19.xml><?xml version="1.0" encoding="utf-8"?>
<worksheet xmlns="http://schemas.openxmlformats.org/spreadsheetml/2006/main">
  <sheetPr>
    <tabColor rgb="001F3864"/>
    <outlinePr summaryBelow="1" summaryRight="1"/>
    <pageSetUpPr fitToPage="1"/>
  </sheetPr>
  <dimension ref="A1:H42"/>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22" customWidth="1" min="3" max="3"/>
    <col width="10" customWidth="1" min="4" max="4"/>
    <col width="10" customWidth="1" min="5" max="5"/>
    <col width="12" customWidth="1" min="6" max="6"/>
    <col width="44" customWidth="1" min="7" max="7"/>
    <col width="13" customWidth="1" min="8" max="8"/>
  </cols>
  <sheetData>
    <row r="1" ht="34" customHeight="1">
      <c r="A1" s="1" t="inlineStr">
        <is>
          <t>Weight sensitivity — would the levels change if the weights moved?</t>
        </is>
      </c>
      <c r="H1" s="241" t="inlineStr">
        <is>
          <t>◂ Contents</t>
        </is>
      </c>
    </row>
    <row r="2" ht="32" customHeight="1">
      <c r="A2" s="3" t="inlineStr">
        <is>
          <t>Sheet 13 · Every placement re-run 30 times, each time moving 5 weight points from one factor to another in every weight set. 24 of 27 scored people keep their level in all 30 runs. Below: each test, then the people whose level moves in 5 or more tests.</t>
        </is>
      </c>
    </row>
    <row r="3">
      <c r="A3" s="4" t="inlineStr">
        <is>
          <t>IRIS · Job Architecture &amp; Job Design · Final v1.12 · October 2026 · Internal — Confidential</t>
        </is>
      </c>
    </row>
    <row r="4"/>
    <row r="5" ht="20" customHeight="1">
      <c r="A5" s="6" t="inlineStr">
        <is>
          <t>The 30 tests</t>
        </is>
      </c>
    </row>
    <row r="6" ht="15" customHeight="1">
      <c r="A6" s="12" t="inlineStr">
        <is>
          <t>Weight change · all sets</t>
        </is>
      </c>
      <c r="B6" s="12" t="inlineStr">
        <is>
          <t>Levels that change</t>
        </is>
      </c>
      <c r="C6" s="209" t="n"/>
      <c r="D6" s="12" t="inlineStr">
        <is>
          <t>Up</t>
        </is>
      </c>
      <c r="E6" s="12" t="inlineStr">
        <is>
          <t>Down</t>
        </is>
      </c>
      <c r="F6" s="12" t="inlineStr">
        <is>
          <t>Share</t>
        </is>
      </c>
      <c r="G6" s="209" t="n"/>
    </row>
    <row r="7" ht="28" customHeight="1">
      <c r="A7" s="16" t="inlineStr">
        <is>
          <t>−5 Complexity → +5 Autonomy</t>
        </is>
      </c>
      <c r="B7" s="15" t="n">
        <v>1</v>
      </c>
      <c r="C7" s="209" t="n"/>
      <c r="D7" s="15" t="n">
        <v>0</v>
      </c>
      <c r="E7" s="15" t="n">
        <v>1</v>
      </c>
      <c r="F7" s="15" t="inlineStr">
        <is>
          <t>3.7%</t>
        </is>
      </c>
      <c r="G7" s="209" t="n"/>
    </row>
    <row r="8" ht="28" customHeight="1">
      <c r="A8" s="16" t="inlineStr">
        <is>
          <t>−5 Complexity → +5 Accountability</t>
        </is>
      </c>
      <c r="B8" s="15" t="n">
        <v>1</v>
      </c>
      <c r="C8" s="209" t="n"/>
      <c r="D8" s="15" t="n">
        <v>0</v>
      </c>
      <c r="E8" s="15" t="n">
        <v>1</v>
      </c>
      <c r="F8" s="15" t="inlineStr">
        <is>
          <t>3.7%</t>
        </is>
      </c>
      <c r="G8" s="209" t="n"/>
    </row>
    <row r="9" ht="28" customHeight="1">
      <c r="A9" s="16" t="inlineStr">
        <is>
          <t>−5 Complexity → +5 Leadership</t>
        </is>
      </c>
      <c r="B9" s="15" t="n">
        <v>1</v>
      </c>
      <c r="C9" s="209" t="n"/>
      <c r="D9" s="15" t="n">
        <v>0</v>
      </c>
      <c r="E9" s="15" t="n">
        <v>1</v>
      </c>
      <c r="F9" s="15" t="inlineStr">
        <is>
          <t>3.7%</t>
        </is>
      </c>
      <c r="G9" s="209" t="n"/>
    </row>
    <row r="10" ht="28" customHeight="1">
      <c r="A10" s="16" t="inlineStr">
        <is>
          <t>−5 Complexity → +5 Experience</t>
        </is>
      </c>
      <c r="B10" s="15" t="n">
        <v>1</v>
      </c>
      <c r="C10" s="209" t="n"/>
      <c r="D10" s="15" t="n">
        <v>0</v>
      </c>
      <c r="E10" s="15" t="n">
        <v>1</v>
      </c>
      <c r="F10" s="15" t="inlineStr">
        <is>
          <t>3.7%</t>
        </is>
      </c>
      <c r="G10" s="209" t="n"/>
    </row>
    <row r="11" ht="28" customHeight="1">
      <c r="A11" s="16" t="inlineStr">
        <is>
          <t>−5 Complexity → +5 Business impact</t>
        </is>
      </c>
      <c r="B11" s="15" t="n">
        <v>1</v>
      </c>
      <c r="C11" s="209" t="n"/>
      <c r="D11" s="15" t="n">
        <v>0</v>
      </c>
      <c r="E11" s="15" t="n">
        <v>1</v>
      </c>
      <c r="F11" s="15" t="inlineStr">
        <is>
          <t>3.7%</t>
        </is>
      </c>
      <c r="G11" s="209" t="n"/>
    </row>
    <row r="12" ht="28" customHeight="1">
      <c r="A12" s="16" t="inlineStr">
        <is>
          <t>−5 Autonomy → +5 Complexity</t>
        </is>
      </c>
      <c r="B12" s="15" t="n">
        <v>1</v>
      </c>
      <c r="C12" s="209" t="n"/>
      <c r="D12" s="15" t="n">
        <v>0</v>
      </c>
      <c r="E12" s="15" t="n">
        <v>1</v>
      </c>
      <c r="F12" s="15" t="inlineStr">
        <is>
          <t>3.7%</t>
        </is>
      </c>
      <c r="G12" s="209" t="n"/>
    </row>
    <row r="13" ht="28" customHeight="1">
      <c r="A13" s="16" t="inlineStr">
        <is>
          <t>−5 Autonomy → +5 Accountability</t>
        </is>
      </c>
      <c r="B13" s="15" t="n">
        <v>1</v>
      </c>
      <c r="C13" s="209" t="n"/>
      <c r="D13" s="15" t="n">
        <v>0</v>
      </c>
      <c r="E13" s="15" t="n">
        <v>1</v>
      </c>
      <c r="F13" s="15" t="inlineStr">
        <is>
          <t>3.7%</t>
        </is>
      </c>
      <c r="G13" s="209" t="n"/>
    </row>
    <row r="14" ht="28" customHeight="1">
      <c r="A14" s="16" t="inlineStr">
        <is>
          <t>−5 Autonomy → +5 Leadership</t>
        </is>
      </c>
      <c r="B14" s="15" t="n">
        <v>1</v>
      </c>
      <c r="C14" s="209" t="n"/>
      <c r="D14" s="15" t="n">
        <v>0</v>
      </c>
      <c r="E14" s="15" t="n">
        <v>1</v>
      </c>
      <c r="F14" s="15" t="inlineStr">
        <is>
          <t>3.7%</t>
        </is>
      </c>
      <c r="G14" s="209" t="n"/>
    </row>
    <row r="15" ht="28" customHeight="1">
      <c r="A15" s="16" t="inlineStr">
        <is>
          <t>−5 Autonomy → +5 Experience</t>
        </is>
      </c>
      <c r="B15" s="15" t="n">
        <v>1</v>
      </c>
      <c r="C15" s="209" t="n"/>
      <c r="D15" s="15" t="n">
        <v>0</v>
      </c>
      <c r="E15" s="15" t="n">
        <v>1</v>
      </c>
      <c r="F15" s="15" t="inlineStr">
        <is>
          <t>3.7%</t>
        </is>
      </c>
      <c r="G15" s="209" t="n"/>
    </row>
    <row r="16" ht="28" customHeight="1">
      <c r="A16" s="16" t="inlineStr">
        <is>
          <t>−5 Autonomy → +5 Business impact</t>
        </is>
      </c>
      <c r="B16" s="15" t="n">
        <v>1</v>
      </c>
      <c r="C16" s="209" t="n"/>
      <c r="D16" s="15" t="n">
        <v>0</v>
      </c>
      <c r="E16" s="15" t="n">
        <v>1</v>
      </c>
      <c r="F16" s="15" t="inlineStr">
        <is>
          <t>3.7%</t>
        </is>
      </c>
      <c r="G16" s="209" t="n"/>
    </row>
    <row r="17" ht="28" customHeight="1">
      <c r="A17" s="16" t="inlineStr">
        <is>
          <t>−5 Accountability → +5 Complexity</t>
        </is>
      </c>
      <c r="B17" s="15" t="n">
        <v>1</v>
      </c>
      <c r="C17" s="209" t="n"/>
      <c r="D17" s="15" t="n">
        <v>0</v>
      </c>
      <c r="E17" s="15" t="n">
        <v>1</v>
      </c>
      <c r="F17" s="15" t="inlineStr">
        <is>
          <t>3.7%</t>
        </is>
      </c>
      <c r="G17" s="209" t="n"/>
    </row>
    <row r="18" ht="28" customHeight="1">
      <c r="A18" s="16" t="inlineStr">
        <is>
          <t>−5 Accountability → +5 Autonomy</t>
        </is>
      </c>
      <c r="B18" s="15" t="n">
        <v>1</v>
      </c>
      <c r="C18" s="209" t="n"/>
      <c r="D18" s="15" t="n">
        <v>0</v>
      </c>
      <c r="E18" s="15" t="n">
        <v>1</v>
      </c>
      <c r="F18" s="15" t="inlineStr">
        <is>
          <t>3.7%</t>
        </is>
      </c>
      <c r="G18" s="209" t="n"/>
    </row>
    <row r="19" ht="28" customHeight="1">
      <c r="A19" s="16" t="inlineStr">
        <is>
          <t>−5 Accountability → +5 Leadership</t>
        </is>
      </c>
      <c r="B19" s="15" t="n">
        <v>1</v>
      </c>
      <c r="C19" s="209" t="n"/>
      <c r="D19" s="15" t="n">
        <v>0</v>
      </c>
      <c r="E19" s="15" t="n">
        <v>1</v>
      </c>
      <c r="F19" s="15" t="inlineStr">
        <is>
          <t>3.7%</t>
        </is>
      </c>
      <c r="G19" s="209" t="n"/>
    </row>
    <row r="20" ht="28" customHeight="1">
      <c r="A20" s="16" t="inlineStr">
        <is>
          <t>−5 Accountability → +5 Experience</t>
        </is>
      </c>
      <c r="B20" s="15" t="n">
        <v>1</v>
      </c>
      <c r="C20" s="209" t="n"/>
      <c r="D20" s="15" t="n">
        <v>0</v>
      </c>
      <c r="E20" s="15" t="n">
        <v>1</v>
      </c>
      <c r="F20" s="15" t="inlineStr">
        <is>
          <t>3.7%</t>
        </is>
      </c>
      <c r="G20" s="209" t="n"/>
    </row>
    <row r="21" ht="28" customHeight="1">
      <c r="A21" s="16" t="inlineStr">
        <is>
          <t>−5 Accountability → +5 Business impact</t>
        </is>
      </c>
      <c r="B21" s="15" t="n">
        <v>1</v>
      </c>
      <c r="C21" s="209" t="n"/>
      <c r="D21" s="15" t="n">
        <v>0</v>
      </c>
      <c r="E21" s="15" t="n">
        <v>1</v>
      </c>
      <c r="F21" s="15" t="inlineStr">
        <is>
          <t>3.7%</t>
        </is>
      </c>
      <c r="G21" s="209" t="n"/>
    </row>
    <row r="22" ht="28" customHeight="1">
      <c r="A22" s="16" t="inlineStr">
        <is>
          <t>−5 Leadership → +5 Complexity</t>
        </is>
      </c>
      <c r="B22" s="15" t="n">
        <v>1</v>
      </c>
      <c r="C22" s="209" t="n"/>
      <c r="D22" s="15" t="n">
        <v>0</v>
      </c>
      <c r="E22" s="15" t="n">
        <v>1</v>
      </c>
      <c r="F22" s="15" t="inlineStr">
        <is>
          <t>3.7%</t>
        </is>
      </c>
      <c r="G22" s="209" t="n"/>
    </row>
    <row r="23" ht="28" customHeight="1">
      <c r="A23" s="16" t="inlineStr">
        <is>
          <t>−5 Leadership → +5 Autonomy</t>
        </is>
      </c>
      <c r="B23" s="15" t="n">
        <v>1</v>
      </c>
      <c r="C23" s="209" t="n"/>
      <c r="D23" s="15" t="n">
        <v>0</v>
      </c>
      <c r="E23" s="15" t="n">
        <v>1</v>
      </c>
      <c r="F23" s="15" t="inlineStr">
        <is>
          <t>3.7%</t>
        </is>
      </c>
      <c r="G23" s="209" t="n"/>
    </row>
    <row r="24" ht="28" customHeight="1">
      <c r="A24" s="16" t="inlineStr">
        <is>
          <t>−5 Leadership → +5 Accountability</t>
        </is>
      </c>
      <c r="B24" s="15" t="n">
        <v>1</v>
      </c>
      <c r="C24" s="209" t="n"/>
      <c r="D24" s="15" t="n">
        <v>0</v>
      </c>
      <c r="E24" s="15" t="n">
        <v>1</v>
      </c>
      <c r="F24" s="15" t="inlineStr">
        <is>
          <t>3.7%</t>
        </is>
      </c>
      <c r="G24" s="209" t="n"/>
    </row>
    <row r="25" ht="28" customHeight="1">
      <c r="A25" s="16" t="inlineStr">
        <is>
          <t>−5 Leadership → +5 Experience</t>
        </is>
      </c>
      <c r="B25" s="15" t="n">
        <v>1</v>
      </c>
      <c r="C25" s="209" t="n"/>
      <c r="D25" s="15" t="n">
        <v>0</v>
      </c>
      <c r="E25" s="15" t="n">
        <v>1</v>
      </c>
      <c r="F25" s="15" t="inlineStr">
        <is>
          <t>3.7%</t>
        </is>
      </c>
      <c r="G25" s="209" t="n"/>
    </row>
    <row r="26" ht="28" customHeight="1">
      <c r="A26" s="16" t="inlineStr">
        <is>
          <t>−5 Leadership → +5 Business impact</t>
        </is>
      </c>
      <c r="B26" s="15" t="n">
        <v>1</v>
      </c>
      <c r="C26" s="209" t="n"/>
      <c r="D26" s="15" t="n">
        <v>0</v>
      </c>
      <c r="E26" s="15" t="n">
        <v>1</v>
      </c>
      <c r="F26" s="15" t="inlineStr">
        <is>
          <t>3.7%</t>
        </is>
      </c>
      <c r="G26" s="209" t="n"/>
    </row>
    <row r="27" ht="28" customHeight="1">
      <c r="A27" s="16" t="inlineStr">
        <is>
          <t>−5 Experience → +5 Complexity</t>
        </is>
      </c>
      <c r="B27" s="15" t="n">
        <v>2</v>
      </c>
      <c r="C27" s="209" t="n"/>
      <c r="D27" s="15" t="n">
        <v>0</v>
      </c>
      <c r="E27" s="15" t="n">
        <v>2</v>
      </c>
      <c r="F27" s="15" t="inlineStr">
        <is>
          <t>7.4%</t>
        </is>
      </c>
      <c r="G27" s="209" t="n"/>
    </row>
    <row r="28" ht="28" customHeight="1">
      <c r="A28" s="16" t="inlineStr">
        <is>
          <t>−5 Experience → +5 Autonomy</t>
        </is>
      </c>
      <c r="B28" s="15" t="n">
        <v>2</v>
      </c>
      <c r="C28" s="209" t="n"/>
      <c r="D28" s="15" t="n">
        <v>0</v>
      </c>
      <c r="E28" s="15" t="n">
        <v>2</v>
      </c>
      <c r="F28" s="15" t="inlineStr">
        <is>
          <t>7.4%</t>
        </is>
      </c>
      <c r="G28" s="209" t="n"/>
    </row>
    <row r="29" ht="28" customHeight="1">
      <c r="A29" s="16" t="inlineStr">
        <is>
          <t>−5 Experience → +5 Accountability</t>
        </is>
      </c>
      <c r="B29" s="15" t="n">
        <v>2</v>
      </c>
      <c r="C29" s="209" t="n"/>
      <c r="D29" s="15" t="n">
        <v>0</v>
      </c>
      <c r="E29" s="15" t="n">
        <v>2</v>
      </c>
      <c r="F29" s="15" t="inlineStr">
        <is>
          <t>7.4%</t>
        </is>
      </c>
      <c r="G29" s="209" t="n"/>
    </row>
    <row r="30" ht="28" customHeight="1">
      <c r="A30" s="16" t="inlineStr">
        <is>
          <t>−5 Experience → +5 Leadership</t>
        </is>
      </c>
      <c r="B30" s="15" t="n">
        <v>3</v>
      </c>
      <c r="C30" s="209" t="n"/>
      <c r="D30" s="15" t="n">
        <v>0</v>
      </c>
      <c r="E30" s="15" t="n">
        <v>3</v>
      </c>
      <c r="F30" s="15" t="inlineStr">
        <is>
          <t>11.1%</t>
        </is>
      </c>
      <c r="G30" s="209" t="n"/>
    </row>
    <row r="31" ht="28" customHeight="1">
      <c r="A31" s="16" t="inlineStr">
        <is>
          <t>−5 Experience → +5 Business impact</t>
        </is>
      </c>
      <c r="B31" s="15" t="n">
        <v>2</v>
      </c>
      <c r="C31" s="209" t="n"/>
      <c r="D31" s="15" t="n">
        <v>0</v>
      </c>
      <c r="E31" s="15" t="n">
        <v>2</v>
      </c>
      <c r="F31" s="15" t="inlineStr">
        <is>
          <t>7.4%</t>
        </is>
      </c>
      <c r="G31" s="209" t="n"/>
    </row>
    <row r="32" ht="28" customHeight="1">
      <c r="A32" s="16" t="inlineStr">
        <is>
          <t>−5 Business impact → +5 Complexity</t>
        </is>
      </c>
      <c r="B32" s="15" t="n">
        <v>1</v>
      </c>
      <c r="C32" s="209" t="n"/>
      <c r="D32" s="15" t="n">
        <v>0</v>
      </c>
      <c r="E32" s="15" t="n">
        <v>1</v>
      </c>
      <c r="F32" s="15" t="inlineStr">
        <is>
          <t>3.7%</t>
        </is>
      </c>
      <c r="G32" s="209" t="n"/>
    </row>
    <row r="33" ht="28" customHeight="1">
      <c r="A33" s="16" t="inlineStr">
        <is>
          <t>−5 Business impact → +5 Autonomy</t>
        </is>
      </c>
      <c r="B33" s="15" t="n">
        <v>1</v>
      </c>
      <c r="C33" s="209" t="n"/>
      <c r="D33" s="15" t="n">
        <v>0</v>
      </c>
      <c r="E33" s="15" t="n">
        <v>1</v>
      </c>
      <c r="F33" s="15" t="inlineStr">
        <is>
          <t>3.7%</t>
        </is>
      </c>
      <c r="G33" s="209" t="n"/>
    </row>
    <row r="34" ht="28" customHeight="1">
      <c r="A34" s="16" t="inlineStr">
        <is>
          <t>−5 Business impact → +5 Accountability</t>
        </is>
      </c>
      <c r="B34" s="15" t="n">
        <v>1</v>
      </c>
      <c r="C34" s="209" t="n"/>
      <c r="D34" s="15" t="n">
        <v>0</v>
      </c>
      <c r="E34" s="15" t="n">
        <v>1</v>
      </c>
      <c r="F34" s="15" t="inlineStr">
        <is>
          <t>3.7%</t>
        </is>
      </c>
      <c r="G34" s="209" t="n"/>
    </row>
    <row r="35" ht="28" customHeight="1">
      <c r="A35" s="16" t="inlineStr">
        <is>
          <t>−5 Business impact → +5 Leadership</t>
        </is>
      </c>
      <c r="B35" s="15" t="n">
        <v>1</v>
      </c>
      <c r="C35" s="209" t="n"/>
      <c r="D35" s="15" t="n">
        <v>0</v>
      </c>
      <c r="E35" s="15" t="n">
        <v>1</v>
      </c>
      <c r="F35" s="15" t="inlineStr">
        <is>
          <t>3.7%</t>
        </is>
      </c>
      <c r="G35" s="209" t="n"/>
    </row>
    <row r="36" ht="28" customHeight="1">
      <c r="A36" s="16" t="inlineStr">
        <is>
          <t>−5 Business impact → +5 Experience</t>
        </is>
      </c>
      <c r="B36" s="15" t="n">
        <v>1</v>
      </c>
      <c r="C36" s="209" t="n"/>
      <c r="D36" s="15" t="n">
        <v>0</v>
      </c>
      <c r="E36" s="15" t="n">
        <v>1</v>
      </c>
      <c r="F36" s="15" t="inlineStr">
        <is>
          <t>3.7%</t>
        </is>
      </c>
      <c r="G36" s="209" t="n"/>
    </row>
    <row r="37" ht="15" customHeight="1"/>
    <row r="38" ht="20" customHeight="1">
      <c r="A38" s="6" t="inlineStr">
        <is>
          <t>People whose level moves in 5 or more of the 30 tests — 2</t>
        </is>
      </c>
    </row>
    <row r="39" ht="15" customHeight="1">
      <c r="A39" s="11" t="inlineStr">
        <is>
          <r>
            <rPr>
              <rFont val="Calibri"/>
              <b val="1"/>
              <i val="1"/>
              <color rgb="00595959"/>
              <sz val="10"/>
            </rPr>
            <t>Their placement depends on the exact weights:</t>
          </r>
          <r>
            <rPr>
              <rFont val="Calibri"/>
              <i val="1"/>
              <color rgb="00595959"/>
              <sz val="10"/>
            </rPr>
            <t xml:space="preserve"> calibrate them first.</t>
          </r>
        </is>
      </c>
    </row>
    <row r="40" ht="28" customHeight="1">
      <c r="A40" s="12" t="inlineStr">
        <is>
          <t>Person</t>
        </is>
      </c>
      <c r="B40" s="12" t="inlineStr">
        <is>
          <t>Business</t>
        </is>
      </c>
      <c r="C40" s="12" t="inlineStr">
        <is>
          <t>Department</t>
        </is>
      </c>
      <c r="D40" s="12" t="inlineStr">
        <is>
          <t>Level</t>
        </is>
      </c>
      <c r="E40" s="12" t="inlineStr">
        <is>
          <t>Score</t>
        </is>
      </c>
      <c r="F40" s="12" t="inlineStr">
        <is>
          <t>Tests that move it</t>
        </is>
      </c>
      <c r="G40" s="12" t="inlineStr">
        <is>
          <t>Final designation</t>
        </is>
      </c>
    </row>
    <row r="41" ht="28" customHeight="1">
      <c r="A41" s="13" t="inlineStr">
        <is>
          <t>Shilpa Dhobale</t>
        </is>
      </c>
      <c r="B41" s="16" t="inlineStr">
        <is>
          <t>Datatech</t>
        </is>
      </c>
      <c r="C41" s="16" t="inlineStr">
        <is>
          <t>Datatech Business Head</t>
        </is>
      </c>
      <c r="D41" s="15" t="inlineStr">
        <is>
          <t>D2</t>
        </is>
      </c>
      <c r="E41" s="15" t="n">
        <v>8.81</v>
      </c>
      <c r="F41" s="15" t="n">
        <v>30</v>
      </c>
      <c r="G41" s="16" t="inlineStr">
        <is>
          <t>Business Head – DataTech</t>
        </is>
      </c>
    </row>
    <row r="42" ht="15" customHeight="1">
      <c r="A42" s="13" t="inlineStr">
        <is>
          <t>Akshay Shetty</t>
        </is>
      </c>
      <c r="B42" s="16" t="inlineStr">
        <is>
          <t>Datatech</t>
        </is>
      </c>
      <c r="C42" s="16" t="inlineStr">
        <is>
          <t>Technology</t>
        </is>
      </c>
      <c r="D42" s="15" t="inlineStr">
        <is>
          <t>B2</t>
        </is>
      </c>
      <c r="E42" s="15" t="n">
        <v>4.59</v>
      </c>
      <c r="F42" s="15" t="n">
        <v>5</v>
      </c>
      <c r="G42" s="16" t="inlineStr">
        <is>
          <t>Senior Technical Specialist – POD Lead</t>
        </is>
      </c>
    </row>
  </sheetData>
  <mergeCells count="68">
    <mergeCell ref="F11:G11"/>
    <mergeCell ref="B16:C16"/>
    <mergeCell ref="B7:C7"/>
    <mergeCell ref="B25:C25"/>
    <mergeCell ref="F10:G10"/>
    <mergeCell ref="F16:G16"/>
    <mergeCell ref="F29:G29"/>
    <mergeCell ref="F19:G19"/>
    <mergeCell ref="F25:G25"/>
    <mergeCell ref="F34:G34"/>
    <mergeCell ref="B22:C22"/>
    <mergeCell ref="F6:G6"/>
    <mergeCell ref="A38:G38"/>
    <mergeCell ref="B31:C31"/>
    <mergeCell ref="B27:C27"/>
    <mergeCell ref="B18:C18"/>
    <mergeCell ref="F7:G7"/>
    <mergeCell ref="B12:C12"/>
    <mergeCell ref="F21:G21"/>
    <mergeCell ref="B21:C21"/>
    <mergeCell ref="F12:G12"/>
    <mergeCell ref="F24:G24"/>
    <mergeCell ref="F30:G30"/>
    <mergeCell ref="B11:C11"/>
    <mergeCell ref="F15:G15"/>
    <mergeCell ref="A39:G39"/>
    <mergeCell ref="F20:G20"/>
    <mergeCell ref="F18:G18"/>
    <mergeCell ref="B23:C23"/>
    <mergeCell ref="F33:G33"/>
    <mergeCell ref="B14:C14"/>
    <mergeCell ref="F36:G36"/>
    <mergeCell ref="F32:G32"/>
    <mergeCell ref="B17:C17"/>
    <mergeCell ref="F26:G26"/>
    <mergeCell ref="B8:C8"/>
    <mergeCell ref="F17:G17"/>
    <mergeCell ref="F35:G35"/>
    <mergeCell ref="F8:G8"/>
    <mergeCell ref="B13:C13"/>
    <mergeCell ref="A1:G1"/>
    <mergeCell ref="B29:C29"/>
    <mergeCell ref="B19:C19"/>
    <mergeCell ref="B34:C34"/>
    <mergeCell ref="B10:C10"/>
    <mergeCell ref="F23:G23"/>
    <mergeCell ref="B28:C28"/>
    <mergeCell ref="F31:G31"/>
    <mergeCell ref="F22:G22"/>
    <mergeCell ref="F28:G28"/>
    <mergeCell ref="F13:G13"/>
    <mergeCell ref="B9:C9"/>
    <mergeCell ref="F27:G27"/>
    <mergeCell ref="F9:G9"/>
    <mergeCell ref="B6:C6"/>
    <mergeCell ref="B24:C24"/>
    <mergeCell ref="B30:C30"/>
    <mergeCell ref="B15:C15"/>
    <mergeCell ref="B33:C33"/>
    <mergeCell ref="A3:G3"/>
    <mergeCell ref="B20:C20"/>
    <mergeCell ref="B36:C36"/>
    <mergeCell ref="A2:G2"/>
    <mergeCell ref="B32:C32"/>
    <mergeCell ref="F14:G14"/>
    <mergeCell ref="B26:C26"/>
    <mergeCell ref="B35:C35"/>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0.xml><?xml version="1.0" encoding="utf-8"?>
<worksheet xmlns="http://schemas.openxmlformats.org/spreadsheetml/2006/main">
  <sheetPr>
    <tabColor rgb="00C55A11"/>
    <outlinePr summaryBelow="1" summaryRight="1"/>
    <pageSetUpPr fitToPage="1"/>
  </sheetPr>
  <dimension ref="A1:I16"/>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26" customWidth="1" min="4" max="4"/>
    <col width="10" customWidth="1" min="5" max="5"/>
    <col width="10" customWidth="1" min="6" max="6"/>
    <col width="10" customWidth="1" min="7" max="7"/>
    <col width="30" customWidth="1" min="8" max="8"/>
    <col width="13" customWidth="1" min="9" max="9"/>
  </cols>
  <sheetData>
    <row r="1" ht="34" customHeight="1">
      <c r="A1" s="1" t="inlineStr">
        <is>
          <t>A3 deep-dive — who is close to B1?</t>
        </is>
      </c>
      <c r="I1" s="241" t="inlineStr">
        <is>
          <t>◂ Contents</t>
        </is>
      </c>
    </row>
    <row r="2" ht="32" customHeight="1">
      <c r="A2" s="3" t="inlineStr">
        <is>
          <t>Sheet 14 · 10 employees at A3. 'Gap to B1' = 3.5 minus the person's score on Band B's own weights · B's entry point. Within 0.25: check whether the role already carries B1 work. Long tenure at A3 with a large gap: widen the role, or pay at the top of the A3 range.</t>
        </is>
      </c>
    </row>
    <row r="3">
      <c r="A3" s="4" t="inlineStr">
        <is>
          <t>IRIS · Job Architecture &amp; Job Design · Final v1.12 · October 2026 · Internal — Confidential</t>
        </is>
      </c>
    </row>
    <row r="4"/>
    <row r="5" ht="20" customHeight="1">
      <c r="A5" s="6" t="inlineStr">
        <is>
          <t>Everyone at A3, closest to B1 first</t>
        </is>
      </c>
    </row>
    <row r="6" ht="28" customHeight="1">
      <c r="A6" s="12" t="inlineStr">
        <is>
          <t>Person</t>
        </is>
      </c>
      <c r="B6" s="12" t="inlineStr">
        <is>
          <t>Business</t>
        </is>
      </c>
      <c r="C6" s="12" t="inlineStr">
        <is>
          <t>Department</t>
        </is>
      </c>
      <c r="D6" s="12" t="inlineStr">
        <is>
          <t>Designation</t>
        </is>
      </c>
      <c r="E6" s="12" t="inlineStr">
        <is>
          <t>Total exp. · yrs</t>
        </is>
      </c>
      <c r="F6" s="12" t="inlineStr">
        <is>
          <t>Score</t>
        </is>
      </c>
      <c r="G6" s="12" t="inlineStr">
        <is>
          <t>Gap to B1</t>
        </is>
      </c>
      <c r="H6" s="12" t="inlineStr">
        <is>
          <t>Group</t>
        </is>
      </c>
    </row>
    <row r="7" ht="28" customHeight="1">
      <c r="A7" s="13" t="inlineStr">
        <is>
          <t>Lalit Subhash Dhamale</t>
        </is>
      </c>
      <c r="B7" s="16" t="inlineStr">
        <is>
          <t>Datatech</t>
        </is>
      </c>
      <c r="C7" s="16" t="inlineStr">
        <is>
          <t>Marketing</t>
        </is>
      </c>
      <c r="D7" s="16" t="inlineStr">
        <is>
          <t>Senior Digital Marketing Associate</t>
        </is>
      </c>
      <c r="E7" s="15" t="n">
        <v>2.9</v>
      </c>
      <c r="F7" s="15" t="n">
        <v>2.95</v>
      </c>
      <c r="G7" s="15" t="n">
        <v>0.6</v>
      </c>
      <c r="H7" s="16" t="inlineStr">
        <is>
          <t>0.5–1.0 from B1</t>
        </is>
      </c>
    </row>
    <row r="8" ht="15" customHeight="1">
      <c r="A8" s="13" t="inlineStr">
        <is>
          <t>Utkarsh Sagar Bafana</t>
        </is>
      </c>
      <c r="B8" s="16" t="inlineStr">
        <is>
          <t>Datatech</t>
        </is>
      </c>
      <c r="C8" s="16" t="inlineStr">
        <is>
          <t>Technology</t>
        </is>
      </c>
      <c r="D8" s="16" t="inlineStr">
        <is>
          <t>Senior Product Designer</t>
        </is>
      </c>
      <c r="E8" s="15" t="n">
        <v>4.6</v>
      </c>
      <c r="F8" s="15" t="n">
        <v>2.6</v>
      </c>
      <c r="G8" s="15" t="n">
        <v>0.95</v>
      </c>
      <c r="H8" s="16" t="inlineStr">
        <is>
          <t>0.5–1.0 from B1</t>
        </is>
      </c>
    </row>
    <row r="9" ht="15" customHeight="1">
      <c r="A9" s="13" t="inlineStr">
        <is>
          <t>Shivam Dhumal</t>
        </is>
      </c>
      <c r="B9" s="16" t="inlineStr">
        <is>
          <t>Datatech</t>
        </is>
      </c>
      <c r="C9" s="16" t="inlineStr">
        <is>
          <t>Technology</t>
        </is>
      </c>
      <c r="D9" s="16" t="inlineStr">
        <is>
          <t>Senior Software Engineer</t>
        </is>
      </c>
      <c r="E9" s="15" t="n">
        <v>4.6</v>
      </c>
      <c r="F9" s="15" t="n">
        <v>2.55</v>
      </c>
      <c r="G9" s="15" t="n">
        <v>1.02</v>
      </c>
      <c r="H9" s="16" t="inlineStr">
        <is>
          <t>More than 1.0 from B1</t>
        </is>
      </c>
    </row>
    <row r="10" ht="15" customHeight="1">
      <c r="A10" s="13" t="inlineStr">
        <is>
          <t>Supriya Patil</t>
        </is>
      </c>
      <c r="B10" s="16" t="inlineStr">
        <is>
          <t>Datatech</t>
        </is>
      </c>
      <c r="C10" s="16" t="inlineStr">
        <is>
          <t>Quality Assurance</t>
        </is>
      </c>
      <c r="D10" s="16" t="inlineStr">
        <is>
          <t>Senior QA Engineer</t>
        </is>
      </c>
      <c r="E10" s="15" t="n">
        <v>7.3</v>
      </c>
      <c r="F10" s="15" t="n">
        <v>2.38</v>
      </c>
      <c r="G10" s="15" t="n">
        <v>1.15</v>
      </c>
      <c r="H10" s="16" t="inlineStr">
        <is>
          <t>More than 1.0 from B1</t>
        </is>
      </c>
    </row>
    <row r="11" ht="28" customHeight="1">
      <c r="A11" s="13" t="inlineStr">
        <is>
          <t>Nalini Niranjan Damisetti</t>
        </is>
      </c>
      <c r="B11" s="16" t="inlineStr">
        <is>
          <t>Datatech</t>
        </is>
      </c>
      <c r="C11" s="16" t="inlineStr">
        <is>
          <t>Datatech - Outreach</t>
        </is>
      </c>
      <c r="D11" s="16" t="inlineStr">
        <is>
          <t>Senior Program Executive</t>
        </is>
      </c>
      <c r="E11" s="15" t="n">
        <v>7.3</v>
      </c>
      <c r="F11" s="15" t="n">
        <v>2.35</v>
      </c>
      <c r="G11" s="15" t="n">
        <v>1.2</v>
      </c>
      <c r="H11" s="16" t="inlineStr">
        <is>
          <t>More than 1.0 from B1</t>
        </is>
      </c>
    </row>
    <row r="12" ht="28" customHeight="1">
      <c r="A12" s="13" t="inlineStr">
        <is>
          <t>Smita Londhe</t>
        </is>
      </c>
      <c r="B12" s="16" t="inlineStr">
        <is>
          <t>Datatech</t>
        </is>
      </c>
      <c r="C12" s="16" t="inlineStr">
        <is>
          <t>Quality Assurance</t>
        </is>
      </c>
      <c r="D12" s="16" t="inlineStr">
        <is>
          <t>Senior QA Automation Engineer</t>
        </is>
      </c>
      <c r="E12" s="15" t="n">
        <v>3.7</v>
      </c>
      <c r="F12" s="15" t="n">
        <v>2.25</v>
      </c>
      <c r="G12" s="15" t="n">
        <v>1.29</v>
      </c>
      <c r="H12" s="16" t="inlineStr">
        <is>
          <t>More than 1.0 from B1</t>
        </is>
      </c>
    </row>
    <row r="13" ht="28" customHeight="1">
      <c r="A13" s="13" t="inlineStr">
        <is>
          <t>Vasundhara Lella</t>
        </is>
      </c>
      <c r="B13" s="16" t="inlineStr">
        <is>
          <t>Datatech</t>
        </is>
      </c>
      <c r="C13" s="16" t="inlineStr">
        <is>
          <t>Marketing</t>
        </is>
      </c>
      <c r="D13" s="16" t="inlineStr">
        <is>
          <t>Senior Content Marketing Associate</t>
        </is>
      </c>
      <c r="E13" s="15" t="n">
        <v>4.3</v>
      </c>
      <c r="F13" s="15" t="n">
        <v>2.21</v>
      </c>
      <c r="G13" s="15" t="n">
        <v>1.34</v>
      </c>
      <c r="H13" s="16" t="inlineStr">
        <is>
          <t>More than 1.0 from B1</t>
        </is>
      </c>
    </row>
    <row r="14" ht="28" customHeight="1">
      <c r="A14" s="13" t="inlineStr">
        <is>
          <t>Bharati Durgaprasad Paranjape</t>
        </is>
      </c>
      <c r="B14" s="16" t="inlineStr">
        <is>
          <t>Datatech</t>
        </is>
      </c>
      <c r="C14" s="16" t="inlineStr">
        <is>
          <t>Datatech - Outreach</t>
        </is>
      </c>
      <c r="D14" s="16" t="inlineStr">
        <is>
          <t>Senior Program Executive</t>
        </is>
      </c>
      <c r="E14" s="15" t="n">
        <v>4.4</v>
      </c>
      <c r="F14" s="15" t="n">
        <v>2.2</v>
      </c>
      <c r="G14" s="15" t="n">
        <v>1.35</v>
      </c>
      <c r="H14" s="16" t="inlineStr">
        <is>
          <t>More than 1.0 from B1</t>
        </is>
      </c>
    </row>
    <row r="15" ht="15" customHeight="1">
      <c r="A15" s="13" t="inlineStr">
        <is>
          <t>Lakshmikantha RN</t>
        </is>
      </c>
      <c r="B15" s="16" t="inlineStr">
        <is>
          <t>Datatech</t>
        </is>
      </c>
      <c r="C15" s="16" t="inlineStr">
        <is>
          <t>Datatech - Outreach</t>
        </is>
      </c>
      <c r="D15" s="16" t="inlineStr">
        <is>
          <t>Senior Program Executive</t>
        </is>
      </c>
      <c r="E15" s="15" t="n">
        <v>2.9</v>
      </c>
      <c r="F15" s="15" t="n">
        <v>2.15</v>
      </c>
      <c r="G15" s="15" t="n">
        <v>1.4</v>
      </c>
      <c r="H15" s="16" t="inlineStr">
        <is>
          <t>More than 1.0 from B1</t>
        </is>
      </c>
    </row>
    <row r="16" ht="15" customHeight="1">
      <c r="A16" s="13" t="inlineStr">
        <is>
          <t>Niraj Santosh Patil</t>
        </is>
      </c>
      <c r="B16" s="16" t="inlineStr">
        <is>
          <t>Datatech</t>
        </is>
      </c>
      <c r="C16" s="16" t="inlineStr">
        <is>
          <t>Technology</t>
        </is>
      </c>
      <c r="D16" s="16" t="inlineStr">
        <is>
          <t>Senior Software Engineer</t>
        </is>
      </c>
      <c r="E16" s="15" t="n">
        <v>2.3</v>
      </c>
      <c r="F16" s="15" t="n">
        <v>2.08</v>
      </c>
      <c r="G16" s="15" t="n">
        <v>1.46</v>
      </c>
      <c r="H16" s="16" t="inlineStr">
        <is>
          <t>More than 1.0 from B1</t>
        </is>
      </c>
    </row>
  </sheetData>
  <mergeCells count="4">
    <mergeCell ref="A3:H3"/>
    <mergeCell ref="A2:H2"/>
    <mergeCell ref="A5:H5"/>
    <mergeCell ref="A1:H1"/>
  </mergeCells>
  <conditionalFormatting sqref="G7:G16">
    <cfRule type="colorScale" priority="1">
      <colorScale>
        <cfvo type="num" val="0"/>
        <cfvo type="num" val="1.5"/>
        <color rgb="00A9D08E"/>
        <color rgb="00FFFFFF"/>
      </colorScale>
    </cfRule>
  </conditionalFormatting>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1.xml><?xml version="1.0" encoding="utf-8"?>
<worksheet xmlns="http://schemas.openxmlformats.org/spreadsheetml/2006/main">
  <sheetPr>
    <tabColor rgb="007030A0"/>
    <outlinePr summaryBelow="1" summaryRight="1"/>
    <pageSetUpPr fitToPage="1"/>
  </sheetPr>
  <dimension ref="A1:I8"/>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6" customWidth="1" min="3" max="3"/>
    <col width="9" customWidth="1" min="4" max="4"/>
    <col width="22" customWidth="1" min="5" max="5"/>
    <col width="34" customWidth="1" min="6" max="6"/>
    <col width="34" customWidth="1" min="7" max="7"/>
    <col width="34" customWidth="1" min="8" max="8"/>
    <col width="13" customWidth="1" min="9" max="9"/>
  </cols>
  <sheetData>
    <row r="1" ht="34" customHeight="1">
      <c r="A1" s="1" t="inlineStr">
        <is>
          <t>Succession — C–E roles and who could step up</t>
        </is>
      </c>
      <c r="I1" s="241" t="inlineStr">
        <is>
          <t>◂ Contents</t>
        </is>
      </c>
    </row>
    <row r="2" ht="32" customHeight="1">
      <c r="A2" s="3" t="inlineStr">
        <is>
          <r>
            <rPr>
              <rFont val="Calibri"/>
              <b val="1"/>
              <i val="1"/>
              <color rgb="00404040"/>
              <sz val="10"/>
            </rPr>
            <t>Sheet 15 · For every role at C1 and above:</t>
          </r>
          <r>
            <rPr>
              <rFont val="Calibri"/>
              <i val="1"/>
              <color rgb="00404040"/>
              <sz val="10"/>
            </rPr>
            <t xml:space="preserve"> people in the same job family, up to three steps below, by readiness · from the talent data on sheet 8. Business and enterprise leaders: anyone at C1 or above in the same business · enterprise roles: any business. Confirm or name successors in calibration.</t>
          </r>
        </is>
      </c>
    </row>
    <row r="3">
      <c r="A3" s="4" t="inlineStr">
        <is>
          <t>IRIS · Job Architecture &amp; Job Design · Final v1.12 · October 2026 · Internal — Confidential</t>
        </is>
      </c>
    </row>
    <row r="4"/>
    <row r="5" ht="15" customHeight="1">
      <c r="A5" s="12" t="inlineStr">
        <is>
          <t>Role holder</t>
        </is>
      </c>
      <c r="B5" s="12" t="inlineStr">
        <is>
          <t>Business</t>
        </is>
      </c>
      <c r="C5" s="12" t="inlineStr">
        <is>
          <t>Role</t>
        </is>
      </c>
      <c r="D5" s="12" t="inlineStr">
        <is>
          <t>Level</t>
        </is>
      </c>
      <c r="E5" s="12" t="inlineStr">
        <is>
          <t>Cover</t>
        </is>
      </c>
      <c r="F5" s="12" t="inlineStr">
        <is>
          <t>Ready now</t>
        </is>
      </c>
      <c r="G5" s="12" t="inlineStr">
        <is>
          <t>Ready in 6–12 months</t>
        </is>
      </c>
      <c r="H5" s="12" t="inlineStr">
        <is>
          <t>High potential</t>
        </is>
      </c>
    </row>
    <row r="6" ht="28" customHeight="1">
      <c r="A6" s="13" t="inlineStr">
        <is>
          <t>Shilpa Dhobale</t>
        </is>
      </c>
      <c r="B6" s="16" t="inlineStr">
        <is>
          <t>Datatech</t>
        </is>
      </c>
      <c r="C6" s="16" t="inlineStr">
        <is>
          <t>Business Head – DataTech</t>
        </is>
      </c>
      <c r="D6" s="15" t="inlineStr">
        <is>
          <t>D2</t>
        </is>
      </c>
      <c r="E6" s="21" t="inlineStr">
        <is>
          <t>No successor identified</t>
        </is>
      </c>
      <c r="F6" s="16" t="inlineStr">
        <is>
          <t>—</t>
        </is>
      </c>
      <c r="G6" s="16" t="inlineStr">
        <is>
          <t>—</t>
        </is>
      </c>
      <c r="H6" s="16" t="inlineStr">
        <is>
          <t>—</t>
        </is>
      </c>
    </row>
    <row r="7" ht="28" customHeight="1">
      <c r="A7" s="13" t="inlineStr">
        <is>
          <t>Abhishek Gite</t>
        </is>
      </c>
      <c r="B7" s="16" t="inlineStr">
        <is>
          <t>Datatech</t>
        </is>
      </c>
      <c r="C7" s="16" t="inlineStr">
        <is>
          <t>Principal – Sales</t>
        </is>
      </c>
      <c r="D7" s="15" t="inlineStr">
        <is>
          <t>C1</t>
        </is>
      </c>
      <c r="E7" s="21" t="inlineStr">
        <is>
          <t>No successor identified</t>
        </is>
      </c>
      <c r="F7" s="16" t="inlineStr">
        <is>
          <t>—</t>
        </is>
      </c>
      <c r="G7" s="16" t="inlineStr">
        <is>
          <t>—</t>
        </is>
      </c>
      <c r="H7" s="16" t="inlineStr">
        <is>
          <t>—</t>
        </is>
      </c>
    </row>
    <row r="8" ht="28" customHeight="1">
      <c r="A8" s="13" t="inlineStr">
        <is>
          <t>Sanghamitra Saxena</t>
        </is>
      </c>
      <c r="B8" s="16" t="inlineStr">
        <is>
          <t>Datatech</t>
        </is>
      </c>
      <c r="C8" s="16" t="inlineStr">
        <is>
          <t>Solution Architect</t>
        </is>
      </c>
      <c r="D8" s="15" t="inlineStr">
        <is>
          <t>C1</t>
        </is>
      </c>
      <c r="E8" s="21" t="inlineStr">
        <is>
          <t>No successor identified</t>
        </is>
      </c>
      <c r="F8" s="16" t="inlineStr">
        <is>
          <t>—</t>
        </is>
      </c>
      <c r="G8" s="16" t="inlineStr">
        <is>
          <t>—</t>
        </is>
      </c>
      <c r="H8" s="16" t="inlineStr">
        <is>
          <t>—</t>
        </is>
      </c>
    </row>
  </sheetData>
  <mergeCells count="3">
    <mergeCell ref="A3:H3"/>
    <mergeCell ref="A2:H2"/>
    <mergeCell ref="A1:H1"/>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2.xml><?xml version="1.0" encoding="utf-8"?>
<worksheet xmlns="http://schemas.openxmlformats.org/spreadsheetml/2006/main">
  <sheetPr>
    <tabColor rgb="00C00000"/>
    <outlinePr summaryBelow="1" summaryRight="1"/>
    <pageSetUpPr fitToPage="1"/>
  </sheetPr>
  <dimension ref="A1:M19"/>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1" customWidth="1" min="2" max="2"/>
    <col width="11" customWidth="1" min="3" max="3"/>
    <col width="18" customWidth="1" min="4" max="4"/>
    <col width="30" customWidth="1" min="5" max="5"/>
    <col width="7" customWidth="1" min="6" max="6"/>
    <col width="9" customWidth="1" min="7" max="7"/>
    <col width="9" customWidth="1" min="8" max="8"/>
    <col width="9" customWidth="1" min="9" max="9"/>
    <col width="9" customWidth="1" min="10" max="10"/>
    <col width="44" customWidth="1" min="11" max="11"/>
    <col width="40" customWidth="1" min="12" max="12"/>
    <col width="13" customWidth="1" min="13" max="13"/>
  </cols>
  <sheetData>
    <row r="1" ht="34" customHeight="1">
      <c r="A1" s="1" t="inlineStr">
        <is>
          <t>Critical roles at risk — where cover is needed first</t>
        </is>
      </c>
      <c r="M1" s="241" t="inlineStr">
        <is>
          <t>◂ Contents</t>
        </is>
      </c>
    </row>
    <row r="2" ht="32" customHeight="1">
      <c r="A2" s="3" t="inlineStr">
        <is>
          <t>Sheet 15a · 14 people whose role is critical, or whose work only they do, with no successor named · 2 high risk. From the survey's 'critical role' and 'only you do this' answers and the successor field; possible cover = people in the same sub-family at or near this level · same product first. Name a successor, document the work and cross-train.</t>
        </is>
      </c>
    </row>
    <row r="3">
      <c r="A3" s="4" t="inlineStr">
        <is>
          <t>IRIS · Job Architecture &amp; Job Design · Final v1.12 · October 2026 · Internal — Confidential</t>
        </is>
      </c>
    </row>
    <row r="4"/>
    <row r="5" ht="28" customHeight="1">
      <c r="A5" s="12" t="inlineStr">
        <is>
          <t>Person</t>
        </is>
      </c>
      <c r="B5" s="12" t="inlineStr">
        <is>
          <t>Emp ID</t>
        </is>
      </c>
      <c r="C5" s="12" t="inlineStr">
        <is>
          <t>Business</t>
        </is>
      </c>
      <c r="D5" s="12" t="inlineStr">
        <is>
          <t>Department</t>
        </is>
      </c>
      <c r="E5" s="12" t="inlineStr">
        <is>
          <t>Role</t>
        </is>
      </c>
      <c r="F5" s="12" t="inlineStr">
        <is>
          <t>Level</t>
        </is>
      </c>
      <c r="G5" s="12" t="inlineStr">
        <is>
          <t>Critical role</t>
        </is>
      </c>
      <c r="H5" s="12" t="inlineStr">
        <is>
          <t>Only this person</t>
        </is>
      </c>
      <c r="I5" s="12" t="inlineStr">
        <is>
          <t>Successor named</t>
        </is>
      </c>
      <c r="J5" s="12" t="inlineStr">
        <is>
          <t>Risk</t>
        </is>
      </c>
      <c r="K5" s="12" t="inlineStr">
        <is>
          <t>Possible cover · same sub-family</t>
        </is>
      </c>
      <c r="L5" s="12" t="inlineStr">
        <is>
          <t>Action</t>
        </is>
      </c>
    </row>
    <row r="6" ht="41" customHeight="1">
      <c r="A6" s="13" t="inlineStr">
        <is>
          <t>Shilpa Dhobale</t>
        </is>
      </c>
      <c r="B6" s="16" t="inlineStr">
        <is>
          <t>IRISDT0001</t>
        </is>
      </c>
      <c r="C6" s="16" t="inlineStr">
        <is>
          <t>Datatech</t>
        </is>
      </c>
      <c r="D6" s="16" t="inlineStr">
        <is>
          <t>Datatech Business Head</t>
        </is>
      </c>
      <c r="E6" s="16" t="inlineStr">
        <is>
          <t>Business Head – DataTech</t>
        </is>
      </c>
      <c r="F6" s="15" t="inlineStr">
        <is>
          <t>D2</t>
        </is>
      </c>
      <c r="G6" s="15" t="inlineStr">
        <is>
          <t>Yes</t>
        </is>
      </c>
      <c r="H6" s="15" t="inlineStr">
        <is>
          <t>—</t>
        </is>
      </c>
      <c r="I6" s="15" t="inlineStr">
        <is>
          <t>No</t>
        </is>
      </c>
      <c r="J6" s="23" t="inlineStr">
        <is>
          <t>High</t>
        </is>
      </c>
      <c r="K6" s="16" t="inlineStr">
        <is>
          <t>No one in the same sub-family at or near this level — external hire or develop</t>
        </is>
      </c>
      <c r="L6" s="16" t="inlineStr">
        <is>
          <t>Name a successor this quarter; document the process; start cross-training the cover listed</t>
        </is>
      </c>
    </row>
    <row r="7" ht="41" customHeight="1">
      <c r="A7" s="13" t="inlineStr">
        <is>
          <t>Sanghamitra Saxena</t>
        </is>
      </c>
      <c r="B7" s="16" t="inlineStr">
        <is>
          <t>IRISDT0006</t>
        </is>
      </c>
      <c r="C7" s="16" t="inlineStr">
        <is>
          <t>Datatech</t>
        </is>
      </c>
      <c r="D7" s="16" t="inlineStr">
        <is>
          <t>Technology</t>
        </is>
      </c>
      <c r="E7" s="16" t="inlineStr">
        <is>
          <t>Solution Architect</t>
        </is>
      </c>
      <c r="F7" s="15" t="inlineStr">
        <is>
          <t>C1</t>
        </is>
      </c>
      <c r="G7" s="15" t="inlineStr">
        <is>
          <t>Yes</t>
        </is>
      </c>
      <c r="H7" s="15" t="inlineStr">
        <is>
          <t>—</t>
        </is>
      </c>
      <c r="I7" s="15" t="inlineStr">
        <is>
          <t>No</t>
        </is>
      </c>
      <c r="J7" s="23" t="inlineStr">
        <is>
          <t>High</t>
        </is>
      </c>
      <c r="K7" s="16" t="inlineStr">
        <is>
          <t>No one in the same sub-family at or near this level — external hire or develop</t>
        </is>
      </c>
      <c r="L7" s="16" t="inlineStr">
        <is>
          <t>Name a successor this quarter; document the process; start cross-training the cover listed</t>
        </is>
      </c>
    </row>
    <row r="8" ht="28" customHeight="1">
      <c r="A8" s="13" t="inlineStr">
        <is>
          <t>Ankita Pathak</t>
        </is>
      </c>
      <c r="B8" s="16" t="inlineStr">
        <is>
          <t>IRISDT0009</t>
        </is>
      </c>
      <c r="C8" s="16" t="inlineStr">
        <is>
          <t>Datatech</t>
        </is>
      </c>
      <c r="D8" s="16" t="inlineStr">
        <is>
          <t>Marketing</t>
        </is>
      </c>
      <c r="E8" s="16" t="inlineStr">
        <is>
          <t>Marketing Specialist – POD Lead</t>
        </is>
      </c>
      <c r="F8" s="15" t="inlineStr">
        <is>
          <t>B2</t>
        </is>
      </c>
      <c r="G8" s="15" t="inlineStr">
        <is>
          <t>Yes</t>
        </is>
      </c>
      <c r="H8" s="15" t="inlineStr">
        <is>
          <t>—</t>
        </is>
      </c>
      <c r="I8" s="15" t="inlineStr">
        <is>
          <t>No</t>
        </is>
      </c>
      <c r="J8" s="240" t="inlineStr">
        <is>
          <t>Medium</t>
        </is>
      </c>
      <c r="K8" s="16" t="inlineStr">
        <is>
          <t>No one in the same sub-family at or near this level — external hire or develop</t>
        </is>
      </c>
      <c r="L8" s="16" t="inlineStr">
        <is>
          <t>Name a successor; document the key process; cross-train one person</t>
        </is>
      </c>
    </row>
    <row r="9" ht="41" customHeight="1">
      <c r="A9" s="13" t="inlineStr">
        <is>
          <t>Nilesh Majumdar</t>
        </is>
      </c>
      <c r="B9" s="16" t="inlineStr">
        <is>
          <t>IRISDT0008</t>
        </is>
      </c>
      <c r="C9" s="16" t="inlineStr">
        <is>
          <t>Datatech</t>
        </is>
      </c>
      <c r="D9" s="16" t="inlineStr">
        <is>
          <t>Product Management</t>
        </is>
      </c>
      <c r="E9" s="16" t="inlineStr">
        <is>
          <t>Product Manager</t>
        </is>
      </c>
      <c r="F9" s="15" t="inlineStr">
        <is>
          <t>B2</t>
        </is>
      </c>
      <c r="G9" s="15" t="inlineStr">
        <is>
          <t>Yes</t>
        </is>
      </c>
      <c r="H9" s="15" t="inlineStr">
        <is>
          <t>—</t>
        </is>
      </c>
      <c r="I9" s="15" t="inlineStr">
        <is>
          <t>No</t>
        </is>
      </c>
      <c r="J9" s="240" t="inlineStr">
        <is>
          <t>Medium</t>
        </is>
      </c>
      <c r="K9" s="16" t="inlineStr">
        <is>
          <t>Piyush Raj · B2, Datatech · Sachinam Sawant · B2, Datatech · Ayushi Maurya · B1, Datatech</t>
        </is>
      </c>
      <c r="L9" s="16" t="inlineStr">
        <is>
          <t>Name a successor; document the key process; cross-train one person</t>
        </is>
      </c>
    </row>
    <row r="10" ht="41" customHeight="1">
      <c r="A10" s="13" t="inlineStr">
        <is>
          <t>Piyush Raj</t>
        </is>
      </c>
      <c r="B10" s="16" t="inlineStr">
        <is>
          <t>IRISDT0010</t>
        </is>
      </c>
      <c r="C10" s="16" t="inlineStr">
        <is>
          <t>Datatech</t>
        </is>
      </c>
      <c r="D10" s="16" t="inlineStr">
        <is>
          <t>Product Management</t>
        </is>
      </c>
      <c r="E10" s="16" t="inlineStr">
        <is>
          <t>Product Manager</t>
        </is>
      </c>
      <c r="F10" s="15" t="inlineStr">
        <is>
          <t>B2</t>
        </is>
      </c>
      <c r="G10" s="15" t="inlineStr">
        <is>
          <t>Yes</t>
        </is>
      </c>
      <c r="H10" s="15" t="inlineStr">
        <is>
          <t>—</t>
        </is>
      </c>
      <c r="I10" s="15" t="inlineStr">
        <is>
          <t>No</t>
        </is>
      </c>
      <c r="J10" s="240" t="inlineStr">
        <is>
          <t>Medium</t>
        </is>
      </c>
      <c r="K10" s="16" t="inlineStr">
        <is>
          <t>Nilesh Majumdar · B2, Datatech · Sachinam Sawant · B2, Datatech · Ayushi Maurya · B1, Datatech</t>
        </is>
      </c>
      <c r="L10" s="16" t="inlineStr">
        <is>
          <t>Name a successor; document the key process; cross-train one person</t>
        </is>
      </c>
    </row>
    <row r="11" ht="28" customHeight="1">
      <c r="A11" s="13" t="inlineStr">
        <is>
          <t>Raghin Nair</t>
        </is>
      </c>
      <c r="B11" s="16" t="inlineStr">
        <is>
          <t>IRISDT0011</t>
        </is>
      </c>
      <c r="C11" s="16" t="inlineStr">
        <is>
          <t>Datatech</t>
        </is>
      </c>
      <c r="D11" s="16" t="inlineStr">
        <is>
          <t>Datatech - Outreach</t>
        </is>
      </c>
      <c r="E11" s="16" t="inlineStr">
        <is>
          <t>Program Manager – Outreach</t>
        </is>
      </c>
      <c r="F11" s="15" t="inlineStr">
        <is>
          <t>B2</t>
        </is>
      </c>
      <c r="G11" s="15" t="inlineStr">
        <is>
          <t>Yes</t>
        </is>
      </c>
      <c r="H11" s="15" t="inlineStr">
        <is>
          <t>—</t>
        </is>
      </c>
      <c r="I11" s="15" t="inlineStr">
        <is>
          <t>No</t>
        </is>
      </c>
      <c r="J11" s="240" t="inlineStr">
        <is>
          <t>Medium</t>
        </is>
      </c>
      <c r="K11" s="16" t="inlineStr">
        <is>
          <t>Jeevan Khokale · B2, Datatech</t>
        </is>
      </c>
      <c r="L11" s="16" t="inlineStr">
        <is>
          <t>Name a successor; document the key process; cross-train one person</t>
        </is>
      </c>
    </row>
    <row r="12" ht="41" customHeight="1">
      <c r="A12" s="13" t="inlineStr">
        <is>
          <t>Niraj Santosh Patil</t>
        </is>
      </c>
      <c r="B12" s="16" t="inlineStr">
        <is>
          <t>IRISDT0002</t>
        </is>
      </c>
      <c r="C12" s="16" t="inlineStr">
        <is>
          <t>Datatech</t>
        </is>
      </c>
      <c r="D12" s="16" t="inlineStr">
        <is>
          <t>Technology</t>
        </is>
      </c>
      <c r="E12" s="16" t="inlineStr">
        <is>
          <t>Senior Software Engineer</t>
        </is>
      </c>
      <c r="F12" s="15" t="inlineStr">
        <is>
          <t>A3</t>
        </is>
      </c>
      <c r="G12" s="15" t="inlineStr">
        <is>
          <t>Yes</t>
        </is>
      </c>
      <c r="H12" s="15" t="inlineStr">
        <is>
          <t>—</t>
        </is>
      </c>
      <c r="I12" s="15" t="inlineStr">
        <is>
          <t>No</t>
        </is>
      </c>
      <c r="J12" s="240" t="inlineStr">
        <is>
          <t>Medium</t>
        </is>
      </c>
      <c r="K12" s="16" t="inlineStr">
        <is>
          <t>Akshay Shetty · B2, Datatech · Shivam Dhumal · A3, Datatech · Krishnadev Arya · A2, Datatech</t>
        </is>
      </c>
      <c r="L12" s="16" t="inlineStr">
        <is>
          <t>Name a successor; document the key process; cross-train one person</t>
        </is>
      </c>
    </row>
    <row r="13" ht="41" customHeight="1">
      <c r="A13" s="13" t="inlineStr">
        <is>
          <t>Shivam Dhumal</t>
        </is>
      </c>
      <c r="B13" s="16" t="inlineStr">
        <is>
          <t>IRISDT0018</t>
        </is>
      </c>
      <c r="C13" s="16" t="inlineStr">
        <is>
          <t>Datatech</t>
        </is>
      </c>
      <c r="D13" s="16" t="inlineStr">
        <is>
          <t>Technology</t>
        </is>
      </c>
      <c r="E13" s="16" t="inlineStr">
        <is>
          <t>Senior Software Engineer</t>
        </is>
      </c>
      <c r="F13" s="15" t="inlineStr">
        <is>
          <t>A3</t>
        </is>
      </c>
      <c r="G13" s="15" t="inlineStr">
        <is>
          <t>Yes</t>
        </is>
      </c>
      <c r="H13" s="15" t="inlineStr">
        <is>
          <t>—</t>
        </is>
      </c>
      <c r="I13" s="15" t="inlineStr">
        <is>
          <t>No</t>
        </is>
      </c>
      <c r="J13" s="240" t="inlineStr">
        <is>
          <t>Medium</t>
        </is>
      </c>
      <c r="K13" s="16" t="inlineStr">
        <is>
          <t>Akshay Shetty · B2, Datatech · Niraj Santosh Patil · A3, Datatech · Krishnadev Arya · A2, Datatech</t>
        </is>
      </c>
      <c r="L13" s="16" t="inlineStr">
        <is>
          <t>Name a successor; document the key process; cross-train one person</t>
        </is>
      </c>
    </row>
    <row r="14" ht="28" customHeight="1">
      <c r="A14" s="13" t="inlineStr">
        <is>
          <t>Supriya Patil</t>
        </is>
      </c>
      <c r="B14" s="16" t="inlineStr">
        <is>
          <t>IRISDT0014</t>
        </is>
      </c>
      <c r="C14" s="16" t="inlineStr">
        <is>
          <t>Datatech</t>
        </is>
      </c>
      <c r="D14" s="16" t="inlineStr">
        <is>
          <t>Quality Assurance</t>
        </is>
      </c>
      <c r="E14" s="16" t="inlineStr">
        <is>
          <t>Senior QA Engineer</t>
        </is>
      </c>
      <c r="F14" s="15" t="inlineStr">
        <is>
          <t>A3</t>
        </is>
      </c>
      <c r="G14" s="15" t="inlineStr">
        <is>
          <t>Yes</t>
        </is>
      </c>
      <c r="H14" s="15" t="inlineStr">
        <is>
          <t>—</t>
        </is>
      </c>
      <c r="I14" s="15" t="inlineStr">
        <is>
          <t>No</t>
        </is>
      </c>
      <c r="J14" s="240" t="inlineStr">
        <is>
          <t>Medium</t>
        </is>
      </c>
      <c r="K14" s="16" t="inlineStr">
        <is>
          <t>No one in the same sub-family at or near this level — external hire or develop</t>
        </is>
      </c>
      <c r="L14" s="16" t="inlineStr">
        <is>
          <t>Name a successor; document the key process; cross-train one person</t>
        </is>
      </c>
    </row>
    <row r="15" ht="28" customHeight="1">
      <c r="A15" s="13" t="inlineStr">
        <is>
          <t>Vasundhara Lella</t>
        </is>
      </c>
      <c r="B15" s="16" t="inlineStr">
        <is>
          <t>IRISDT0007</t>
        </is>
      </c>
      <c r="C15" s="16" t="inlineStr">
        <is>
          <t>Datatech</t>
        </is>
      </c>
      <c r="D15" s="16" t="inlineStr">
        <is>
          <t>Marketing</t>
        </is>
      </c>
      <c r="E15" s="16" t="inlineStr">
        <is>
          <t>Senior Content Marketing Associate</t>
        </is>
      </c>
      <c r="F15" s="15" t="inlineStr">
        <is>
          <t>A3</t>
        </is>
      </c>
      <c r="G15" s="15" t="inlineStr">
        <is>
          <t>Yes</t>
        </is>
      </c>
      <c r="H15" s="15" t="inlineStr">
        <is>
          <t>—</t>
        </is>
      </c>
      <c r="I15" s="15" t="inlineStr">
        <is>
          <t>No</t>
        </is>
      </c>
      <c r="J15" s="240" t="inlineStr">
        <is>
          <t>Medium</t>
        </is>
      </c>
      <c r="K15" s="16" t="inlineStr">
        <is>
          <t>No one in the same sub-family at or near this level — external hire or develop</t>
        </is>
      </c>
      <c r="L15" s="16" t="inlineStr">
        <is>
          <t>Name a successor; document the key process; cross-train one person</t>
        </is>
      </c>
    </row>
    <row r="16" ht="41" customHeight="1">
      <c r="A16" s="13" t="inlineStr">
        <is>
          <t>Jothi Pillai</t>
        </is>
      </c>
      <c r="B16" s="16" t="inlineStr">
        <is>
          <t>IRISDT0015</t>
        </is>
      </c>
      <c r="C16" s="16" t="inlineStr">
        <is>
          <t>Datatech</t>
        </is>
      </c>
      <c r="D16" s="16" t="inlineStr">
        <is>
          <t>Datatech - Outreach</t>
        </is>
      </c>
      <c r="E16" s="16" t="inlineStr">
        <is>
          <t>Program Executive</t>
        </is>
      </c>
      <c r="F16" s="15" t="inlineStr">
        <is>
          <t>A2</t>
        </is>
      </c>
      <c r="G16" s="15" t="inlineStr">
        <is>
          <t>Yes</t>
        </is>
      </c>
      <c r="H16" s="15" t="inlineStr">
        <is>
          <t>—</t>
        </is>
      </c>
      <c r="I16" s="15" t="inlineStr">
        <is>
          <t>No</t>
        </is>
      </c>
      <c r="J16" s="240" t="inlineStr">
        <is>
          <t>Medium</t>
        </is>
      </c>
      <c r="K16" s="16" t="inlineStr">
        <is>
          <t>Jeevan Khokale · B2, Datatech · Raghin Nair · B2, Datatech · Bharati Durgaprasad Paranjape · A3, Datatech</t>
        </is>
      </c>
      <c r="L16" s="16" t="inlineStr">
        <is>
          <t>Name a successor; document the key process; cross-train one person</t>
        </is>
      </c>
    </row>
    <row r="17" ht="41" customHeight="1">
      <c r="A17" s="13" t="inlineStr">
        <is>
          <t>Krishnadev Arya</t>
        </is>
      </c>
      <c r="B17" s="16" t="inlineStr">
        <is>
          <t>IRISDT0004</t>
        </is>
      </c>
      <c r="C17" s="16" t="inlineStr">
        <is>
          <t>Datatech</t>
        </is>
      </c>
      <c r="D17" s="16" t="inlineStr">
        <is>
          <t>Technology</t>
        </is>
      </c>
      <c r="E17" s="16" t="inlineStr">
        <is>
          <t>Software Engineer</t>
        </is>
      </c>
      <c r="F17" s="15" t="inlineStr">
        <is>
          <t>A2</t>
        </is>
      </c>
      <c r="G17" s="15" t="inlineStr">
        <is>
          <t>Yes</t>
        </is>
      </c>
      <c r="H17" s="15" t="inlineStr">
        <is>
          <t>—</t>
        </is>
      </c>
      <c r="I17" s="15" t="inlineStr">
        <is>
          <t>No</t>
        </is>
      </c>
      <c r="J17" s="240" t="inlineStr">
        <is>
          <t>Medium</t>
        </is>
      </c>
      <c r="K17" s="16" t="inlineStr">
        <is>
          <t>Akshay Shetty · B2, Datatech · Niraj Santosh Patil · A3, Datatech · Shivam Dhumal · A3, Datatech</t>
        </is>
      </c>
      <c r="L17" s="16" t="inlineStr">
        <is>
          <t>Name a successor; document the key process; cross-train one person</t>
        </is>
      </c>
    </row>
    <row r="18" ht="28" customHeight="1">
      <c r="A18" s="13" t="inlineStr">
        <is>
          <t>Sameeksha More</t>
        </is>
      </c>
      <c r="B18" s="16" t="inlineStr">
        <is>
          <t>IRISDTC004</t>
        </is>
      </c>
      <c r="C18" s="16" t="inlineStr">
        <is>
          <t>Datatech</t>
        </is>
      </c>
      <c r="D18" s="16" t="inlineStr">
        <is>
          <t>Datatech - Outreach</t>
        </is>
      </c>
      <c r="E18" s="16" t="inlineStr">
        <is>
          <t>MIS Associate</t>
        </is>
      </c>
      <c r="F18" s="15" t="inlineStr">
        <is>
          <t>A2</t>
        </is>
      </c>
      <c r="G18" s="15" t="inlineStr">
        <is>
          <t>Yes</t>
        </is>
      </c>
      <c r="H18" s="15" t="inlineStr">
        <is>
          <t>—</t>
        </is>
      </c>
      <c r="I18" s="15" t="inlineStr">
        <is>
          <t>No</t>
        </is>
      </c>
      <c r="J18" s="240" t="inlineStr">
        <is>
          <t>Medium</t>
        </is>
      </c>
      <c r="K18" s="16" t="inlineStr">
        <is>
          <t>No one in the same sub-family at or near this level — external hire or develop</t>
        </is>
      </c>
      <c r="L18" s="16" t="inlineStr">
        <is>
          <t>Name a successor; document the key process; cross-train one person</t>
        </is>
      </c>
    </row>
    <row r="19" ht="41" customHeight="1">
      <c r="A19" s="13" t="inlineStr">
        <is>
          <t>Vaibhav Dukare</t>
        </is>
      </c>
      <c r="B19" s="16" t="inlineStr">
        <is>
          <t>IRISDTC003</t>
        </is>
      </c>
      <c r="C19" s="16" t="inlineStr">
        <is>
          <t>Datatech</t>
        </is>
      </c>
      <c r="D19" s="16" t="inlineStr">
        <is>
          <t>Datatech - Outreach</t>
        </is>
      </c>
      <c r="E19" s="16" t="inlineStr">
        <is>
          <t>Program Executive</t>
        </is>
      </c>
      <c r="F19" s="15" t="inlineStr">
        <is>
          <t>A2</t>
        </is>
      </c>
      <c r="G19" s="15" t="inlineStr">
        <is>
          <t>Yes</t>
        </is>
      </c>
      <c r="H19" s="15" t="inlineStr">
        <is>
          <t>—</t>
        </is>
      </c>
      <c r="I19" s="15" t="inlineStr">
        <is>
          <t>No</t>
        </is>
      </c>
      <c r="J19" s="240" t="inlineStr">
        <is>
          <t>Medium</t>
        </is>
      </c>
      <c r="K19" s="16" t="inlineStr">
        <is>
          <t>Jeevan Khokale · B2, Datatech · Raghin Nair · B2, Datatech · Bharati Durgaprasad Paranjape · A3, Datatech</t>
        </is>
      </c>
      <c r="L19" s="16" t="inlineStr">
        <is>
          <t>Name a successor; document the key process; cross-train one person</t>
        </is>
      </c>
    </row>
  </sheetData>
  <mergeCells count="3">
    <mergeCell ref="A3:L3"/>
    <mergeCell ref="A2:L2"/>
    <mergeCell ref="A1:L1"/>
  </mergeCells>
  <hyperlinks>
    <hyperlink xmlns:r="http://schemas.openxmlformats.org/officeDocument/2006/relationships" ref="M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3.xml><?xml version="1.0" encoding="utf-8"?>
<worksheet xmlns="http://schemas.openxmlformats.org/spreadsheetml/2006/main">
  <sheetPr>
    <tabColor rgb="00548235"/>
    <outlinePr summaryBelow="1" summaryRight="1"/>
    <pageSetUpPr fitToPage="1"/>
  </sheetPr>
  <dimension ref="A1:G9"/>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9" customWidth="1" min="3" max="3"/>
    <col width="14" customWidth="1" min="4" max="4"/>
    <col width="8" customWidth="1" min="5" max="5"/>
    <col width="60" customWidth="1" min="6" max="6"/>
    <col width="13" customWidth="1" min="7" max="7"/>
  </cols>
  <sheetData>
    <row r="1" ht="34" customHeight="1">
      <c r="A1" s="1" t="inlineStr">
        <is>
          <t>Role definitions — the same work in more than one place</t>
        </is>
      </c>
      <c r="G1" s="241" t="inlineStr">
        <is>
          <t>◂ Contents</t>
        </is>
      </c>
    </row>
    <row r="2" ht="32" customHeight="1">
      <c r="A2" s="3" t="inlineStr">
        <is>
          <t>Sheet 16 · 22 department-level roles map to 22 role definitions · family · sub-family · level · track. First: definitions that carry more than one title · harmonise. Then: definitions held in several departments or businesses · document once in the catalogue.</t>
        </is>
      </c>
    </row>
    <row r="3">
      <c r="A3" s="4" t="inlineStr">
        <is>
          <t>IRIS · Job Architecture &amp; Job Design · Final v1.12 · October 2026 · Internal — Confidential</t>
        </is>
      </c>
    </row>
    <row r="4"/>
    <row r="5" ht="20" customHeight="1">
      <c r="A5" s="6" t="inlineStr">
        <is>
          <t>Definitions with more than one title — 0</t>
        </is>
      </c>
    </row>
    <row r="6" ht="15" customHeight="1">
      <c r="A6" s="12" t="inlineStr">
        <is>
          <t>Job family</t>
        </is>
      </c>
      <c r="B6" s="12" t="inlineStr">
        <is>
          <t>Sub-family</t>
        </is>
      </c>
      <c r="C6" s="12" t="inlineStr">
        <is>
          <t>Level</t>
        </is>
      </c>
      <c r="D6" s="12" t="inlineStr">
        <is>
          <t>Track</t>
        </is>
      </c>
      <c r="E6" s="12" t="inlineStr">
        <is>
          <t>People</t>
        </is>
      </c>
      <c r="F6" s="12" t="inlineStr">
        <is>
          <t>Titles in use</t>
        </is>
      </c>
    </row>
    <row r="7" ht="15" customHeight="1"/>
    <row r="8" ht="20" customHeight="1">
      <c r="A8" s="6" t="inlineStr">
        <is>
          <t>Definitions held in more than one department or business — 0</t>
        </is>
      </c>
    </row>
    <row r="9" ht="15" customHeight="1">
      <c r="A9" s="12" t="inlineStr">
        <is>
          <t>Job family</t>
        </is>
      </c>
      <c r="B9" s="12" t="inlineStr">
        <is>
          <t>Sub-family</t>
        </is>
      </c>
      <c r="C9" s="12" t="inlineStr">
        <is>
          <t>Level</t>
        </is>
      </c>
      <c r="D9" s="12" t="inlineStr">
        <is>
          <t>Track</t>
        </is>
      </c>
      <c r="E9" s="12" t="inlineStr">
        <is>
          <t>Roles</t>
        </is>
      </c>
      <c r="F9" s="12" t="inlineStr">
        <is>
          <t>Where · business · department · title · people</t>
        </is>
      </c>
    </row>
  </sheetData>
  <mergeCells count="5">
    <mergeCell ref="A2:F2"/>
    <mergeCell ref="A1:F1"/>
    <mergeCell ref="A5:F5"/>
    <mergeCell ref="A8:F8"/>
    <mergeCell ref="A3:F3"/>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H20"/>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2" customWidth="1" min="3" max="3"/>
    <col width="22" customWidth="1" min="4" max="4"/>
    <col width="9" customWidth="1" min="5" max="5"/>
    <col width="60" customWidth="1" min="6" max="6"/>
    <col width="26" customWidth="1" min="7" max="7"/>
    <col width="13" customWidth="1" min="8" max="8"/>
  </cols>
  <sheetData>
    <row r="1" ht="34" customHeight="1">
      <c r="A1" s="1" t="inlineStr">
        <is>
          <t>Data gaps — what is missing, and who supplies it</t>
        </is>
      </c>
      <c r="H1" s="241" t="inlineStr">
        <is>
          <t>◂ Contents</t>
        </is>
      </c>
    </row>
    <row r="2" ht="30" customHeight="1">
      <c r="A2" s="3" t="inlineStr">
        <is>
          <t>Sheet 17 · 10 employees with at least one missing input. The same list, with owner and status columns, is in the HR Super Master's calibration tracker.</t>
        </is>
      </c>
    </row>
    <row r="3">
      <c r="A3" s="4" t="inlineStr">
        <is>
          <t>IRIS · Job Architecture &amp; Job Design · Final v1.12 · October 2026 · Internal — Confidential</t>
        </is>
      </c>
    </row>
    <row r="4"/>
    <row r="5" ht="15" customHeight="1">
      <c r="A5" s="12" t="inlineStr">
        <is>
          <t>Emp ID</t>
        </is>
      </c>
      <c r="B5" s="12" t="inlineStr">
        <is>
          <t>Person</t>
        </is>
      </c>
      <c r="C5" s="12" t="inlineStr">
        <is>
          <t>Business</t>
        </is>
      </c>
      <c r="D5" s="12" t="inlineStr">
        <is>
          <t>Department</t>
        </is>
      </c>
      <c r="E5" s="12" t="inlineStr">
        <is>
          <t>Level</t>
        </is>
      </c>
      <c r="F5" s="12" t="inlineStr">
        <is>
          <t>What is missing</t>
        </is>
      </c>
      <c r="G5" s="12" t="inlineStr">
        <is>
          <t>Who supplies it</t>
        </is>
      </c>
    </row>
    <row r="6" ht="28" customHeight="1">
      <c r="A6" s="15" t="inlineStr">
        <is>
          <t>IRISDT0001</t>
        </is>
      </c>
      <c r="B6" s="16" t="inlineStr">
        <is>
          <t>Shilpa Dhobale</t>
        </is>
      </c>
      <c r="C6" s="16" t="inlineStr">
        <is>
          <t>Datatech</t>
        </is>
      </c>
      <c r="D6" s="16" t="inlineStr">
        <is>
          <t>Datatech Business Head</t>
        </is>
      </c>
      <c r="E6" s="15" t="inlineStr">
        <is>
          <t>D2</t>
        </is>
      </c>
      <c r="F6" s="16" t="inlineStr">
        <is>
          <t>Survey response or KRAs describing the work · nothing on file</t>
        </is>
      </c>
      <c r="G6" s="16" t="inlineStr">
        <is>
          <t>Employee + manager</t>
        </is>
      </c>
    </row>
    <row r="7" ht="28" customHeight="1">
      <c r="A7" s="15" t="inlineStr">
        <is>
          <t>IRISDT0001</t>
        </is>
      </c>
      <c r="B7" s="16" t="inlineStr">
        <is>
          <t>Shilpa Dhobale</t>
        </is>
      </c>
      <c r="C7" s="16" t="inlineStr">
        <is>
          <t>Datatech</t>
        </is>
      </c>
      <c r="D7" s="16" t="inlineStr">
        <is>
          <t>Datatech Business Head</t>
        </is>
      </c>
      <c r="E7" s="15" t="inlineStr">
        <is>
          <t>D2</t>
        </is>
      </c>
      <c r="F7" s="16" t="inlineStr">
        <is>
          <t>Correct the experience record</t>
        </is>
      </c>
      <c r="G7" s="16" t="inlineStr">
        <is>
          <t>HR</t>
        </is>
      </c>
    </row>
    <row r="8" ht="15" customHeight="1">
      <c r="A8" s="15" t="inlineStr">
        <is>
          <t>IRISDTC006</t>
        </is>
      </c>
      <c r="B8" s="16" t="inlineStr">
        <is>
          <t>Vaishnavi Dhuri</t>
        </is>
      </c>
      <c r="C8" s="16" t="inlineStr">
        <is>
          <t>Datatech</t>
        </is>
      </c>
      <c r="D8" s="16" t="inlineStr">
        <is>
          <t>Marketing</t>
        </is>
      </c>
      <c r="E8" s="15" t="inlineStr">
        <is>
          <t>A2</t>
        </is>
      </c>
      <c r="F8" s="16" t="inlineStr">
        <is>
          <t>Total experience · outside + at IRIS</t>
        </is>
      </c>
      <c r="G8" s="16" t="inlineStr">
        <is>
          <t>HR — HRIS</t>
        </is>
      </c>
    </row>
    <row r="9" ht="15" customHeight="1">
      <c r="A9" s="15" t="inlineStr">
        <is>
          <t>IRISDTC006</t>
        </is>
      </c>
      <c r="B9" s="16" t="inlineStr">
        <is>
          <t>Vaishnavi Dhuri</t>
        </is>
      </c>
      <c r="C9" s="16" t="inlineStr">
        <is>
          <t>Datatech</t>
        </is>
      </c>
      <c r="D9" s="16" t="inlineStr">
        <is>
          <t>Marketing</t>
        </is>
      </c>
      <c r="E9" s="15" t="inlineStr">
        <is>
          <t>A2</t>
        </is>
      </c>
      <c r="F9" s="16" t="inlineStr">
        <is>
          <t>Confirm prior experience · provisional placement</t>
        </is>
      </c>
      <c r="G9" s="16" t="inlineStr">
        <is>
          <t>HR</t>
        </is>
      </c>
    </row>
    <row r="10" ht="41" customHeight="1">
      <c r="A10" s="15" t="inlineStr">
        <is>
          <t>No Emp ID · external consultant</t>
        </is>
      </c>
      <c r="B10" s="16" t="inlineStr">
        <is>
          <t>Arindam Bose</t>
        </is>
      </c>
      <c r="C10" s="16" t="inlineStr">
        <is>
          <t>Datatech</t>
        </is>
      </c>
      <c r="D10" s="16" t="inlineStr">
        <is>
          <t>Not provided · HRIS</t>
        </is>
      </c>
      <c r="E10" s="15" t="inlineStr">
        <is>
          <t>X1</t>
        </is>
      </c>
      <c r="F10" s="16" t="inlineStr">
        <is>
          <t>Role and department on record</t>
        </is>
      </c>
      <c r="G10" s="16" t="inlineStr">
        <is>
          <t>Business head</t>
        </is>
      </c>
    </row>
    <row r="11" ht="41" customHeight="1">
      <c r="A11" s="15" t="inlineStr">
        <is>
          <t>No Emp ID · external consultant</t>
        </is>
      </c>
      <c r="B11" s="16" t="inlineStr">
        <is>
          <t>Shweta Vijay</t>
        </is>
      </c>
      <c r="C11" s="16" t="inlineStr">
        <is>
          <t>Datatech</t>
        </is>
      </c>
      <c r="D11" s="16" t="inlineStr">
        <is>
          <t>Not provided · HRIS</t>
        </is>
      </c>
      <c r="E11" s="15" t="inlineStr">
        <is>
          <t>X1</t>
        </is>
      </c>
      <c r="F11" s="16" t="inlineStr">
        <is>
          <t>Role and department on record</t>
        </is>
      </c>
      <c r="G11" s="16" t="inlineStr">
        <is>
          <t>Business head</t>
        </is>
      </c>
    </row>
    <row r="12" ht="15" customHeight="1">
      <c r="A12" s="15" t="inlineStr">
        <is>
          <t>IRISDT0008</t>
        </is>
      </c>
      <c r="B12" s="16" t="inlineStr">
        <is>
          <t>Nilesh Majumdar</t>
        </is>
      </c>
      <c r="C12" s="16" t="inlineStr">
        <is>
          <t>Datatech</t>
        </is>
      </c>
      <c r="D12" s="16" t="inlineStr">
        <is>
          <t>Product Management</t>
        </is>
      </c>
      <c r="E12" s="15" t="inlineStr">
        <is>
          <t>B2</t>
        </is>
      </c>
      <c r="F12" s="16" t="inlineStr">
        <is>
          <t>Confirm structure behind the senior title · org chart</t>
        </is>
      </c>
      <c r="G12" s="16" t="inlineStr">
        <is>
          <t>Business head</t>
        </is>
      </c>
    </row>
    <row r="13" ht="15" customHeight="1">
      <c r="A13" s="15" t="inlineStr">
        <is>
          <t>IRISDT0024</t>
        </is>
      </c>
      <c r="B13" s="16" t="inlineStr">
        <is>
          <t>Ayushi Maurya</t>
        </is>
      </c>
      <c r="C13" s="16" t="inlineStr">
        <is>
          <t>Datatech</t>
        </is>
      </c>
      <c r="D13" s="16" t="inlineStr">
        <is>
          <t>Product Management</t>
        </is>
      </c>
      <c r="E13" s="15" t="inlineStr">
        <is>
          <t>B1</t>
        </is>
      </c>
      <c r="F13" s="16" t="inlineStr">
        <is>
          <t>Total experience · outside + at IRIS</t>
        </is>
      </c>
      <c r="G13" s="16" t="inlineStr">
        <is>
          <t>HR — HRIS</t>
        </is>
      </c>
    </row>
    <row r="14" ht="15" customHeight="1">
      <c r="A14" s="15" t="inlineStr">
        <is>
          <t>IRISDT0024</t>
        </is>
      </c>
      <c r="B14" s="16" t="inlineStr">
        <is>
          <t>Ayushi Maurya</t>
        </is>
      </c>
      <c r="C14" s="16" t="inlineStr">
        <is>
          <t>Datatech</t>
        </is>
      </c>
      <c r="D14" s="16" t="inlineStr">
        <is>
          <t>Product Management</t>
        </is>
      </c>
      <c r="E14" s="15" t="inlineStr">
        <is>
          <t>B1</t>
        </is>
      </c>
      <c r="F14" s="16" t="inlineStr">
        <is>
          <t>Confirm prior experience · provisional placement</t>
        </is>
      </c>
      <c r="G14" s="16" t="inlineStr">
        <is>
          <t>HR</t>
        </is>
      </c>
    </row>
    <row r="15" ht="15" customHeight="1">
      <c r="A15" s="15" t="inlineStr">
        <is>
          <t>IRISDT0023</t>
        </is>
      </c>
      <c r="B15" s="16" t="inlineStr">
        <is>
          <t>Sachinam Sawant</t>
        </is>
      </c>
      <c r="C15" s="16" t="inlineStr">
        <is>
          <t>Datatech</t>
        </is>
      </c>
      <c r="D15" s="16" t="inlineStr">
        <is>
          <t>Product Management</t>
        </is>
      </c>
      <c r="E15" s="15" t="inlineStr">
        <is>
          <t>B2</t>
        </is>
      </c>
      <c r="F15" s="16" t="inlineStr">
        <is>
          <t>Total experience · outside + at IRIS</t>
        </is>
      </c>
      <c r="G15" s="16" t="inlineStr">
        <is>
          <t>HR — HRIS</t>
        </is>
      </c>
    </row>
    <row r="16" ht="15" customHeight="1">
      <c r="A16" s="15" t="inlineStr">
        <is>
          <t>IRISDT0023</t>
        </is>
      </c>
      <c r="B16" s="16" t="inlineStr">
        <is>
          <t>Sachinam Sawant</t>
        </is>
      </c>
      <c r="C16" s="16" t="inlineStr">
        <is>
          <t>Datatech</t>
        </is>
      </c>
      <c r="D16" s="16" t="inlineStr">
        <is>
          <t>Product Management</t>
        </is>
      </c>
      <c r="E16" s="15" t="inlineStr">
        <is>
          <t>B2</t>
        </is>
      </c>
      <c r="F16" s="16" t="inlineStr">
        <is>
          <t>Confirm prior experience · provisional placement</t>
        </is>
      </c>
      <c r="G16" s="16" t="inlineStr">
        <is>
          <t>HR</t>
        </is>
      </c>
    </row>
    <row r="17" ht="15" customHeight="1">
      <c r="A17" s="15" t="inlineStr">
        <is>
          <t>IRISDTC005</t>
        </is>
      </c>
      <c r="B17" s="16" t="inlineStr">
        <is>
          <t>Smita Londhe</t>
        </is>
      </c>
      <c r="C17" s="16" t="inlineStr">
        <is>
          <t>Datatech</t>
        </is>
      </c>
      <c r="D17" s="16" t="inlineStr">
        <is>
          <t>Quality Assurance</t>
        </is>
      </c>
      <c r="E17" s="15" t="inlineStr">
        <is>
          <t>A3</t>
        </is>
      </c>
      <c r="F17" s="16" t="inlineStr">
        <is>
          <t>Correct the experience record</t>
        </is>
      </c>
      <c r="G17" s="16" t="inlineStr">
        <is>
          <t>HR</t>
        </is>
      </c>
    </row>
    <row r="18" ht="28" customHeight="1">
      <c r="A18" s="15" t="inlineStr">
        <is>
          <t>IRISDT0019</t>
        </is>
      </c>
      <c r="B18" s="16" t="inlineStr">
        <is>
          <t>Abhishek Gite</t>
        </is>
      </c>
      <c r="C18" s="16" t="inlineStr">
        <is>
          <t>Datatech</t>
        </is>
      </c>
      <c r="D18" s="16" t="inlineStr">
        <is>
          <t>Sales</t>
        </is>
      </c>
      <c r="E18" s="15" t="inlineStr">
        <is>
          <t>C1</t>
        </is>
      </c>
      <c r="F18" s="16" t="inlineStr">
        <is>
          <t>Survey response or KRAs describing the work · nothing on file</t>
        </is>
      </c>
      <c r="G18" s="16" t="inlineStr">
        <is>
          <t>Employee + manager</t>
        </is>
      </c>
    </row>
    <row r="19" ht="15" customHeight="1">
      <c r="A19" s="15" t="inlineStr">
        <is>
          <t>IRISDT0019</t>
        </is>
      </c>
      <c r="B19" s="16" t="inlineStr">
        <is>
          <t>Abhishek Gite</t>
        </is>
      </c>
      <c r="C19" s="16" t="inlineStr">
        <is>
          <t>Datatech</t>
        </is>
      </c>
      <c r="D19" s="16" t="inlineStr">
        <is>
          <t>Sales</t>
        </is>
      </c>
      <c r="E19" s="15" t="inlineStr">
        <is>
          <t>C1</t>
        </is>
      </c>
      <c r="F19" s="16" t="inlineStr">
        <is>
          <t>Confirm structure behind the senior title · org chart</t>
        </is>
      </c>
      <c r="G19" s="16" t="inlineStr">
        <is>
          <t>Business head</t>
        </is>
      </c>
    </row>
    <row r="20" ht="28" customHeight="1">
      <c r="A20" s="15" t="inlineStr">
        <is>
          <t>IRISDT0006</t>
        </is>
      </c>
      <c r="B20" s="16" t="inlineStr">
        <is>
          <t>Sanghamitra Saxena</t>
        </is>
      </c>
      <c r="C20" s="16" t="inlineStr">
        <is>
          <t>Datatech</t>
        </is>
      </c>
      <c r="D20" s="16" t="inlineStr">
        <is>
          <t>Technology</t>
        </is>
      </c>
      <c r="E20" s="15" t="inlineStr">
        <is>
          <t>C1</t>
        </is>
      </c>
      <c r="F20" s="16" t="inlineStr">
        <is>
          <t>Survey response or KRAs describing the work · nothing on file</t>
        </is>
      </c>
      <c r="G20" s="16" t="inlineStr">
        <is>
          <t>Employee + manager</t>
        </is>
      </c>
    </row>
  </sheetData>
  <mergeCells count="3">
    <mergeCell ref="A3:G3"/>
    <mergeCell ref="A2:G2"/>
    <mergeCell ref="A1:G1"/>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5.xml><?xml version="1.0" encoding="utf-8"?>
<worksheet xmlns="http://schemas.openxmlformats.org/spreadsheetml/2006/main">
  <sheetPr>
    <tabColor rgb="002E75B6"/>
    <outlinePr summaryBelow="1" summaryRight="1"/>
    <pageSetUpPr fitToPage="1"/>
  </sheetPr>
  <dimension ref="A1:Q31"/>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Datatech: department → band → level, competencies and overlaps</t>
        </is>
      </c>
      <c r="Q1" s="241" t="inlineStr">
        <is>
          <t>◂ Contents</t>
        </is>
      </c>
    </row>
    <row r="2" ht="32" customHeight="1">
      <c r="A2" s="3" t="inlineStr">
        <is>
          <t>Sheet 18 · 34 people in 8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92" t="inlineStr">
        <is>
          <t>Department</t>
        </is>
      </c>
      <c r="B6" s="92" t="inlineStr">
        <is>
          <t>Band</t>
        </is>
      </c>
      <c r="C6" s="92" t="inlineStr">
        <is>
          <t>Level</t>
        </is>
      </c>
      <c r="D6" s="92" t="inlineStr">
        <is>
          <t>Level title</t>
        </is>
      </c>
      <c r="E6" s="92" t="inlineStr">
        <is>
          <t>Job family</t>
        </is>
      </c>
      <c r="F6" s="92" t="inlineStr">
        <is>
          <t>Sub-family</t>
        </is>
      </c>
      <c r="G6" s="92" t="inlineStr">
        <is>
          <t>Designation</t>
        </is>
      </c>
      <c r="H6" s="92" t="inlineStr">
        <is>
          <t>Track</t>
        </is>
      </c>
      <c r="I6" s="92" t="inlineStr">
        <is>
          <t>Holders</t>
        </is>
      </c>
      <c r="J6" s="92" t="inlineStr">
        <is>
          <t>Ladder in this sub-family here · level: designation</t>
        </is>
      </c>
      <c r="K6" s="92" t="inlineStr">
        <is>
          <t>★ Must-have competencies</t>
        </is>
      </c>
      <c r="L6" s="92" t="inlineStr">
        <is>
          <t>Other functional competencies</t>
        </is>
      </c>
      <c r="M6" s="92" t="inlineStr">
        <is>
          <t>Proficiency needed</t>
        </is>
      </c>
      <c r="N6" s="92" t="inlineStr">
        <is>
          <t>Credentials</t>
        </is>
      </c>
      <c r="O6" s="92" t="inlineStr">
        <is>
          <t>Overlap within Datatech · same work in other departments</t>
        </is>
      </c>
      <c r="P6" s="92" t="inlineStr">
        <is>
          <t>Overlap across IRIS · same work in other products</t>
        </is>
      </c>
    </row>
    <row r="7" ht="68" customHeight="1">
      <c r="A7" s="16" t="inlineStr">
        <is>
          <t>Datatech - Outreach</t>
        </is>
      </c>
      <c r="B7" s="140" t="inlineStr">
        <is>
          <t>A · Practitioner</t>
        </is>
      </c>
      <c r="C7" s="140" t="inlineStr">
        <is>
          <t>A2</t>
        </is>
      </c>
      <c r="D7" s="16" t="inlineStr">
        <is>
          <t>Associate</t>
        </is>
      </c>
      <c r="E7" s="16" t="inlineStr">
        <is>
          <t>Data &amp; Analytics</t>
        </is>
      </c>
      <c r="F7" s="16" t="inlineStr">
        <is>
          <t>MIS &amp; Business Reporting</t>
        </is>
      </c>
      <c r="G7" s="16" t="inlineStr">
        <is>
          <t>MIS Associate</t>
        </is>
      </c>
      <c r="H7" s="16" t="inlineStr">
        <is>
          <t>IC</t>
        </is>
      </c>
      <c r="I7" s="16" t="n">
        <v>1</v>
      </c>
      <c r="J7" s="16" t="inlineStr">
        <is>
          <r>
            <rPr>
              <rFont val="Calibri"/>
              <b val="1"/>
              <sz val="10"/>
            </rPr>
            <t>A2:</t>
          </r>
          <r>
            <rPr>
              <rFont val="Calibri"/>
              <sz val="10"/>
            </rPr>
            <t xml:space="preserve"> MIS Associate</t>
          </r>
        </is>
      </c>
      <c r="K7" s="16" t="inlineStr">
        <is>
          <t>Data Analytics, BI &amp; Visualisation · Database, SQL &amp; Data Engineering</t>
        </is>
      </c>
      <c r="L7" s="16" t="inlineStr">
        <is>
          <t>Advanced Excel &amp; Productivity Tools · Regulatory &amp; BFSI Domain · Process Improvement &amp; Quality Mindset · Accounting &amp; Reporting Standards · IFRS/US GAAP</t>
        </is>
      </c>
      <c r="M7" s="16" t="inlineStr">
        <is>
          <t>Core 2 · Future-ready 2 · Functional 2 · Leadership —</t>
        </is>
      </c>
      <c r="N7" s="16" t="inlineStr">
        <is>
          <t>Power BI / Tableau · optional; Database certifications · optional</t>
        </is>
      </c>
      <c r="O7" s="16" t="inlineStr">
        <is>
          <t>None — only this department</t>
        </is>
      </c>
      <c r="P7" s="16" t="inlineStr">
        <is>
          <t>None — only Datatech</t>
        </is>
      </c>
    </row>
    <row r="8" ht="55" customHeight="1">
      <c r="A8" s="16" t="inlineStr">
        <is>
          <t>Datatech - Outreach</t>
        </is>
      </c>
      <c r="B8" s="140" t="inlineStr">
        <is>
          <t>A · Practitioner</t>
        </is>
      </c>
      <c r="C8" s="140" t="inlineStr">
        <is>
          <t>A2</t>
        </is>
      </c>
      <c r="D8" s="16" t="inlineStr">
        <is>
          <t>Associate</t>
        </is>
      </c>
      <c r="E8" s="16" t="inlineStr">
        <is>
          <t>Sales &amp; Business Development</t>
        </is>
      </c>
      <c r="F8" s="16" t="inlineStr">
        <is>
          <t>Field Outreach &amp; Programme Sales</t>
        </is>
      </c>
      <c r="G8" s="16" t="inlineStr">
        <is>
          <t>Program Executive</t>
        </is>
      </c>
      <c r="H8" s="16" t="inlineStr">
        <is>
          <t>IC</t>
        </is>
      </c>
      <c r="I8" s="16" t="n">
        <v>2</v>
      </c>
      <c r="J8" s="16" t="inlineStr">
        <is>
          <r>
            <rPr>
              <rFont val="Calibri"/>
              <b val="1"/>
              <sz val="10"/>
            </rPr>
            <t>A2:</t>
          </r>
          <r>
            <rPr>
              <rFont val="Calibri"/>
              <sz val="10"/>
            </rPr>
            <t xml:space="preserve"> Program Executive → A3: Senior Program Executive → B2: Program Manager – Outreach / Senior Program Specialist – POD Lead</t>
          </r>
        </is>
      </c>
      <c r="K8" s="16" t="inlineStr">
        <is>
          <t>Sales, Negotiation &amp; Account Growth · Marketing Tech &amp; Digital Marketing</t>
        </is>
      </c>
      <c r="L8" s="16" t="inlineStr">
        <is>
          <t>Stakeholder &amp; Client Management · Communication &amp; Presentation · Product, Platform &amp; Domain Knowledge · Strategic Thinking &amp; Business Acumen</t>
        </is>
      </c>
      <c r="M8" s="16" t="inlineStr">
        <is>
          <t>Core 2 · Future-ready 2 · Functional 2 · Leadership —</t>
        </is>
      </c>
      <c r="N8" s="16" t="inlineStr">
        <is>
          <t>Google / HubSpot certifications</t>
        </is>
      </c>
      <c r="O8" s="16" t="inlineStr">
        <is>
          <t>None — only this department</t>
        </is>
      </c>
      <c r="P8" s="16" t="inlineStr">
        <is>
          <t>None — only Datatech</t>
        </is>
      </c>
    </row>
    <row r="9" ht="55" customHeight="1">
      <c r="A9" s="16" t="inlineStr">
        <is>
          <t>Datatech - Outreach</t>
        </is>
      </c>
      <c r="B9" s="140" t="inlineStr">
        <is>
          <t>A · Practitioner</t>
        </is>
      </c>
      <c r="C9" s="140" t="inlineStr">
        <is>
          <t>A3</t>
        </is>
      </c>
      <c r="D9" s="16" t="inlineStr">
        <is>
          <t>Senior Associate</t>
        </is>
      </c>
      <c r="E9" s="16" t="inlineStr">
        <is>
          <t>Sales &amp; Business Development</t>
        </is>
      </c>
      <c r="F9" s="16" t="inlineStr">
        <is>
          <t>Field Outreach &amp; Programme Sales</t>
        </is>
      </c>
      <c r="G9" s="16" t="inlineStr">
        <is>
          <t>Senior Program Executive</t>
        </is>
      </c>
      <c r="H9" s="16" t="inlineStr">
        <is>
          <t>IC</t>
        </is>
      </c>
      <c r="I9" s="16" t="n">
        <v>3</v>
      </c>
      <c r="J9" s="16" t="inlineStr">
        <is>
          <r>
            <rPr>
              <rFont val="Calibri"/>
              <b val="1"/>
              <sz val="10"/>
            </rPr>
            <t>A2:</t>
          </r>
          <r>
            <rPr>
              <rFont val="Calibri"/>
              <sz val="10"/>
            </rPr>
            <t xml:space="preserve"> Program Executive → A3: Senior Program Executive → B2: Program Manager – Outreach / Senior Program Specialist – POD Lead</t>
          </r>
        </is>
      </c>
      <c r="K9" s="16" t="inlineStr">
        <is>
          <t>Sales, Negotiation &amp; Account Growth · Marketing Tech &amp; Digital Marketing</t>
        </is>
      </c>
      <c r="L9" s="16" t="inlineStr">
        <is>
          <t>Stakeholder &amp; Client Management · Communication &amp; Presentation · Product, Platform &amp; Domain Knowledge · Strategic Thinking &amp; Business Acumen</t>
        </is>
      </c>
      <c r="M9" s="16" t="inlineStr">
        <is>
          <t>Core 2 · Future-ready 2 · Functional 3 · Leadership —</t>
        </is>
      </c>
      <c r="N9" s="16" t="inlineStr">
        <is>
          <t>Google / HubSpot certifications</t>
        </is>
      </c>
      <c r="O9" s="16" t="inlineStr">
        <is>
          <t>None — only this department</t>
        </is>
      </c>
      <c r="P9" s="16" t="inlineStr">
        <is>
          <t>None — only Datatech</t>
        </is>
      </c>
    </row>
    <row r="10" ht="55" customHeight="1">
      <c r="A10" s="16" t="inlineStr">
        <is>
          <t>Datatech - Outreach</t>
        </is>
      </c>
      <c r="B10" s="18" t="inlineStr">
        <is>
          <t>B · Specialist / Manager</t>
        </is>
      </c>
      <c r="C10" s="18" t="inlineStr">
        <is>
          <t>B2</t>
        </is>
      </c>
      <c r="D10" s="16" t="inlineStr">
        <is>
          <t>Manager</t>
        </is>
      </c>
      <c r="E10" s="16" t="inlineStr">
        <is>
          <t>Sales &amp; Business Development</t>
        </is>
      </c>
      <c r="F10" s="16" t="inlineStr">
        <is>
          <t>Field Outreach &amp; Programme Sales</t>
        </is>
      </c>
      <c r="G10" s="16" t="inlineStr">
        <is>
          <t>Program Manager – Outreach</t>
        </is>
      </c>
      <c r="H10" s="16" t="inlineStr">
        <is>
          <t>People Manager</t>
        </is>
      </c>
      <c r="I10" s="16" t="n">
        <v>1</v>
      </c>
      <c r="J10" s="16" t="inlineStr">
        <is>
          <r>
            <rPr>
              <rFont val="Calibri"/>
              <b val="1"/>
              <sz val="10"/>
            </rPr>
            <t>A2:</t>
          </r>
          <r>
            <rPr>
              <rFont val="Calibri"/>
              <sz val="10"/>
            </rPr>
            <t xml:space="preserve"> Program Executive → A3: Senior Program Executive → B2: Program Manager – Outreach / Senior Program Specialist – POD Lead</t>
          </r>
        </is>
      </c>
      <c r="K10" s="16" t="inlineStr">
        <is>
          <t>Sales, Negotiation &amp; Account Growth · Marketing Tech &amp; Digital Marketing</t>
        </is>
      </c>
      <c r="L10" s="16" t="inlineStr">
        <is>
          <t>Stakeholder &amp; Client Management · Communication &amp; Presentation · Product, Platform &amp; Domain Knowledge · Strategic Thinking &amp; Business Acumen</t>
        </is>
      </c>
      <c r="M10" s="16" t="inlineStr">
        <is>
          <t>Core 3 · Future-ready 3 · Functional 4 · Leadership 3</t>
        </is>
      </c>
      <c r="N10" s="16" t="inlineStr">
        <is>
          <t>Google / HubSpot certifications</t>
        </is>
      </c>
      <c r="O10" s="16" t="inlineStr">
        <is>
          <t>None — only this department</t>
        </is>
      </c>
      <c r="P10" s="16" t="inlineStr">
        <is>
          <t>None — only Datatech</t>
        </is>
      </c>
    </row>
    <row r="11" ht="55" customHeight="1">
      <c r="A11" s="16" t="inlineStr">
        <is>
          <t>Datatech - Outreach</t>
        </is>
      </c>
      <c r="B11" s="18" t="inlineStr">
        <is>
          <t>B · Specialist / Manager</t>
        </is>
      </c>
      <c r="C11" s="18" t="inlineStr">
        <is>
          <t>B2</t>
        </is>
      </c>
      <c r="D11" s="16" t="inlineStr">
        <is>
          <t>Senior Specialist · POD Lead</t>
        </is>
      </c>
      <c r="E11" s="16" t="inlineStr">
        <is>
          <t>Sales &amp; Business Development</t>
        </is>
      </c>
      <c r="F11" s="16" t="inlineStr">
        <is>
          <t>Field Outreach &amp; Programme Sales</t>
        </is>
      </c>
      <c r="G11" s="16" t="inlineStr">
        <is>
          <t>Senior Program Specialist – POD Lead</t>
        </is>
      </c>
      <c r="H11" s="16" t="inlineStr">
        <is>
          <t>POD Lead</t>
        </is>
      </c>
      <c r="I11" s="16" t="n">
        <v>1</v>
      </c>
      <c r="J11" s="16" t="inlineStr">
        <is>
          <r>
            <rPr>
              <rFont val="Calibri"/>
              <b val="1"/>
              <sz val="10"/>
            </rPr>
            <t>A2:</t>
          </r>
          <r>
            <rPr>
              <rFont val="Calibri"/>
              <sz val="10"/>
            </rPr>
            <t xml:space="preserve"> Program Executive → A3: Senior Program Executive → B2: Program Manager – Outreach / Senior Program Specialist – POD Lead</t>
          </r>
        </is>
      </c>
      <c r="K11" s="16" t="inlineStr">
        <is>
          <t>Sales, Negotiation &amp; Account Growth · Marketing Tech &amp; Digital Marketing</t>
        </is>
      </c>
      <c r="L11" s="16" t="inlineStr">
        <is>
          <t>Stakeholder &amp; Client Management · Communication &amp; Presentation · Product, Platform &amp; Domain Knowledge · Strategic Thinking &amp; Business Acumen</t>
        </is>
      </c>
      <c r="M11" s="16" t="inlineStr">
        <is>
          <t>Core 3 · Future-ready 3 · Functional 4 · Leadership 2</t>
        </is>
      </c>
      <c r="N11" s="16" t="inlineStr">
        <is>
          <t>Google / HubSpot certifications</t>
        </is>
      </c>
      <c r="O11" s="16" t="inlineStr">
        <is>
          <t>None — only this department</t>
        </is>
      </c>
      <c r="P11" s="16" t="inlineStr">
        <is>
          <t>None — only Datatech</t>
        </is>
      </c>
    </row>
    <row r="12" ht="55" customHeight="1">
      <c r="A12" s="16" t="inlineStr">
        <is>
          <t>Datatech Business Head</t>
        </is>
      </c>
      <c r="B12" s="146" t="inlineStr">
        <is>
          <t>D · Business leadership</t>
        </is>
      </c>
      <c r="C12" s="146" t="inlineStr">
        <is>
          <t>D2</t>
        </is>
      </c>
      <c r="D12" s="16" t="inlineStr">
        <is>
          <t>Vice President</t>
        </is>
      </c>
      <c r="E12" s="16" t="inlineStr">
        <is>
          <t>Executive Leadership</t>
        </is>
      </c>
      <c r="F12" s="16" t="inlineStr">
        <is>
          <t>Business &amp; Functional Leadership</t>
        </is>
      </c>
      <c r="G12" s="16" t="inlineStr">
        <is>
          <t>Business Head – DataTech</t>
        </is>
      </c>
      <c r="H12" s="16" t="inlineStr">
        <is>
          <t>People Manager</t>
        </is>
      </c>
      <c r="I12" s="16" t="n">
        <v>1</v>
      </c>
      <c r="J12" s="16" t="inlineStr">
        <is>
          <r>
            <rPr>
              <rFont val="Calibri"/>
              <b val="1"/>
              <sz val="10"/>
            </rPr>
            <t>D2:</t>
          </r>
          <r>
            <rPr>
              <rFont val="Calibri"/>
              <sz val="10"/>
            </rPr>
            <t xml:space="preserve"> Business Head – DataTech</t>
          </r>
        </is>
      </c>
      <c r="K12" s="16" t="inlineStr">
        <is>
          <t>Strategic Thinking &amp; Business Acumen · People Leadership &amp; Mentoring</t>
        </is>
      </c>
      <c r="L12" s="16" t="inlineStr">
        <is>
          <t>Stakeholder &amp; Client Management · Product, Platform &amp; Domain Knowledge · Regulatory &amp; BFSI Domain · Communication &amp; Presentation</t>
        </is>
      </c>
      <c r="M12" s="16" t="inlineStr">
        <is>
          <t>Core 5 · Future-ready 4 · Functional 4 · Leadership 5</t>
        </is>
      </c>
      <c r="N12" s="16" t="inlineStr">
        <is>
          <t>MBA / PGDM · preferred at C+</t>
        </is>
      </c>
      <c r="O12" s="16" t="inlineStr">
        <is>
          <t>None — only this department</t>
        </is>
      </c>
      <c r="P12" s="140" t="inlineStr">
        <is>
          <r>
            <rPr>
              <rFont val="Calibri"/>
              <sz val="10"/>
            </rPr>
            <t xml:space="preserve">CARBON 1 · iFile 1
</t>
          </r>
          <r>
            <rPr>
              <rFont val="Calibri"/>
              <b val="1"/>
              <sz val="10"/>
            </rPr>
            <t>Titled there:</t>
          </r>
          <r>
            <rPr>
              <rFont val="Calibri"/>
              <sz val="10"/>
            </rPr>
            <t xml:space="preserve"> Business Head / Business Head – SupTech &amp; Bank-RegTech</t>
          </r>
        </is>
      </c>
    </row>
    <row r="13" ht="68" customHeight="1">
      <c r="A13" s="16" t="inlineStr">
        <is>
          <t>Marketing</t>
        </is>
      </c>
      <c r="B13" s="140" t="inlineStr">
        <is>
          <t>A · Practitioner</t>
        </is>
      </c>
      <c r="C13" s="140" t="inlineStr">
        <is>
          <t>A2</t>
        </is>
      </c>
      <c r="D13" s="16" t="inlineStr">
        <is>
          <t>Associate</t>
        </is>
      </c>
      <c r="E13" s="16" t="inlineStr">
        <is>
          <t>Design &amp; Creative</t>
        </is>
      </c>
      <c r="F13" s="16" t="inlineStr">
        <is>
          <t>Brand, Graphic &amp; Video Design</t>
        </is>
      </c>
      <c r="G13" s="16" t="inlineStr">
        <is>
          <t>Designer</t>
        </is>
      </c>
      <c r="H13" s="16" t="inlineStr">
        <is>
          <t>IC</t>
        </is>
      </c>
      <c r="I13" s="16" t="n">
        <v>1</v>
      </c>
      <c r="J13" s="16" t="inlineStr">
        <is>
          <r>
            <rPr>
              <rFont val="Calibri"/>
              <b val="1"/>
              <sz val="10"/>
            </rPr>
            <t>A2:</t>
          </r>
          <r>
            <rPr>
              <rFont val="Calibri"/>
              <sz val="10"/>
            </rPr>
            <t xml:space="preserve"> Designer</t>
          </r>
        </is>
      </c>
      <c r="K13" s="16" t="inlineStr">
        <is>
          <t>Product, Platform &amp; Domain Knowledge · Communication &amp; Presentation</t>
        </is>
      </c>
      <c r="L13" s="16" t="inlineStr">
        <is>
          <t>Marketing Tech &amp; Digital Marketing · Process Improvement &amp; Quality Mindset · AI, GenAI &amp; Prompt Engineering · Stakeholder &amp; Client Management</t>
        </is>
      </c>
      <c r="M13" s="16" t="inlineStr">
        <is>
          <t>Core 2 · Future-ready 2 · Functional 2 · Leadership —</t>
        </is>
      </c>
      <c r="N13" s="16" t="inlineStr">
        <is>
          <t>Internal product certification</t>
        </is>
      </c>
      <c r="O13" s="16" t="inlineStr">
        <is>
          <t>None — only this department</t>
        </is>
      </c>
      <c r="P13" s="16" t="inlineStr">
        <is>
          <t>None — only Datatech</t>
        </is>
      </c>
    </row>
    <row r="14" ht="68" customHeight="1">
      <c r="A14" s="16" t="inlineStr">
        <is>
          <t>Marketing</t>
        </is>
      </c>
      <c r="B14" s="140" t="inlineStr">
        <is>
          <t>A · Practitioner</t>
        </is>
      </c>
      <c r="C14" s="140" t="inlineStr">
        <is>
          <t>A3</t>
        </is>
      </c>
      <c r="D14" s="16" t="inlineStr">
        <is>
          <t>Senior Associate</t>
        </is>
      </c>
      <c r="E14" s="16" t="inlineStr">
        <is>
          <t>Marketing &amp; Communications</t>
        </is>
      </c>
      <c r="F14" s="16" t="inlineStr">
        <is>
          <t>Content Marketing</t>
        </is>
      </c>
      <c r="G14" s="16" t="inlineStr">
        <is>
          <t>Senior Content Marketing Associate</t>
        </is>
      </c>
      <c r="H14" s="16" t="inlineStr">
        <is>
          <t>IC</t>
        </is>
      </c>
      <c r="I14" s="16" t="n">
        <v>1</v>
      </c>
      <c r="J14" s="16" t="inlineStr">
        <is>
          <r>
            <rPr>
              <rFont val="Calibri"/>
              <b val="1"/>
              <sz val="10"/>
            </rPr>
            <t>A3:</t>
          </r>
          <r>
            <rPr>
              <rFont val="Calibri"/>
              <sz val="10"/>
            </rPr>
            <t xml:space="preserve"> Senior Content Marketing Associate</t>
          </r>
        </is>
      </c>
      <c r="K14" s="16" t="inlineStr">
        <is>
          <t>Marketing Tech &amp; Digital Marketing · Communication &amp; Presentation</t>
        </is>
      </c>
      <c r="L14" s="16" t="inlineStr">
        <is>
          <t>Data Analytics, BI &amp; Visualisation · AI, GenAI &amp; Prompt Engineering · Product, Platform &amp; Domain Knowledge · Strategic Thinking &amp; Business Acumen</t>
        </is>
      </c>
      <c r="M14" s="16" t="inlineStr">
        <is>
          <t>Core 2 · Future-ready 2 · Functional 3 · Leadership —</t>
        </is>
      </c>
      <c r="N14" s="16" t="inlineStr">
        <is>
          <t>Google / HubSpot certifications</t>
        </is>
      </c>
      <c r="O14" s="16" t="inlineStr">
        <is>
          <t>None — only this department</t>
        </is>
      </c>
      <c r="P14" s="140" t="inlineStr">
        <is>
          <t>CARBON 1
Same title</t>
        </is>
      </c>
    </row>
    <row r="15" ht="68" customHeight="1">
      <c r="A15" s="16" t="inlineStr">
        <is>
          <t>Marketing</t>
        </is>
      </c>
      <c r="B15" s="140" t="inlineStr">
        <is>
          <t>A · Practitioner</t>
        </is>
      </c>
      <c r="C15" s="140" t="inlineStr">
        <is>
          <t>A3</t>
        </is>
      </c>
      <c r="D15" s="16" t="inlineStr">
        <is>
          <t>Senior Associate</t>
        </is>
      </c>
      <c r="E15" s="16" t="inlineStr">
        <is>
          <t>Marketing &amp; Communications</t>
        </is>
      </c>
      <c r="F15" s="16" t="inlineStr">
        <is>
          <t>Digital Marketing, Web &amp; Social</t>
        </is>
      </c>
      <c r="G15" s="16" t="inlineStr">
        <is>
          <t>Senior Digital Marketing Associate</t>
        </is>
      </c>
      <c r="H15" s="16" t="inlineStr">
        <is>
          <t>IC</t>
        </is>
      </c>
      <c r="I15" s="16" t="n">
        <v>1</v>
      </c>
      <c r="J15" s="16" t="inlineStr">
        <is>
          <r>
            <rPr>
              <rFont val="Calibri"/>
              <b val="1"/>
              <sz val="10"/>
            </rPr>
            <t>A3:</t>
          </r>
          <r>
            <rPr>
              <rFont val="Calibri"/>
              <sz val="10"/>
            </rPr>
            <t xml:space="preserve"> Senior Digital Marketing Associate</t>
          </r>
        </is>
      </c>
      <c r="K15" s="16" t="inlineStr">
        <is>
          <t>Marketing Tech &amp; Digital Marketing · Communication &amp; Presentation</t>
        </is>
      </c>
      <c r="L15" s="16" t="inlineStr">
        <is>
          <t>Data Analytics, BI &amp; Visualisation · AI, GenAI &amp; Prompt Engineering · Product, Platform &amp; Domain Knowledge · Strategic Thinking &amp; Business Acumen</t>
        </is>
      </c>
      <c r="M15" s="16" t="inlineStr">
        <is>
          <t>Core 2 · Future-ready 2 · Functional 3 · Leadership —</t>
        </is>
      </c>
      <c r="N15" s="16" t="inlineStr">
        <is>
          <t>Google / HubSpot certifications</t>
        </is>
      </c>
      <c r="O15" s="16" t="inlineStr">
        <is>
          <t>None — only this department</t>
        </is>
      </c>
      <c r="P15" s="140" t="inlineStr">
        <is>
          <t>CARBON 1
Same title</t>
        </is>
      </c>
    </row>
    <row r="16" ht="68" customHeight="1">
      <c r="A16" s="16" t="inlineStr">
        <is>
          <t>Marketing</t>
        </is>
      </c>
      <c r="B16" s="18" t="inlineStr">
        <is>
          <t>B · Specialist / Manager</t>
        </is>
      </c>
      <c r="C16" s="18" t="inlineStr">
        <is>
          <t>B2</t>
        </is>
      </c>
      <c r="D16" s="16" t="inlineStr">
        <is>
          <t>Senior Specialist · POD Lead</t>
        </is>
      </c>
      <c r="E16" s="16" t="inlineStr">
        <is>
          <t>Marketing &amp; Communications</t>
        </is>
      </c>
      <c r="F16" s="16" t="inlineStr">
        <is>
          <t>Marketing Leadership</t>
        </is>
      </c>
      <c r="G16" s="16" t="inlineStr">
        <is>
          <t>Marketing Specialist – POD Lead</t>
        </is>
      </c>
      <c r="H16" s="16" t="inlineStr">
        <is>
          <t>POD Lead</t>
        </is>
      </c>
      <c r="I16" s="16" t="n">
        <v>1</v>
      </c>
      <c r="J16" s="16" t="inlineStr">
        <is>
          <r>
            <rPr>
              <rFont val="Calibri"/>
              <b val="1"/>
              <sz val="10"/>
            </rPr>
            <t>B2:</t>
          </r>
          <r>
            <rPr>
              <rFont val="Calibri"/>
              <sz val="10"/>
            </rPr>
            <t xml:space="preserve"> Marketing Specialist – POD Lead</t>
          </r>
        </is>
      </c>
      <c r="K16" s="16" t="inlineStr">
        <is>
          <t>Marketing Tech &amp; Digital Marketing · Communication &amp; Presentation</t>
        </is>
      </c>
      <c r="L16" s="16" t="inlineStr">
        <is>
          <t>Data Analytics, BI &amp; Visualisation · AI, GenAI &amp; Prompt Engineering · Product, Platform &amp; Domain Knowledge · Strategic Thinking &amp; Business Acumen</t>
        </is>
      </c>
      <c r="M16" s="16" t="inlineStr">
        <is>
          <t>Core 3 · Future-ready 3 · Functional 4 · Leadership 2</t>
        </is>
      </c>
      <c r="N16" s="16" t="inlineStr">
        <is>
          <t>Google / HubSpot certifications</t>
        </is>
      </c>
      <c r="O16" s="16" t="inlineStr">
        <is>
          <t>None — only this department</t>
        </is>
      </c>
      <c r="P16" s="16" t="inlineStr">
        <is>
          <t>None — only Datatech</t>
        </is>
      </c>
    </row>
    <row r="17" ht="68" customHeight="1">
      <c r="A17" s="16" t="inlineStr">
        <is>
          <t>Marketing</t>
        </is>
      </c>
      <c r="B17" s="136" t="inlineStr">
        <is>
          <t>X · Consultant</t>
        </is>
      </c>
      <c r="C17" s="136" t="inlineStr">
        <is>
          <t>X1</t>
        </is>
      </c>
      <c r="D17" s="16" t="inlineStr">
        <is>
          <t>Associate Consultant</t>
        </is>
      </c>
      <c r="E17" s="16" t="inlineStr">
        <is>
          <t>Marketing &amp; Communications</t>
        </is>
      </c>
      <c r="F17" s="16" t="inlineStr">
        <is>
          <t>Marketing · role not recorded</t>
        </is>
      </c>
      <c r="G17" s="16" t="inlineStr">
        <is>
          <t>Associate Consultant – Demand Generation, Brand &amp; Events</t>
        </is>
      </c>
      <c r="H17" s="16" t="inlineStr">
        <is>
          <t>Consultant</t>
        </is>
      </c>
      <c r="I17" s="16" t="n">
        <v>1</v>
      </c>
      <c r="J17" s="16" t="inlineStr">
        <is>
          <r>
            <rPr>
              <rFont val="Calibri"/>
              <b val="1"/>
              <sz val="10"/>
            </rPr>
            <t>X1:</t>
          </r>
          <r>
            <rPr>
              <rFont val="Calibri"/>
              <sz val="10"/>
            </rPr>
            <t xml:space="preserve"> Associate Consultant – Demand Generation, Brand &amp; Events</t>
          </r>
        </is>
      </c>
      <c r="K17" s="16" t="inlineStr">
        <is>
          <t>Marketing Tech &amp; Digital Marketing · Communication &amp; Presentation</t>
        </is>
      </c>
      <c r="L17" s="16" t="inlineStr">
        <is>
          <t>Data Analytics, BI &amp; Visualisation · AI, GenAI &amp; Prompt Engineering · Product, Platform &amp; Domain Knowledge · Strategic Thinking &amp; Business Acumen</t>
        </is>
      </c>
      <c r="M17" s="16" t="inlineStr">
        <is>
          <t>Per statement of work</t>
        </is>
      </c>
      <c r="N17" s="16" t="inlineStr">
        <is>
          <t>Google / HubSpot certifications</t>
        </is>
      </c>
      <c r="O17" s="16" t="inlineStr">
        <is>
          <t>None — only this department</t>
        </is>
      </c>
      <c r="P17" s="16" t="inlineStr">
        <is>
          <t>None — only Datatech</t>
        </is>
      </c>
    </row>
    <row r="18" ht="29" customHeight="1">
      <c r="A18" s="16" t="inlineStr">
        <is>
          <t>Not provided · HRIS</t>
        </is>
      </c>
      <c r="B18" s="136" t="inlineStr">
        <is>
          <t>X · Consultant</t>
        </is>
      </c>
      <c r="C18" s="136" t="inlineStr">
        <is>
          <t>X1</t>
        </is>
      </c>
      <c r="D18" s="16" t="inlineStr">
        <is>
          <t>Associate Consultant</t>
        </is>
      </c>
      <c r="E18" s="16" t="inlineStr">
        <is>
          <t>Unassigned</t>
        </is>
      </c>
      <c r="F18" s="16" t="inlineStr">
        <is>
          <t>Role not recorded · external consultant</t>
        </is>
      </c>
      <c r="G18" s="16" t="inlineStr">
        <is>
          <t>Associate Consultant – Software Development</t>
        </is>
      </c>
      <c r="H18" s="16" t="inlineStr">
        <is>
          <t>Consultant</t>
        </is>
      </c>
      <c r="I18" s="16" t="n">
        <v>2</v>
      </c>
      <c r="J18" s="16" t="inlineStr">
        <is>
          <r>
            <rPr>
              <rFont val="Calibri"/>
              <b val="1"/>
              <sz val="10"/>
            </rPr>
            <t>X1:</t>
          </r>
          <r>
            <rPr>
              <rFont val="Calibri"/>
              <sz val="10"/>
            </rPr>
            <t xml:space="preserve"> Associate Consultant – Software Development</t>
          </r>
        </is>
      </c>
      <c r="K18" s="16" t="inlineStr">
        <is>
          <t>—</t>
        </is>
      </c>
      <c r="L18" s="16" t="inlineStr">
        <is>
          <t>—</t>
        </is>
      </c>
      <c r="M18" s="16" t="inlineStr">
        <is>
          <t>Per statement of work</t>
        </is>
      </c>
      <c r="N18" s="16" t="inlineStr">
        <is>
          <t>—</t>
        </is>
      </c>
      <c r="O18" s="16" t="inlineStr">
        <is>
          <t>None — only this department</t>
        </is>
      </c>
      <c r="P18" s="16" t="inlineStr">
        <is>
          <t>None — only Datatech</t>
        </is>
      </c>
    </row>
    <row r="19" ht="55" customHeight="1">
      <c r="A19" s="16" t="inlineStr">
        <is>
          <t>Product Management</t>
        </is>
      </c>
      <c r="B19" s="18" t="inlineStr">
        <is>
          <t>B · Specialist / Manager</t>
        </is>
      </c>
      <c r="C19" s="18" t="inlineStr">
        <is>
          <t>B1</t>
        </is>
      </c>
      <c r="D19" s="16" t="inlineStr">
        <is>
          <t>Specialist</t>
        </is>
      </c>
      <c r="E19" s="16" t="inlineStr">
        <is>
          <t>Product Management</t>
        </is>
      </c>
      <c r="F19" s="16" t="inlineStr">
        <is>
          <t>Product Management</t>
        </is>
      </c>
      <c r="G19" s="16" t="inlineStr">
        <is>
          <t>Associate Product Manager</t>
        </is>
      </c>
      <c r="H19" s="16" t="inlineStr">
        <is>
          <t>IC</t>
        </is>
      </c>
      <c r="I19" s="16" t="n">
        <v>2</v>
      </c>
      <c r="J19" s="16" t="inlineStr">
        <is>
          <r>
            <rPr>
              <rFont val="Calibri"/>
              <b val="1"/>
              <sz val="10"/>
            </rPr>
            <t>B1:</t>
          </r>
          <r>
            <rPr>
              <rFont val="Calibri"/>
              <sz val="10"/>
            </rPr>
            <t xml:space="preserve"> Associate Product Manager → B2: Product Manager</t>
          </r>
        </is>
      </c>
      <c r="K19" s="16" t="inlineStr">
        <is>
          <t>Product, Platform &amp; Domain Knowledge · Business Analysis &amp; Requirements Engineering</t>
        </is>
      </c>
      <c r="L19" s="16" t="inlineStr">
        <is>
          <t>Data Analytics, BI &amp; Visualisation · Strategic Thinking &amp; Business Acumen · Stakeholder &amp; Client Management · AI, GenAI &amp; Prompt Engineering</t>
        </is>
      </c>
      <c r="M19" s="16" t="inlineStr">
        <is>
          <t>Core 3 · Future-ready 3 · Functional 3 · Leadership 1</t>
        </is>
      </c>
      <c r="N19" s="16" t="inlineStr">
        <is>
          <t>Internal product certification; CBAP / CCBA · optional</t>
        </is>
      </c>
      <c r="O19" s="16" t="inlineStr">
        <is>
          <t>None — only this department</t>
        </is>
      </c>
      <c r="P19" s="140" t="inlineStr">
        <is>
          <r>
            <rPr>
              <rFont val="Calibri"/>
              <sz val="10"/>
            </rPr>
            <t xml:space="preserve">CARBON 3
</t>
          </r>
          <r>
            <rPr>
              <rFont val="Calibri"/>
              <b val="1"/>
              <sz val="10"/>
            </rPr>
            <t>Titled there:</t>
          </r>
          <r>
            <rPr>
              <rFont val="Calibri"/>
              <sz val="10"/>
            </rPr>
            <t xml:space="preserve"> Associate Product Manager – POD Lead</t>
          </r>
        </is>
      </c>
    </row>
    <row r="20" ht="55" customHeight="1">
      <c r="A20" s="16" t="inlineStr">
        <is>
          <t>Product Management</t>
        </is>
      </c>
      <c r="B20" s="18" t="inlineStr">
        <is>
          <t>B · Specialist / Manager</t>
        </is>
      </c>
      <c r="C20" s="18" t="inlineStr">
        <is>
          <t>B2</t>
        </is>
      </c>
      <c r="D20" s="16" t="inlineStr">
        <is>
          <t>Manager</t>
        </is>
      </c>
      <c r="E20" s="16" t="inlineStr">
        <is>
          <t>Product Management</t>
        </is>
      </c>
      <c r="F20" s="16" t="inlineStr">
        <is>
          <t>Product Management</t>
        </is>
      </c>
      <c r="G20" s="16" t="inlineStr">
        <is>
          <t>Product Manager</t>
        </is>
      </c>
      <c r="H20" s="16" t="inlineStr">
        <is>
          <t>People Manager</t>
        </is>
      </c>
      <c r="I20" s="16" t="n">
        <v>1</v>
      </c>
      <c r="J20" s="16" t="inlineStr">
        <is>
          <r>
            <rPr>
              <rFont val="Calibri"/>
              <b val="1"/>
              <sz val="10"/>
            </rPr>
            <t>B1:</t>
          </r>
          <r>
            <rPr>
              <rFont val="Calibri"/>
              <sz val="10"/>
            </rPr>
            <t xml:space="preserve"> Associate Product Manager → B2: Product Manager</t>
          </r>
        </is>
      </c>
      <c r="K20" s="16" t="inlineStr">
        <is>
          <t>Product, Platform &amp; Domain Knowledge · Business Analysis &amp; Requirements Engineering</t>
        </is>
      </c>
      <c r="L20" s="16" t="inlineStr">
        <is>
          <t>Data Analytics, BI &amp; Visualisation · Strategic Thinking &amp; Business Acumen · Stakeholder &amp; Client Management · AI, GenAI &amp; Prompt Engineering</t>
        </is>
      </c>
      <c r="M20" s="16" t="inlineStr">
        <is>
          <t>Core 3 · Future-ready 3 · Functional 4 · Leadership 3</t>
        </is>
      </c>
      <c r="N20" s="16" t="inlineStr">
        <is>
          <t>Internal product certification; CBAP / CCBA · optional</t>
        </is>
      </c>
      <c r="O20" s="16" t="inlineStr">
        <is>
          <t>None — only this department</t>
        </is>
      </c>
      <c r="P20" s="140" t="inlineStr">
        <is>
          <t>iDEAL 2 · CARBON 1
Same title</t>
        </is>
      </c>
    </row>
    <row r="21" ht="55" customHeight="1">
      <c r="A21" s="16" t="inlineStr">
        <is>
          <t>Product Management</t>
        </is>
      </c>
      <c r="B21" s="18" t="inlineStr">
        <is>
          <t>B · Specialist / Manager</t>
        </is>
      </c>
      <c r="C21" s="18" t="inlineStr">
        <is>
          <t>B2</t>
        </is>
      </c>
      <c r="D21" s="16" t="inlineStr">
        <is>
          <t>Senior Specialist</t>
        </is>
      </c>
      <c r="E21" s="16" t="inlineStr">
        <is>
          <t>Product Management</t>
        </is>
      </c>
      <c r="F21" s="16" t="inlineStr">
        <is>
          <t>Product Management</t>
        </is>
      </c>
      <c r="G21" s="16" t="inlineStr">
        <is>
          <t>Product Manager</t>
        </is>
      </c>
      <c r="H21" s="16" t="inlineStr">
        <is>
          <t>IC</t>
        </is>
      </c>
      <c r="I21" s="16" t="n">
        <v>2</v>
      </c>
      <c r="J21" s="16" t="inlineStr">
        <is>
          <r>
            <rPr>
              <rFont val="Calibri"/>
              <b val="1"/>
              <sz val="10"/>
            </rPr>
            <t>B1:</t>
          </r>
          <r>
            <rPr>
              <rFont val="Calibri"/>
              <sz val="10"/>
            </rPr>
            <t xml:space="preserve"> Associate Product Manager → B2: Product Manager</t>
          </r>
        </is>
      </c>
      <c r="K21" s="16" t="inlineStr">
        <is>
          <t>Product, Platform &amp; Domain Knowledge · Business Analysis &amp; Requirements Engineering</t>
        </is>
      </c>
      <c r="L21" s="16" t="inlineStr">
        <is>
          <t>Data Analytics, BI &amp; Visualisation · Strategic Thinking &amp; Business Acumen · Stakeholder &amp; Client Management · AI, GenAI &amp; Prompt Engineering</t>
        </is>
      </c>
      <c r="M21" s="16" t="inlineStr">
        <is>
          <t>Core 3 · Future-ready 3 · Functional 4 · Leadership 2</t>
        </is>
      </c>
      <c r="N21" s="16" t="inlineStr">
        <is>
          <t>Internal product certification; CBAP / CCBA · optional</t>
        </is>
      </c>
      <c r="O21" s="16" t="inlineStr">
        <is>
          <t>None — only this department</t>
        </is>
      </c>
      <c r="P21" s="140" t="inlineStr">
        <is>
          <t>iDEAL 2 · CARBON 1
Same title</t>
        </is>
      </c>
    </row>
    <row r="22" ht="55" customHeight="1">
      <c r="A22" s="16" t="inlineStr">
        <is>
          <t>Quality Assurance</t>
        </is>
      </c>
      <c r="B22" s="140" t="inlineStr">
        <is>
          <t>A · Practitioner</t>
        </is>
      </c>
      <c r="C22" s="140" t="inlineStr">
        <is>
          <t>A3</t>
        </is>
      </c>
      <c r="D22" s="16" t="inlineStr">
        <is>
          <t>Senior Associate</t>
        </is>
      </c>
      <c r="E22" s="16" t="inlineStr">
        <is>
          <t>Quality Assurance</t>
        </is>
      </c>
      <c r="F22" s="16" t="inlineStr">
        <is>
          <t>Functional &amp; Domain Testing</t>
        </is>
      </c>
      <c r="G22" s="16" t="inlineStr">
        <is>
          <t>Senior QA Engineer</t>
        </is>
      </c>
      <c r="H22" s="16" t="inlineStr">
        <is>
          <t>IC</t>
        </is>
      </c>
      <c r="I22" s="16" t="n">
        <v>1</v>
      </c>
      <c r="J22" s="16" t="inlineStr">
        <is>
          <r>
            <rPr>
              <rFont val="Calibri"/>
              <b val="1"/>
              <sz val="10"/>
            </rPr>
            <t>A3:</t>
          </r>
          <r>
            <rPr>
              <rFont val="Calibri"/>
              <sz val="10"/>
            </rPr>
            <t xml:space="preserve"> Senior QA Engineer</t>
          </r>
        </is>
      </c>
      <c r="K22" s="16" t="inlineStr">
        <is>
          <t>Test Automation &amp; QA Engineering · Product, Platform &amp; Domain Knowledge</t>
        </is>
      </c>
      <c r="L22" s="16" t="inlineStr">
        <is>
          <t>Database, SQL &amp; Data Engineering · AI, GenAI &amp; Prompt Engineering · Process Improvement &amp; Quality Mindset · Communication &amp; Presentation</t>
        </is>
      </c>
      <c r="M22" s="16" t="inlineStr">
        <is>
          <t>Core 2 · Future-ready 2 · Functional 3 · Leadership —</t>
        </is>
      </c>
      <c r="N22" s="16" t="inlineStr">
        <is>
          <t>ISTQB Foundation / Advanced; Internal product certification</t>
        </is>
      </c>
      <c r="O22" s="16" t="inlineStr">
        <is>
          <t>None — only this department</t>
        </is>
      </c>
      <c r="P22" s="140" t="inlineStr">
        <is>
          <r>
            <rPr>
              <rFont val="Calibri"/>
              <sz val="10"/>
            </rPr>
            <t xml:space="preserve">iFile 11 · CARBON 7 · iDEAL 1
</t>
          </r>
          <r>
            <rPr>
              <rFont val="Calibri"/>
              <b val="1"/>
              <sz val="10"/>
            </rPr>
            <t>Titled there:</t>
          </r>
          <r>
            <rPr>
              <rFont val="Calibri"/>
              <sz val="10"/>
            </rPr>
            <t xml:space="preserve"> QA Specialist / Senior QA Engineer</t>
          </r>
        </is>
      </c>
    </row>
    <row r="23" ht="55" customHeight="1">
      <c r="A23" s="16" t="inlineStr">
        <is>
          <t>Quality Assurance</t>
        </is>
      </c>
      <c r="B23" s="140" t="inlineStr">
        <is>
          <t>A · Practitioner</t>
        </is>
      </c>
      <c r="C23" s="140" t="inlineStr">
        <is>
          <t>A3</t>
        </is>
      </c>
      <c r="D23" s="16" t="inlineStr">
        <is>
          <t>Senior Associate</t>
        </is>
      </c>
      <c r="E23" s="16" t="inlineStr">
        <is>
          <t>Quality Assurance</t>
        </is>
      </c>
      <c r="F23" s="16" t="inlineStr">
        <is>
          <t>Test Automation</t>
        </is>
      </c>
      <c r="G23" s="16" t="inlineStr">
        <is>
          <t>Senior QA Automation Engineer</t>
        </is>
      </c>
      <c r="H23" s="16" t="inlineStr">
        <is>
          <t>IC</t>
        </is>
      </c>
      <c r="I23" s="16" t="n">
        <v>1</v>
      </c>
      <c r="J23" s="16" t="inlineStr">
        <is>
          <r>
            <rPr>
              <rFont val="Calibri"/>
              <b val="1"/>
              <sz val="10"/>
            </rPr>
            <t>A3:</t>
          </r>
          <r>
            <rPr>
              <rFont val="Calibri"/>
              <sz val="10"/>
            </rPr>
            <t xml:space="preserve"> Senior QA Automation Engineer</t>
          </r>
        </is>
      </c>
      <c r="K23" s="16" t="inlineStr">
        <is>
          <t>Test Automation &amp; QA Engineering · Product, Platform &amp; Domain Knowledge</t>
        </is>
      </c>
      <c r="L23" s="16" t="inlineStr">
        <is>
          <t>Database, SQL &amp; Data Engineering · AI, GenAI &amp; Prompt Engineering · Process Improvement &amp; Quality Mindset · Communication &amp; Presentation</t>
        </is>
      </c>
      <c r="M23" s="16" t="inlineStr">
        <is>
          <t>Core 2 · Future-ready 2 · Functional 3 · Leadership —</t>
        </is>
      </c>
      <c r="N23" s="16" t="inlineStr">
        <is>
          <t>ISTQB Foundation / Advanced; Internal product certification</t>
        </is>
      </c>
      <c r="O23" s="16" t="inlineStr">
        <is>
          <t>None — only this department</t>
        </is>
      </c>
      <c r="P23" s="140" t="inlineStr">
        <is>
          <t>iDEAL 3 · CARBON 1 · iFile 1
Same title</t>
        </is>
      </c>
    </row>
    <row r="24" ht="55" customHeight="1">
      <c r="A24" s="16" t="inlineStr">
        <is>
          <t>Sales</t>
        </is>
      </c>
      <c r="B24" s="151" t="inlineStr">
        <is>
          <t>C · Principal / Head</t>
        </is>
      </c>
      <c r="C24" s="151" t="inlineStr">
        <is>
          <t>C1</t>
        </is>
      </c>
      <c r="D24" s="16" t="inlineStr">
        <is>
          <t>Principal</t>
        </is>
      </c>
      <c r="E24" s="16" t="inlineStr">
        <is>
          <t>Sales &amp; Business Development</t>
        </is>
      </c>
      <c r="F24" s="16" t="inlineStr">
        <is>
          <t>Sales Leadership</t>
        </is>
      </c>
      <c r="G24" s="16" t="inlineStr">
        <is>
          <t>Principal – Sales</t>
        </is>
      </c>
      <c r="H24" s="16" t="inlineStr">
        <is>
          <t>IC</t>
        </is>
      </c>
      <c r="I24" s="16" t="n">
        <v>1</v>
      </c>
      <c r="J24" s="16" t="inlineStr">
        <is>
          <r>
            <rPr>
              <rFont val="Calibri"/>
              <b val="1"/>
              <sz val="10"/>
            </rPr>
            <t>C1:</t>
          </r>
          <r>
            <rPr>
              <rFont val="Calibri"/>
              <sz val="10"/>
            </rPr>
            <t xml:space="preserve"> Principal – Sales</t>
          </r>
        </is>
      </c>
      <c r="K24" s="16" t="inlineStr">
        <is>
          <t>Sales, Negotiation &amp; Account Growth · Marketing Tech &amp; Digital Marketing</t>
        </is>
      </c>
      <c r="L24" s="16" t="inlineStr">
        <is>
          <t>Stakeholder &amp; Client Management · Communication &amp; Presentation · Product, Platform &amp; Domain Knowledge · Strategic Thinking &amp; Business Acumen</t>
        </is>
      </c>
      <c r="M24" s="16" t="inlineStr">
        <is>
          <t>Core 4 · Future-ready 4 · Functional 4 · Leadership 4</t>
        </is>
      </c>
      <c r="N24" s="16" t="inlineStr">
        <is>
          <t>Google / HubSpot certifications</t>
        </is>
      </c>
      <c r="O24" s="16" t="inlineStr">
        <is>
          <t>None — only this department</t>
        </is>
      </c>
      <c r="P24" s="140" t="inlineStr">
        <is>
          <r>
            <rPr>
              <rFont val="Calibri"/>
              <sz val="10"/>
            </rPr>
            <t xml:space="preserve">CARBON 1 · iFile 1
</t>
          </r>
          <r>
            <rPr>
              <rFont val="Calibri"/>
              <b val="1"/>
              <sz val="10"/>
            </rPr>
            <t>Titled there:</t>
          </r>
          <r>
            <rPr>
              <rFont val="Calibri"/>
              <sz val="10"/>
            </rPr>
            <t xml:space="preserve"> Principal – Enterprise Sales</t>
          </r>
        </is>
      </c>
    </row>
    <row r="25" ht="55" customHeight="1">
      <c r="A25" s="16" t="inlineStr">
        <is>
          <t>Technology</t>
        </is>
      </c>
      <c r="B25" s="140" t="inlineStr">
        <is>
          <t>A · Practitioner</t>
        </is>
      </c>
      <c r="C25" s="140" t="inlineStr">
        <is>
          <t>A1</t>
        </is>
      </c>
      <c r="D25" s="16" t="inlineStr">
        <is>
          <t>Intern / Trainee</t>
        </is>
      </c>
      <c r="E25" s="16" t="inlineStr">
        <is>
          <t>Product Management</t>
        </is>
      </c>
      <c r="F25" s="16" t="inlineStr">
        <is>
          <t>Product Operations &amp; Research</t>
        </is>
      </c>
      <c r="G25" s="16" t="inlineStr">
        <is>
          <t>Intern – Product Operations &amp; Research</t>
        </is>
      </c>
      <c r="H25" s="16" t="inlineStr">
        <is>
          <t>IC</t>
        </is>
      </c>
      <c r="I25" s="16" t="n">
        <v>1</v>
      </c>
      <c r="J25" s="16" t="inlineStr">
        <is>
          <r>
            <rPr>
              <rFont val="Calibri"/>
              <b val="1"/>
              <sz val="10"/>
            </rPr>
            <t>A1:</t>
          </r>
          <r>
            <rPr>
              <rFont val="Calibri"/>
              <sz val="10"/>
            </rPr>
            <t xml:space="preserve"> Intern – Product Operations &amp; Research</t>
          </r>
        </is>
      </c>
      <c r="K25" s="16" t="inlineStr">
        <is>
          <t>Product, Platform &amp; Domain Knowledge · Business Analysis &amp; Requirements Engineering</t>
        </is>
      </c>
      <c r="L25" s="16" t="inlineStr">
        <is>
          <t>Data Analytics, BI &amp; Visualisation · Strategic Thinking &amp; Business Acumen · Stakeholder &amp; Client Management · AI, GenAI &amp; Prompt Engineering</t>
        </is>
      </c>
      <c r="M25" s="16" t="inlineStr">
        <is>
          <t>Core 1 · Future-ready 1 · Functional 1 · Leadership —</t>
        </is>
      </c>
      <c r="N25" s="16" t="inlineStr">
        <is>
          <t>Internal product certification; CBAP / CCBA · optional</t>
        </is>
      </c>
      <c r="O25" s="16" t="inlineStr">
        <is>
          <t>None — only this department</t>
        </is>
      </c>
      <c r="P25" s="16" t="inlineStr">
        <is>
          <t>None — only Datatech</t>
        </is>
      </c>
    </row>
    <row r="26" ht="55" customHeight="1">
      <c r="A26" s="16" t="inlineStr">
        <is>
          <t>Technology</t>
        </is>
      </c>
      <c r="B26" s="140" t="inlineStr">
        <is>
          <t>A · Practitioner</t>
        </is>
      </c>
      <c r="C26" s="140" t="inlineStr">
        <is>
          <t>A2</t>
        </is>
      </c>
      <c r="D26" s="16" t="inlineStr">
        <is>
          <t>Associate</t>
        </is>
      </c>
      <c r="E26" s="16" t="inlineStr">
        <is>
          <t>Engineering &amp; Development</t>
        </is>
      </c>
      <c r="F26" s="16" t="inlineStr">
        <is>
          <t>Backend Development</t>
        </is>
      </c>
      <c r="G26" s="16" t="inlineStr">
        <is>
          <t>Software Engineer</t>
        </is>
      </c>
      <c r="H26" s="16" t="inlineStr">
        <is>
          <t>IC</t>
        </is>
      </c>
      <c r="I26" s="16" t="n">
        <v>1</v>
      </c>
      <c r="J26" s="16" t="inlineStr">
        <is>
          <r>
            <rPr>
              <rFont val="Calibri"/>
              <b val="1"/>
              <sz val="10"/>
            </rPr>
            <t>A2:</t>
          </r>
          <r>
            <rPr>
              <rFont val="Calibri"/>
              <sz val="10"/>
            </rPr>
            <t xml:space="preserve"> Software Engineer → A3: Senior Software Engineer → B2: Senior Technical Specialist – POD Lead → X1: Associate Consultant – Software Development</t>
          </r>
        </is>
      </c>
      <c r="K26" s="16" t="inlineStr">
        <is>
          <t>Programming &amp; Tech-Stack Depth · System Design &amp; Architecture</t>
        </is>
      </c>
      <c r="L26" s="16" t="inlineStr">
        <is>
          <t>Database, SQL &amp; Data Engineering · Cloud, DevOps &amp; CI/CD · AI, GenAI &amp; Prompt Engineering · Product, Platform &amp; Domain Knowledge</t>
        </is>
      </c>
      <c r="M26" s="16" t="inlineStr">
        <is>
          <t>Core 2 · Future-ready 2 · Functional 2 · Leadership —</t>
        </is>
      </c>
      <c r="N26" s="16" t="inlineStr">
        <is>
          <t>Cloud / language certifications · optional; AWS / Azure architect · optional</t>
        </is>
      </c>
      <c r="O26" s="16" t="inlineStr">
        <is>
          <t>None — only this department</t>
        </is>
      </c>
      <c r="P26" s="140" t="inlineStr">
        <is>
          <t>iFile 3 · iDEAL 2 · CARBON 1
Same title</t>
        </is>
      </c>
    </row>
    <row r="27" ht="68" customHeight="1">
      <c r="A27" s="16" t="inlineStr">
        <is>
          <t>Technology</t>
        </is>
      </c>
      <c r="B27" s="140" t="inlineStr">
        <is>
          <t>A · Practitioner</t>
        </is>
      </c>
      <c r="C27" s="140" t="inlineStr">
        <is>
          <t>A3</t>
        </is>
      </c>
      <c r="D27" s="16" t="inlineStr">
        <is>
          <t>Senior Associate</t>
        </is>
      </c>
      <c r="E27" s="16" t="inlineStr">
        <is>
          <t>Design &amp; Creative</t>
        </is>
      </c>
      <c r="F27" s="16" t="inlineStr">
        <is>
          <t>UX / UI Design</t>
        </is>
      </c>
      <c r="G27" s="16" t="inlineStr">
        <is>
          <t>Senior Product Designer</t>
        </is>
      </c>
      <c r="H27" s="16" t="inlineStr">
        <is>
          <t>IC</t>
        </is>
      </c>
      <c r="I27" s="16" t="n">
        <v>1</v>
      </c>
      <c r="J27" s="16" t="inlineStr">
        <is>
          <r>
            <rPr>
              <rFont val="Calibri"/>
              <b val="1"/>
              <sz val="10"/>
            </rPr>
            <t>A3:</t>
          </r>
          <r>
            <rPr>
              <rFont val="Calibri"/>
              <sz val="10"/>
            </rPr>
            <t xml:space="preserve"> Senior Product Designer</t>
          </r>
        </is>
      </c>
      <c r="K27" s="16" t="inlineStr">
        <is>
          <t>Product, Platform &amp; Domain Knowledge · Communication &amp; Presentation</t>
        </is>
      </c>
      <c r="L27" s="16" t="inlineStr">
        <is>
          <t>Marketing Tech &amp; Digital Marketing · Process Improvement &amp; Quality Mindset · AI, GenAI &amp; Prompt Engineering · Stakeholder &amp; Client Management</t>
        </is>
      </c>
      <c r="M27" s="16" t="inlineStr">
        <is>
          <t>Core 2 · Future-ready 2 · Functional 3 · Leadership —</t>
        </is>
      </c>
      <c r="N27" s="16" t="inlineStr">
        <is>
          <t>Internal product certification</t>
        </is>
      </c>
      <c r="O27" s="16" t="inlineStr">
        <is>
          <t>None — only this department</t>
        </is>
      </c>
      <c r="P27" s="140" t="inlineStr">
        <is>
          <t>CARBON 1
Same title</t>
        </is>
      </c>
    </row>
    <row r="28" ht="55" customHeight="1">
      <c r="A28" s="16" t="inlineStr">
        <is>
          <t>Technology</t>
        </is>
      </c>
      <c r="B28" s="140" t="inlineStr">
        <is>
          <t>A · Practitioner</t>
        </is>
      </c>
      <c r="C28" s="140" t="inlineStr">
        <is>
          <t>A3</t>
        </is>
      </c>
      <c r="D28" s="16" t="inlineStr">
        <is>
          <t>Senior Associate</t>
        </is>
      </c>
      <c r="E28" s="16" t="inlineStr">
        <is>
          <t>Engineering &amp; Development</t>
        </is>
      </c>
      <c r="F28" s="16" t="inlineStr">
        <is>
          <t>Backend Development</t>
        </is>
      </c>
      <c r="G28" s="16" t="inlineStr">
        <is>
          <t>Senior Software Engineer</t>
        </is>
      </c>
      <c r="H28" s="16" t="inlineStr">
        <is>
          <t>IC</t>
        </is>
      </c>
      <c r="I28" s="16" t="n">
        <v>2</v>
      </c>
      <c r="J28" s="16" t="inlineStr">
        <is>
          <r>
            <rPr>
              <rFont val="Calibri"/>
              <b val="1"/>
              <sz val="10"/>
            </rPr>
            <t>A2:</t>
          </r>
          <r>
            <rPr>
              <rFont val="Calibri"/>
              <sz val="10"/>
            </rPr>
            <t xml:space="preserve"> Software Engineer → A3: Senior Software Engineer → B2: Senior Technical Specialist – POD Lead → X1: Associate Consultant – Software Development</t>
          </r>
        </is>
      </c>
      <c r="K28" s="16" t="inlineStr">
        <is>
          <t>Programming &amp; Tech-Stack Depth · System Design &amp; Architecture</t>
        </is>
      </c>
      <c r="L28" s="16" t="inlineStr">
        <is>
          <t>Database, SQL &amp; Data Engineering · Cloud, DevOps &amp; CI/CD · AI, GenAI &amp; Prompt Engineering · Product, Platform &amp; Domain Knowledge</t>
        </is>
      </c>
      <c r="M28" s="16" t="inlineStr">
        <is>
          <t>Core 2 · Future-ready 2 · Functional 3 · Leadership —</t>
        </is>
      </c>
      <c r="N28" s="16" t="inlineStr">
        <is>
          <t>Cloud / language certifications · optional; AWS / Azure architect · optional</t>
        </is>
      </c>
      <c r="O28" s="16" t="inlineStr">
        <is>
          <t>None — only this department</t>
        </is>
      </c>
      <c r="P28" s="140" t="inlineStr">
        <is>
          <r>
            <rPr>
              <rFont val="Calibri"/>
              <sz val="10"/>
            </rPr>
            <t xml:space="preserve">iFile 33 · CARBON 9 · iDEAL 5
</t>
          </r>
          <r>
            <rPr>
              <rFont val="Calibri"/>
              <b val="1"/>
              <sz val="10"/>
            </rPr>
            <t>Titled there:</t>
          </r>
          <r>
            <rPr>
              <rFont val="Calibri"/>
              <sz val="10"/>
            </rPr>
            <t xml:space="preserve"> Senior Software Engineer / Technical Specialist</t>
          </r>
        </is>
      </c>
    </row>
    <row r="29" ht="81" customHeight="1">
      <c r="A29" s="16" t="inlineStr">
        <is>
          <t>Technology</t>
        </is>
      </c>
      <c r="B29" s="18" t="inlineStr">
        <is>
          <t>B · Specialist / Manager</t>
        </is>
      </c>
      <c r="C29" s="18" t="inlineStr">
        <is>
          <t>B2</t>
        </is>
      </c>
      <c r="D29" s="16" t="inlineStr">
        <is>
          <t>Senior Specialist · POD Lead</t>
        </is>
      </c>
      <c r="E29" s="16" t="inlineStr">
        <is>
          <t>Engineering &amp; Development</t>
        </is>
      </c>
      <c r="F29" s="16" t="inlineStr">
        <is>
          <t>Backend Development</t>
        </is>
      </c>
      <c r="G29" s="16" t="inlineStr">
        <is>
          <t>Senior Technical Specialist – POD Lead</t>
        </is>
      </c>
      <c r="H29" s="16" t="inlineStr">
        <is>
          <t>POD Lead</t>
        </is>
      </c>
      <c r="I29" s="16" t="n">
        <v>1</v>
      </c>
      <c r="J29" s="16" t="inlineStr">
        <is>
          <r>
            <rPr>
              <rFont val="Calibri"/>
              <b val="1"/>
              <sz val="10"/>
            </rPr>
            <t>A2:</t>
          </r>
          <r>
            <rPr>
              <rFont val="Calibri"/>
              <sz val="10"/>
            </rPr>
            <t xml:space="preserve"> Software Engineer → A3: Senior Software Engineer → B2: Senior Technical Specialist – POD Lead → X1: Associate Consultant – Software Development</t>
          </r>
        </is>
      </c>
      <c r="K29" s="16" t="inlineStr">
        <is>
          <t>Programming &amp; Tech-Stack Depth · System Design &amp; Architecture</t>
        </is>
      </c>
      <c r="L29" s="16" t="inlineStr">
        <is>
          <t>Database, SQL &amp; Data Engineering · Cloud, DevOps &amp; CI/CD · AI, GenAI &amp; Prompt Engineering · Product, Platform &amp; Domain Knowledge</t>
        </is>
      </c>
      <c r="M29" s="16" t="inlineStr">
        <is>
          <t>Core 3 · Future-ready 3 · Functional 4 · Leadership 2</t>
        </is>
      </c>
      <c r="N29" s="16" t="inlineStr">
        <is>
          <t>Cloud / language certifications · optional; AWS / Azure architect · optional</t>
        </is>
      </c>
      <c r="O29" s="16" t="inlineStr">
        <is>
          <t>None — only this department</t>
        </is>
      </c>
      <c r="P29" s="140" t="inlineStr">
        <is>
          <r>
            <rPr>
              <rFont val="Calibri"/>
              <sz val="10"/>
            </rPr>
            <t xml:space="preserve">iFile 6 · CARBON 2
</t>
          </r>
          <r>
            <rPr>
              <rFont val="Calibri"/>
              <b val="1"/>
              <sz val="10"/>
            </rPr>
            <t>Titled there:</t>
          </r>
          <r>
            <rPr>
              <rFont val="Calibri"/>
              <sz val="10"/>
            </rPr>
            <t xml:space="preserve"> Engineering Manager / Lead Software Engineer / Lead Software Engineer – POD Lead / Senior Technical Specialist / Senior Technical Specialist – POD Lead</t>
          </r>
        </is>
      </c>
    </row>
    <row r="30" ht="55" customHeight="1">
      <c r="A30" s="16" t="inlineStr">
        <is>
          <t>Technology</t>
        </is>
      </c>
      <c r="B30" s="151" t="inlineStr">
        <is>
          <t>C · Principal / Head</t>
        </is>
      </c>
      <c r="C30" s="151" t="inlineStr">
        <is>
          <t>C1</t>
        </is>
      </c>
      <c r="D30" s="16" t="inlineStr">
        <is>
          <t>Principal</t>
        </is>
      </c>
      <c r="E30" s="16" t="inlineStr">
        <is>
          <t>Engineering &amp; Architecture</t>
        </is>
      </c>
      <c r="F30" s="16" t="inlineStr">
        <is>
          <t>Solution &amp; Technical Architecture</t>
        </is>
      </c>
      <c r="G30" s="16" t="inlineStr">
        <is>
          <t>Solution Architect</t>
        </is>
      </c>
      <c r="H30" s="16" t="inlineStr">
        <is>
          <t>IC</t>
        </is>
      </c>
      <c r="I30" s="16" t="n">
        <v>1</v>
      </c>
      <c r="J30" s="16" t="inlineStr">
        <is>
          <r>
            <rPr>
              <rFont val="Calibri"/>
              <b val="1"/>
              <sz val="10"/>
            </rPr>
            <t>C1:</t>
          </r>
          <r>
            <rPr>
              <rFont val="Calibri"/>
              <sz val="10"/>
            </rPr>
            <t xml:space="preserve"> Solution Architect</t>
          </r>
        </is>
      </c>
      <c r="K30" s="16" t="inlineStr">
        <is>
          <t>System Design &amp; Architecture · Programming &amp; Tech-Stack Depth</t>
        </is>
      </c>
      <c r="L30" s="16" t="inlineStr">
        <is>
          <t>Cloud, DevOps &amp; CI/CD · Cybersecurity &amp; Infrastructure · Stakeholder &amp; Client Management · Strategic Thinking &amp; Business Acumen</t>
        </is>
      </c>
      <c r="M30" s="16" t="inlineStr">
        <is>
          <t>Core 4 · Future-ready 4 · Functional 4 · Leadership 4</t>
        </is>
      </c>
      <c r="N30" s="16" t="inlineStr">
        <is>
          <t>AWS / Azure architect · optional; Cloud / language certifications · optional</t>
        </is>
      </c>
      <c r="O30" s="16" t="inlineStr">
        <is>
          <t>None — only this department</t>
        </is>
      </c>
      <c r="P30" s="140" t="inlineStr">
        <is>
          <r>
            <rPr>
              <rFont val="Calibri"/>
              <sz val="10"/>
            </rPr>
            <t xml:space="preserve">iFile 1
</t>
          </r>
          <r>
            <rPr>
              <rFont val="Calibri"/>
              <b val="1"/>
              <sz val="10"/>
            </rPr>
            <t>Titled there:</t>
          </r>
          <r>
            <rPr>
              <rFont val="Calibri"/>
              <sz val="10"/>
            </rPr>
            <t xml:space="preserve"> Technical Architect</t>
          </r>
        </is>
      </c>
    </row>
    <row r="31" ht="55" customHeight="1">
      <c r="A31" s="16" t="inlineStr">
        <is>
          <t>Technology</t>
        </is>
      </c>
      <c r="B31" s="136" t="inlineStr">
        <is>
          <t>X · Consultant</t>
        </is>
      </c>
      <c r="C31" s="136" t="inlineStr">
        <is>
          <t>X1</t>
        </is>
      </c>
      <c r="D31" s="16" t="inlineStr">
        <is>
          <t>Associate Consultant</t>
        </is>
      </c>
      <c r="E31" s="16" t="inlineStr">
        <is>
          <t>Engineering &amp; Development</t>
        </is>
      </c>
      <c r="F31" s="16" t="inlineStr">
        <is>
          <t>Backend Development</t>
        </is>
      </c>
      <c r="G31" s="16" t="inlineStr">
        <is>
          <t>Associate Consultant – Software Development</t>
        </is>
      </c>
      <c r="H31" s="16" t="inlineStr">
        <is>
          <t>Consultant</t>
        </is>
      </c>
      <c r="I31" s="16" t="n">
        <v>3</v>
      </c>
      <c r="J31" s="16" t="inlineStr">
        <is>
          <r>
            <rPr>
              <rFont val="Calibri"/>
              <b val="1"/>
              <sz val="10"/>
            </rPr>
            <t>A2:</t>
          </r>
          <r>
            <rPr>
              <rFont val="Calibri"/>
              <sz val="10"/>
            </rPr>
            <t xml:space="preserve"> Software Engineer → A3: Senior Software Engineer → B2: Senior Technical Specialist – POD Lead → X1: Associate Consultant – Software Development</t>
          </r>
        </is>
      </c>
      <c r="K31" s="16" t="inlineStr">
        <is>
          <t>Programming &amp; Tech-Stack Depth · System Design &amp; Architecture</t>
        </is>
      </c>
      <c r="L31" s="16" t="inlineStr">
        <is>
          <t>Database, SQL &amp; Data Engineering · Cloud, DevOps &amp; CI/CD · AI, GenAI &amp; Prompt Engineering · Product, Platform &amp; Domain Knowledge</t>
        </is>
      </c>
      <c r="M31" s="16" t="inlineStr">
        <is>
          <t>Per statement of work</t>
        </is>
      </c>
      <c r="N31" s="16" t="inlineStr">
        <is>
          <t>Cloud / language certifications · optional; AWS / Azure architect · optional</t>
        </is>
      </c>
      <c r="O31" s="16" t="inlineStr">
        <is>
          <t>None — only this department</t>
        </is>
      </c>
      <c r="P31" s="140" t="inlineStr">
        <is>
          <t>iFile 13
Same title</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26.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t="inlineStr">
        <is>
          <t>Datatech</t>
        </is>
      </c>
      <c r="B1" t="inlineStr">
        <is>
          <t>Datatech - Outreach</t>
        </is>
      </c>
      <c r="D1" t="inlineStr">
        <is>
          <t>Bharati Durgaprasad Paranjape</t>
        </is>
      </c>
      <c r="E1" t="inlineStr">
        <is>
          <t>IRISDT0013</t>
        </is>
      </c>
      <c r="F1" t="inlineStr">
        <is>
          <t>Datatech|Datatech - Outreach</t>
        </is>
      </c>
      <c r="H1" t="inlineStr">
        <is>
          <t>Datatech|Datatech - Outreach|Bharati Durgaprasad Paranjape</t>
        </is>
      </c>
      <c r="I1" t="inlineStr">
        <is>
          <t>IRISDT0013</t>
        </is>
      </c>
      <c r="J1" t="n">
        <v>3</v>
      </c>
      <c r="L1">
        <f>IF(TRUE,1,0)</f>
        <v>1</v>
      </c>
      <c r="M1" t="str">
        <f>IFERROR(INDEX($A$1:$A$1,MATCH(1,$L$1:$L$1,0)),"")</f>
        <v>Datatech</v>
      </c>
      <c r="N1">
        <f>IF(AND(LEFT($F1,LEN('1b. Person Card'!$J$5)+1)='1b. Person Card'!$J$5&amp;"|",OR('1b. Person Card'!$F$5="",ISNUMBER(SEARCH('1b. Person Card'!$F$5,MID($F1,LEN('1b. Person Card'!$J$5)+2,250))))),1,0)</f>
        <v>1</v>
      </c>
      <c r="O1" t="str">
        <f>IFERROR(MID(INDEX($F$1:$F$8,MATCH(1,$N$1:$N$8,0)),LEN('1b. Person Card'!$J$5)+2,250),"")</f>
        <v>Datatech - Outreach</v>
      </c>
      <c r="P1">
        <f>IF(AND(LEFT($H1,LEN('1b. Person Card'!$J$5)+LEN('1b. Person Card'!$B$5)+2)='1b. Person Card'!$J$5&amp;"|"&amp;'1b. Person Card'!$B$5&amp;"|",OR('1b. Person Card'!$F$6="",ISNUMBER(SEARCH('1b. Person Card'!$F$6,$D1)))),1,0)</f>
        <v>1</v>
      </c>
      <c r="Q1" t="str">
        <f>IFERROR(INDEX($D$1:$D$34,MATCH(1,$P$1:$P$34,0)),"")</f>
        <v>Bharati Durgaprasad Paranjape</v>
      </c>
    </row>
    <row r="2">
      <c r="B2" t="inlineStr">
        <is>
          <t>Datatech Business Head</t>
        </is>
      </c>
      <c r="D2" t="inlineStr">
        <is>
          <t>Jeevan Khokale</t>
        </is>
      </c>
      <c r="E2" t="inlineStr">
        <is>
          <t>IRISDT0012</t>
        </is>
      </c>
      <c r="F2" t="inlineStr">
        <is>
          <t>Datatech|Datatech Business Head</t>
        </is>
      </c>
      <c r="H2" t="inlineStr">
        <is>
          <t>Datatech|Datatech - Outreach|Jeevan Khokale</t>
        </is>
      </c>
      <c r="I2" t="inlineStr">
        <is>
          <t>IRISDT0012</t>
        </is>
      </c>
      <c r="J2" t="n">
        <v>1</v>
      </c>
      <c r="N2">
        <f>IF(AND(LEFT($F2,LEN('1b. Person Card'!$J$5)+1)='1b. Person Card'!$J$5&amp;"|",OR('1b. Person Card'!$F$5="",ISNUMBER(SEARCH('1b. Person Card'!$F$5,MID($F2,LEN('1b. Person Card'!$J$5)+2,250))))),1,0)+N1</f>
        <v>2</v>
      </c>
      <c r="O2" t="str">
        <f>IFERROR(MID(INDEX($F$1:$F$8,MATCH(2,$N$1:$N$8,0)),LEN('1b. Person Card'!$J$5)+2,250),"")</f>
        <v>Datatech Business Head</v>
      </c>
      <c r="P2">
        <f>IF(AND(LEFT($H2,LEN('1b. Person Card'!$J$5)+LEN('1b. Person Card'!$B$5)+2)='1b. Person Card'!$J$5&amp;"|"&amp;'1b. Person Card'!$B$5&amp;"|",OR('1b. Person Card'!$F$6="",ISNUMBER(SEARCH('1b. Person Card'!$F$6,$D2)))),1,0)+P1</f>
        <v>2</v>
      </c>
      <c r="Q2" t="str">
        <f>IFERROR(INDEX($D$1:$D$34,MATCH(2,$P$1:$P$34,0)),"")</f>
        <v>Jeevan Khokale</v>
      </c>
    </row>
    <row r="3">
      <c r="B3" t="inlineStr">
        <is>
          <t>Marketing</t>
        </is>
      </c>
      <c r="D3" t="inlineStr">
        <is>
          <t>Jothi Pillai</t>
        </is>
      </c>
      <c r="E3" t="inlineStr">
        <is>
          <t>IRISDT0015</t>
        </is>
      </c>
      <c r="F3" t="inlineStr">
        <is>
          <t>Datatech|Marketing</t>
        </is>
      </c>
      <c r="H3" t="inlineStr">
        <is>
          <t>Datatech|Datatech - Outreach|Jothi Pillai</t>
        </is>
      </c>
      <c r="I3" t="inlineStr">
        <is>
          <t>IRISDT0015</t>
        </is>
      </c>
      <c r="J3" t="n">
        <v>7</v>
      </c>
      <c r="N3">
        <f>IF(AND(LEFT($F3,LEN('1b. Person Card'!$J$5)+1)='1b. Person Card'!$J$5&amp;"|",OR('1b. Person Card'!$F$5="",ISNUMBER(SEARCH('1b. Person Card'!$F$5,MID($F3,LEN('1b. Person Card'!$J$5)+2,250))))),1,0)+N2</f>
        <v>3</v>
      </c>
      <c r="O3" t="str">
        <f>IFERROR(MID(INDEX($F$1:$F$8,MATCH(3,$N$1:$N$8,0)),LEN('1b. Person Card'!$J$5)+2,250),"")</f>
        <v>Marketing</v>
      </c>
      <c r="P3">
        <f>IF(AND(LEFT($H3,LEN('1b. Person Card'!$J$5)+LEN('1b. Person Card'!$B$5)+2)='1b. Person Card'!$J$5&amp;"|"&amp;'1b. Person Card'!$B$5&amp;"|",OR('1b. Person Card'!$F$6="",ISNUMBER(SEARCH('1b. Person Card'!$F$6,$D3)))),1,0)+P2</f>
        <v>3</v>
      </c>
      <c r="Q3" t="str">
        <f>IFERROR(INDEX($D$1:$D$34,MATCH(3,$P$1:$P$34,0)),"")</f>
        <v>Jothi Pillai</v>
      </c>
    </row>
    <row r="4">
      <c r="B4" t="inlineStr">
        <is>
          <t>Not provided · HRIS</t>
        </is>
      </c>
      <c r="D4" t="inlineStr">
        <is>
          <t>Lakshmikantha RN</t>
        </is>
      </c>
      <c r="E4" t="inlineStr">
        <is>
          <t>IRISDT0017</t>
        </is>
      </c>
      <c r="F4" t="inlineStr">
        <is>
          <t>Datatech|Not provided · HRIS</t>
        </is>
      </c>
      <c r="H4" t="inlineStr">
        <is>
          <t>Datatech|Datatech - Outreach|Lakshmikantha RN</t>
        </is>
      </c>
      <c r="I4" t="inlineStr">
        <is>
          <t>IRISDT0017</t>
        </is>
      </c>
      <c r="J4" t="n">
        <v>4</v>
      </c>
      <c r="N4">
        <f>IF(AND(LEFT($F4,LEN('1b. Person Card'!$J$5)+1)='1b. Person Card'!$J$5&amp;"|",OR('1b. Person Card'!$F$5="",ISNUMBER(SEARCH('1b. Person Card'!$F$5,MID($F4,LEN('1b. Person Card'!$J$5)+2,250))))),1,0)+N3</f>
        <v>4</v>
      </c>
      <c r="O4" t="str">
        <f>IFERROR(MID(INDEX($F$1:$F$8,MATCH(4,$N$1:$N$8,0)),LEN('1b. Person Card'!$J$5)+2,250),"")</f>
        <v>Not provided · HRIS</v>
      </c>
      <c r="P4">
        <f>IF(AND(LEFT($H4,LEN('1b. Person Card'!$J$5)+LEN('1b. Person Card'!$B$5)+2)='1b. Person Card'!$J$5&amp;"|"&amp;'1b. Person Card'!$B$5&amp;"|",OR('1b. Person Card'!$F$6="",ISNUMBER(SEARCH('1b. Person Card'!$F$6,$D4)))),1,0)+P3</f>
        <v>4</v>
      </c>
      <c r="Q4" t="str">
        <f>IFERROR(INDEX($D$1:$D$34,MATCH(4,$P$1:$P$34,0)),"")</f>
        <v>Lakshmikantha RN</v>
      </c>
    </row>
    <row r="5">
      <c r="B5" t="inlineStr">
        <is>
          <t>Product Management</t>
        </is>
      </c>
      <c r="D5" t="inlineStr">
        <is>
          <t>Nalini Niranjan Damisetti</t>
        </is>
      </c>
      <c r="E5" t="inlineStr">
        <is>
          <t>IRISDT0003</t>
        </is>
      </c>
      <c r="F5" t="inlineStr">
        <is>
          <t>Datatech|Product Management</t>
        </is>
      </c>
      <c r="H5" t="inlineStr">
        <is>
          <t>Datatech|Datatech - Outreach|Nalini Niranjan Damisetti</t>
        </is>
      </c>
      <c r="I5" t="inlineStr">
        <is>
          <t>IRISDT0003</t>
        </is>
      </c>
      <c r="J5" t="n">
        <v>5</v>
      </c>
      <c r="N5">
        <f>IF(AND(LEFT($F5,LEN('1b. Person Card'!$J$5)+1)='1b. Person Card'!$J$5&amp;"|",OR('1b. Person Card'!$F$5="",ISNUMBER(SEARCH('1b. Person Card'!$F$5,MID($F5,LEN('1b. Person Card'!$J$5)+2,250))))),1,0)+N4</f>
        <v>5</v>
      </c>
      <c r="O5" t="str">
        <f>IFERROR(MID(INDEX($F$1:$F$8,MATCH(5,$N$1:$N$8,0)),LEN('1b. Person Card'!$J$5)+2,250),"")</f>
        <v>Product Management</v>
      </c>
      <c r="P5">
        <f>IF(AND(LEFT($H5,LEN('1b. Person Card'!$J$5)+LEN('1b. Person Card'!$B$5)+2)='1b. Person Card'!$J$5&amp;"|"&amp;'1b. Person Card'!$B$5&amp;"|",OR('1b. Person Card'!$F$6="",ISNUMBER(SEARCH('1b. Person Card'!$F$6,$D5)))),1,0)+P4</f>
        <v>5</v>
      </c>
      <c r="Q5" t="str">
        <f>IFERROR(INDEX($D$1:$D$34,MATCH(5,$P$1:$P$34,0)),"")</f>
        <v>Nalini Niranjan Damisetti</v>
      </c>
    </row>
    <row r="6">
      <c r="B6" t="inlineStr">
        <is>
          <t>Quality Assurance</t>
        </is>
      </c>
      <c r="D6" t="inlineStr">
        <is>
          <t>Raghin Nair</t>
        </is>
      </c>
      <c r="E6" t="inlineStr">
        <is>
          <t>IRISDT0011</t>
        </is>
      </c>
      <c r="F6" t="inlineStr">
        <is>
          <t>Datatech|Quality Assurance</t>
        </is>
      </c>
      <c r="H6" t="inlineStr">
        <is>
          <t>Datatech|Datatech - Outreach|Raghin Nair</t>
        </is>
      </c>
      <c r="I6" t="inlineStr">
        <is>
          <t>IRISDT0011</t>
        </is>
      </c>
      <c r="J6" t="n">
        <v>2</v>
      </c>
      <c r="N6">
        <f>IF(AND(LEFT($F6,LEN('1b. Person Card'!$J$5)+1)='1b. Person Card'!$J$5&amp;"|",OR('1b. Person Card'!$F$5="",ISNUMBER(SEARCH('1b. Person Card'!$F$5,MID($F6,LEN('1b. Person Card'!$J$5)+2,250))))),1,0)+N5</f>
        <v>6</v>
      </c>
      <c r="O6" t="str">
        <f>IFERROR(MID(INDEX($F$1:$F$8,MATCH(6,$N$1:$N$8,0)),LEN('1b. Person Card'!$J$5)+2,250),"")</f>
        <v>Quality Assurance</v>
      </c>
      <c r="P6">
        <f>IF(AND(LEFT($H6,LEN('1b. Person Card'!$J$5)+LEN('1b. Person Card'!$B$5)+2)='1b. Person Card'!$J$5&amp;"|"&amp;'1b. Person Card'!$B$5&amp;"|",OR('1b. Person Card'!$F$6="",ISNUMBER(SEARCH('1b. Person Card'!$F$6,$D6)))),1,0)+P5</f>
        <v>6</v>
      </c>
      <c r="Q6" t="str">
        <f>IFERROR(INDEX($D$1:$D$34,MATCH(6,$P$1:$P$34,0)),"")</f>
        <v>Raghin Nair</v>
      </c>
    </row>
    <row r="7">
      <c r="B7" t="inlineStr">
        <is>
          <t>Sales</t>
        </is>
      </c>
      <c r="D7" t="inlineStr">
        <is>
          <t>Sameeksha More</t>
        </is>
      </c>
      <c r="E7" t="inlineStr">
        <is>
          <t>IRISDTC004</t>
        </is>
      </c>
      <c r="F7" t="inlineStr">
        <is>
          <t>Datatech|Sales</t>
        </is>
      </c>
      <c r="H7" t="inlineStr">
        <is>
          <t>Datatech|Datatech - Outreach|Sameeksha More</t>
        </is>
      </c>
      <c r="I7" t="inlineStr">
        <is>
          <t>IRISDTC004</t>
        </is>
      </c>
      <c r="J7" t="n">
        <v>6</v>
      </c>
      <c r="N7">
        <f>IF(AND(LEFT($F7,LEN('1b. Person Card'!$J$5)+1)='1b. Person Card'!$J$5&amp;"|",OR('1b. Person Card'!$F$5="",ISNUMBER(SEARCH('1b. Person Card'!$F$5,MID($F7,LEN('1b. Person Card'!$J$5)+2,250))))),1,0)+N6</f>
        <v>7</v>
      </c>
      <c r="O7" t="str">
        <f>IFERROR(MID(INDEX($F$1:$F$8,MATCH(7,$N$1:$N$8,0)),LEN('1b. Person Card'!$J$5)+2,250),"")</f>
        <v>Sales</v>
      </c>
      <c r="P7">
        <f>IF(AND(LEFT($H7,LEN('1b. Person Card'!$J$5)+LEN('1b. Person Card'!$B$5)+2)='1b. Person Card'!$J$5&amp;"|"&amp;'1b. Person Card'!$B$5&amp;"|",OR('1b. Person Card'!$F$6="",ISNUMBER(SEARCH('1b. Person Card'!$F$6,$D7)))),1,0)+P6</f>
        <v>7</v>
      </c>
      <c r="Q7" t="str">
        <f>IFERROR(INDEX($D$1:$D$34,MATCH(7,$P$1:$P$34,0)),"")</f>
        <v>Sameeksha More</v>
      </c>
    </row>
    <row r="8">
      <c r="B8" t="inlineStr">
        <is>
          <t>Technology</t>
        </is>
      </c>
      <c r="D8" t="inlineStr">
        <is>
          <t>Vaibhav Dukare</t>
        </is>
      </c>
      <c r="E8" t="inlineStr">
        <is>
          <t>IRISDTC003</t>
        </is>
      </c>
      <c r="F8" t="inlineStr">
        <is>
          <t>Datatech|Technology</t>
        </is>
      </c>
      <c r="H8" t="inlineStr">
        <is>
          <t>Datatech|Datatech - Outreach|Vaibhav Dukare</t>
        </is>
      </c>
      <c r="I8" t="inlineStr">
        <is>
          <t>IRISDTC003</t>
        </is>
      </c>
      <c r="J8" t="n">
        <v>8</v>
      </c>
      <c r="N8">
        <f>IF(AND(LEFT($F8,LEN('1b. Person Card'!$J$5)+1)='1b. Person Card'!$J$5&amp;"|",OR('1b. Person Card'!$F$5="",ISNUMBER(SEARCH('1b. Person Card'!$F$5,MID($F8,LEN('1b. Person Card'!$J$5)+2,250))))),1,0)+N7</f>
        <v>8</v>
      </c>
      <c r="O8" t="str">
        <f>IFERROR(MID(INDEX($F$1:$F$8,MATCH(8,$N$1:$N$8,0)),LEN('1b. Person Card'!$J$5)+2,250),"")</f>
        <v>Technology</v>
      </c>
      <c r="P8">
        <f>IF(AND(LEFT($H8,LEN('1b. Person Card'!$J$5)+LEN('1b. Person Card'!$B$5)+2)='1b. Person Card'!$J$5&amp;"|"&amp;'1b. Person Card'!$B$5&amp;"|",OR('1b. Person Card'!$F$6="",ISNUMBER(SEARCH('1b. Person Card'!$F$6,$D8)))),1,0)+P7</f>
        <v>8</v>
      </c>
      <c r="Q8" t="str">
        <f>IFERROR(INDEX($D$1:$D$34,MATCH(8,$P$1:$P$34,0)),"")</f>
        <v>Vaibhav Dukare</v>
      </c>
    </row>
    <row r="9">
      <c r="D9" t="inlineStr">
        <is>
          <t>Shilpa Dhobale</t>
        </is>
      </c>
      <c r="E9" t="inlineStr">
        <is>
          <t>IRISDT0001</t>
        </is>
      </c>
      <c r="H9" t="inlineStr">
        <is>
          <t>Datatech|Datatech Business Head|Shilpa Dhobale</t>
        </is>
      </c>
      <c r="I9" t="inlineStr">
        <is>
          <t>IRISDT0001</t>
        </is>
      </c>
      <c r="J9" t="n">
        <v>9</v>
      </c>
      <c r="P9">
        <f>IF(AND(LEFT($H9,LEN('1b. Person Card'!$J$5)+LEN('1b. Person Card'!$B$5)+2)='1b. Person Card'!$J$5&amp;"|"&amp;'1b. Person Card'!$B$5&amp;"|",OR('1b. Person Card'!$F$6="",ISNUMBER(SEARCH('1b. Person Card'!$F$6,$D9)))),1,0)+P8</f>
        <v>8</v>
      </c>
      <c r="Q9">
        <f>IFERROR(INDEX($D$1:$D$34,MATCH(9,$P$1:$P$34,0)),"")</f>
      </c>
    </row>
    <row r="10">
      <c r="D10" t="inlineStr">
        <is>
          <t>Ankita Pathak</t>
        </is>
      </c>
      <c r="E10" t="inlineStr">
        <is>
          <t>IRISDT0009</t>
        </is>
      </c>
      <c r="H10" t="inlineStr">
        <is>
          <t>Datatech|Marketing|Ankita Pathak</t>
        </is>
      </c>
      <c r="I10" t="inlineStr">
        <is>
          <t>IRISDT0009</t>
        </is>
      </c>
      <c r="J10" t="n">
        <v>10</v>
      </c>
      <c r="P10">
        <f>IF(AND(LEFT($H10,LEN('1b. Person Card'!$J$5)+LEN('1b. Person Card'!$B$5)+2)='1b. Person Card'!$J$5&amp;"|"&amp;'1b. Person Card'!$B$5&amp;"|",OR('1b. Person Card'!$F$6="",ISNUMBER(SEARCH('1b. Person Card'!$F$6,$D10)))),1,0)+P9</f>
        <v>8</v>
      </c>
      <c r="Q10">
        <f>IFERROR(INDEX($D$1:$D$34,MATCH(10,$P$1:$P$34,0)),"")</f>
      </c>
    </row>
    <row r="11">
      <c r="D11" t="inlineStr">
        <is>
          <t>Lalit Subhash Dhamale</t>
        </is>
      </c>
      <c r="E11" t="inlineStr">
        <is>
          <t>IRISDTC001</t>
        </is>
      </c>
      <c r="H11" t="inlineStr">
        <is>
          <t>Datatech|Marketing|Lalit Subhash Dhamale</t>
        </is>
      </c>
      <c r="I11" t="inlineStr">
        <is>
          <t>IRISDTC001</t>
        </is>
      </c>
      <c r="J11" t="n">
        <v>11</v>
      </c>
      <c r="P11">
        <f>IF(AND(LEFT($H11,LEN('1b. Person Card'!$J$5)+LEN('1b. Person Card'!$B$5)+2)='1b. Person Card'!$J$5&amp;"|"&amp;'1b. Person Card'!$B$5&amp;"|",OR('1b. Person Card'!$F$6="",ISNUMBER(SEARCH('1b. Person Card'!$F$6,$D11)))),1,0)+P10</f>
        <v>8</v>
      </c>
      <c r="Q11">
        <f>IFERROR(INDEX($D$1:$D$34,MATCH(11,$P$1:$P$34,0)),"")</f>
      </c>
    </row>
    <row r="12">
      <c r="D12" t="inlineStr">
        <is>
          <t>R Indumathi</t>
        </is>
      </c>
      <c r="E12" t="inlineStr">
        <is>
          <t>No Emp ID · in-house consultant · R Indumathi</t>
        </is>
      </c>
      <c r="H12" t="inlineStr">
        <is>
          <t>Datatech|Marketing|R Indumathi</t>
        </is>
      </c>
      <c r="I12" t="inlineStr">
        <is>
          <t>No Emp ID · in-house consultant · R Indumathi</t>
        </is>
      </c>
      <c r="J12" t="n">
        <v>14</v>
      </c>
      <c r="P12">
        <f>IF(AND(LEFT($H12,LEN('1b. Person Card'!$J$5)+LEN('1b. Person Card'!$B$5)+2)='1b. Person Card'!$J$5&amp;"|"&amp;'1b. Person Card'!$B$5&amp;"|",OR('1b. Person Card'!$F$6="",ISNUMBER(SEARCH('1b. Person Card'!$F$6,$D12)))),1,0)+P11</f>
        <v>8</v>
      </c>
      <c r="Q12">
        <f>IFERROR(INDEX($D$1:$D$34,MATCH(12,$P$1:$P$34,0)),"")</f>
      </c>
    </row>
    <row r="13">
      <c r="D13" t="inlineStr">
        <is>
          <t>Vaishnavi Dhuri</t>
        </is>
      </c>
      <c r="E13" t="inlineStr">
        <is>
          <t>IRISDTC006</t>
        </is>
      </c>
      <c r="H13" t="inlineStr">
        <is>
          <t>Datatech|Marketing|Vaishnavi Dhuri</t>
        </is>
      </c>
      <c r="I13" t="inlineStr">
        <is>
          <t>IRISDTC006</t>
        </is>
      </c>
      <c r="J13" t="n">
        <v>13</v>
      </c>
      <c r="P13">
        <f>IF(AND(LEFT($H13,LEN('1b. Person Card'!$J$5)+LEN('1b. Person Card'!$B$5)+2)='1b. Person Card'!$J$5&amp;"|"&amp;'1b. Person Card'!$B$5&amp;"|",OR('1b. Person Card'!$F$6="",ISNUMBER(SEARCH('1b. Person Card'!$F$6,$D13)))),1,0)+P12</f>
        <v>8</v>
      </c>
      <c r="Q13">
        <f>IFERROR(INDEX($D$1:$D$34,MATCH(13,$P$1:$P$34,0)),"")</f>
      </c>
    </row>
    <row r="14">
      <c r="D14" t="inlineStr">
        <is>
          <t>Vasundhara Lella</t>
        </is>
      </c>
      <c r="E14" t="inlineStr">
        <is>
          <t>IRISDT0007</t>
        </is>
      </c>
      <c r="H14" t="inlineStr">
        <is>
          <t>Datatech|Marketing|Vasundhara Lella</t>
        </is>
      </c>
      <c r="I14" t="inlineStr">
        <is>
          <t>IRISDT0007</t>
        </is>
      </c>
      <c r="J14" t="n">
        <v>12</v>
      </c>
      <c r="P14">
        <f>IF(AND(LEFT($H14,LEN('1b. Person Card'!$J$5)+LEN('1b. Person Card'!$B$5)+2)='1b. Person Card'!$J$5&amp;"|"&amp;'1b. Person Card'!$B$5&amp;"|",OR('1b. Person Card'!$F$6="",ISNUMBER(SEARCH('1b. Person Card'!$F$6,$D14)))),1,0)+P13</f>
        <v>8</v>
      </c>
      <c r="Q14">
        <f>IFERROR(INDEX($D$1:$D$34,MATCH(14,$P$1:$P$34,0)),"")</f>
      </c>
    </row>
    <row r="15">
      <c r="D15" t="inlineStr">
        <is>
          <t>Arindam Bose</t>
        </is>
      </c>
      <c r="E15" t="inlineStr">
        <is>
          <t>No Emp ID · external consultant · Arindam Bose</t>
        </is>
      </c>
      <c r="H15" t="inlineStr">
        <is>
          <t>Datatech|Not provided · HRIS|Arindam Bose</t>
        </is>
      </c>
      <c r="I15" t="inlineStr">
        <is>
          <t>No Emp ID · external consultant · Arindam Bose</t>
        </is>
      </c>
      <c r="J15" t="n">
        <v>15</v>
      </c>
      <c r="P15">
        <f>IF(AND(LEFT($H15,LEN('1b. Person Card'!$J$5)+LEN('1b. Person Card'!$B$5)+2)='1b. Person Card'!$J$5&amp;"|"&amp;'1b. Person Card'!$B$5&amp;"|",OR('1b. Person Card'!$F$6="",ISNUMBER(SEARCH('1b. Person Card'!$F$6,$D15)))),1,0)+P14</f>
        <v>8</v>
      </c>
      <c r="Q15">
        <f>IFERROR(INDEX($D$1:$D$34,MATCH(15,$P$1:$P$34,0)),"")</f>
      </c>
    </row>
    <row r="16">
      <c r="D16" t="inlineStr">
        <is>
          <t>Shweta Vijay</t>
        </is>
      </c>
      <c r="E16" t="inlineStr">
        <is>
          <t>No Emp ID · external consultant · Shweta Vijay</t>
        </is>
      </c>
      <c r="H16" t="inlineStr">
        <is>
          <t>Datatech|Not provided · HRIS|Shweta Vijay</t>
        </is>
      </c>
      <c r="I16" t="inlineStr">
        <is>
          <t>No Emp ID · external consultant · Shweta Vijay</t>
        </is>
      </c>
      <c r="J16" t="n">
        <v>16</v>
      </c>
      <c r="P16">
        <f>IF(AND(LEFT($H16,LEN('1b. Person Card'!$J$5)+LEN('1b. Person Card'!$B$5)+2)='1b. Person Card'!$J$5&amp;"|"&amp;'1b. Person Card'!$B$5&amp;"|",OR('1b. Person Card'!$F$6="",ISNUMBER(SEARCH('1b. Person Card'!$F$6,$D16)))),1,0)+P15</f>
        <v>8</v>
      </c>
      <c r="Q16">
        <f>IFERROR(INDEX($D$1:$D$34,MATCH(16,$P$1:$P$34,0)),"")</f>
      </c>
    </row>
    <row r="17">
      <c r="D17" t="inlineStr">
        <is>
          <t>Ayushi Maurya</t>
        </is>
      </c>
      <c r="E17" t="inlineStr">
        <is>
          <t>IRISDT0024</t>
        </is>
      </c>
      <c r="H17" t="inlineStr">
        <is>
          <t>Datatech|Product Management|Ayushi Maurya</t>
        </is>
      </c>
      <c r="I17" t="inlineStr">
        <is>
          <t>IRISDT0024</t>
        </is>
      </c>
      <c r="J17" t="n">
        <v>20</v>
      </c>
      <c r="P17">
        <f>IF(AND(LEFT($H17,LEN('1b. Person Card'!$J$5)+LEN('1b. Person Card'!$B$5)+2)='1b. Person Card'!$J$5&amp;"|"&amp;'1b. Person Card'!$B$5&amp;"|",OR('1b. Person Card'!$F$6="",ISNUMBER(SEARCH('1b. Person Card'!$F$6,$D17)))),1,0)+P16</f>
        <v>8</v>
      </c>
      <c r="Q17">
        <f>IFERROR(INDEX($D$1:$D$34,MATCH(17,$P$1:$P$34,0)),"")</f>
      </c>
    </row>
    <row r="18">
      <c r="D18" t="inlineStr">
        <is>
          <t>Gaurav Bansal</t>
        </is>
      </c>
      <c r="E18" t="inlineStr">
        <is>
          <t>IRISDT0021</t>
        </is>
      </c>
      <c r="H18" t="inlineStr">
        <is>
          <t>Datatech|Product Management|Gaurav Bansal</t>
        </is>
      </c>
      <c r="I18" t="inlineStr">
        <is>
          <t>IRISDT0021</t>
        </is>
      </c>
      <c r="J18" t="n">
        <v>21</v>
      </c>
      <c r="P18">
        <f>IF(AND(LEFT($H18,LEN('1b. Person Card'!$J$5)+LEN('1b. Person Card'!$B$5)+2)='1b. Person Card'!$J$5&amp;"|"&amp;'1b. Person Card'!$B$5&amp;"|",OR('1b. Person Card'!$F$6="",ISNUMBER(SEARCH('1b. Person Card'!$F$6,$D18)))),1,0)+P17</f>
        <v>8</v>
      </c>
      <c r="Q18">
        <f>IFERROR(INDEX($D$1:$D$34,MATCH(18,$P$1:$P$34,0)),"")</f>
      </c>
    </row>
    <row r="19">
      <c r="D19" t="inlineStr">
        <is>
          <t>Nilesh Majumdar</t>
        </is>
      </c>
      <c r="E19" t="inlineStr">
        <is>
          <t>IRISDT0008</t>
        </is>
      </c>
      <c r="H19" t="inlineStr">
        <is>
          <t>Datatech|Product Management|Nilesh Majumdar</t>
        </is>
      </c>
      <c r="I19" t="inlineStr">
        <is>
          <t>IRISDT0008</t>
        </is>
      </c>
      <c r="J19" t="n">
        <v>17</v>
      </c>
      <c r="P19">
        <f>IF(AND(LEFT($H19,LEN('1b. Person Card'!$J$5)+LEN('1b. Person Card'!$B$5)+2)='1b. Person Card'!$J$5&amp;"|"&amp;'1b. Person Card'!$B$5&amp;"|",OR('1b. Person Card'!$F$6="",ISNUMBER(SEARCH('1b. Person Card'!$F$6,$D19)))),1,0)+P18</f>
        <v>8</v>
      </c>
      <c r="Q19">
        <f>IFERROR(INDEX($D$1:$D$34,MATCH(19,$P$1:$P$34,0)),"")</f>
      </c>
    </row>
    <row r="20">
      <c r="D20" t="inlineStr">
        <is>
          <t>Piyush Raj</t>
        </is>
      </c>
      <c r="E20" t="inlineStr">
        <is>
          <t>IRISDT0010</t>
        </is>
      </c>
      <c r="H20" t="inlineStr">
        <is>
          <t>Datatech|Product Management|Piyush Raj</t>
        </is>
      </c>
      <c r="I20" t="inlineStr">
        <is>
          <t>IRISDT0010</t>
        </is>
      </c>
      <c r="J20" t="n">
        <v>18</v>
      </c>
      <c r="P20">
        <f>IF(AND(LEFT($H20,LEN('1b. Person Card'!$J$5)+LEN('1b. Person Card'!$B$5)+2)='1b. Person Card'!$J$5&amp;"|"&amp;'1b. Person Card'!$B$5&amp;"|",OR('1b. Person Card'!$F$6="",ISNUMBER(SEARCH('1b. Person Card'!$F$6,$D20)))),1,0)+P19</f>
        <v>8</v>
      </c>
      <c r="Q20">
        <f>IFERROR(INDEX($D$1:$D$34,MATCH(20,$P$1:$P$34,0)),"")</f>
      </c>
    </row>
    <row r="21">
      <c r="D21" t="inlineStr">
        <is>
          <t>Sachinam Sawant</t>
        </is>
      </c>
      <c r="E21" t="inlineStr">
        <is>
          <t>IRISDT0023</t>
        </is>
      </c>
      <c r="H21" t="inlineStr">
        <is>
          <t>Datatech|Product Management|Sachinam Sawant</t>
        </is>
      </c>
      <c r="I21" t="inlineStr">
        <is>
          <t>IRISDT0023</t>
        </is>
      </c>
      <c r="J21" t="n">
        <v>19</v>
      </c>
      <c r="P21">
        <f>IF(AND(LEFT($H21,LEN('1b. Person Card'!$J$5)+LEN('1b. Person Card'!$B$5)+2)='1b. Person Card'!$J$5&amp;"|"&amp;'1b. Person Card'!$B$5&amp;"|",OR('1b. Person Card'!$F$6="",ISNUMBER(SEARCH('1b. Person Card'!$F$6,$D21)))),1,0)+P20</f>
        <v>8</v>
      </c>
      <c r="Q21">
        <f>IFERROR(INDEX($D$1:$D$34,MATCH(21,$P$1:$P$34,0)),"")</f>
      </c>
    </row>
    <row r="22">
      <c r="D22" t="inlineStr">
        <is>
          <t>Smita Londhe</t>
        </is>
      </c>
      <c r="E22" t="inlineStr">
        <is>
          <t>IRISDTC005</t>
        </is>
      </c>
      <c r="H22" t="inlineStr">
        <is>
          <t>Datatech|Quality Assurance|Smita Londhe</t>
        </is>
      </c>
      <c r="I22" t="inlineStr">
        <is>
          <t>IRISDTC005</t>
        </is>
      </c>
      <c r="J22" t="n">
        <v>22</v>
      </c>
      <c r="P22">
        <f>IF(AND(LEFT($H22,LEN('1b. Person Card'!$J$5)+LEN('1b. Person Card'!$B$5)+2)='1b. Person Card'!$J$5&amp;"|"&amp;'1b. Person Card'!$B$5&amp;"|",OR('1b. Person Card'!$F$6="",ISNUMBER(SEARCH('1b. Person Card'!$F$6,$D22)))),1,0)+P21</f>
        <v>8</v>
      </c>
      <c r="Q22">
        <f>IFERROR(INDEX($D$1:$D$34,MATCH(22,$P$1:$P$34,0)),"")</f>
      </c>
    </row>
    <row r="23">
      <c r="D23" t="inlineStr">
        <is>
          <t>Supriya Patil</t>
        </is>
      </c>
      <c r="E23" t="inlineStr">
        <is>
          <t>IRISDT0014</t>
        </is>
      </c>
      <c r="H23" t="inlineStr">
        <is>
          <t>Datatech|Quality Assurance|Supriya Patil</t>
        </is>
      </c>
      <c r="I23" t="inlineStr">
        <is>
          <t>IRISDT0014</t>
        </is>
      </c>
      <c r="J23" t="n">
        <v>23</v>
      </c>
      <c r="P23">
        <f>IF(AND(LEFT($H23,LEN('1b. Person Card'!$J$5)+LEN('1b. Person Card'!$B$5)+2)='1b. Person Card'!$J$5&amp;"|"&amp;'1b. Person Card'!$B$5&amp;"|",OR('1b. Person Card'!$F$6="",ISNUMBER(SEARCH('1b. Person Card'!$F$6,$D23)))),1,0)+P22</f>
        <v>8</v>
      </c>
      <c r="Q23">
        <f>IFERROR(INDEX($D$1:$D$34,MATCH(23,$P$1:$P$34,0)),"")</f>
      </c>
    </row>
    <row r="24">
      <c r="D24" t="inlineStr">
        <is>
          <t>Abhishek Gite</t>
        </is>
      </c>
      <c r="E24" t="inlineStr">
        <is>
          <t>IRISDT0019</t>
        </is>
      </c>
      <c r="H24" t="inlineStr">
        <is>
          <t>Datatech|Sales|Abhishek Gite</t>
        </is>
      </c>
      <c r="I24" t="inlineStr">
        <is>
          <t>IRISDT0019</t>
        </is>
      </c>
      <c r="J24" t="n">
        <v>24</v>
      </c>
      <c r="P24">
        <f>IF(AND(LEFT($H24,LEN('1b. Person Card'!$J$5)+LEN('1b. Person Card'!$B$5)+2)='1b. Person Card'!$J$5&amp;"|"&amp;'1b. Person Card'!$B$5&amp;"|",OR('1b. Person Card'!$F$6="",ISNUMBER(SEARCH('1b. Person Card'!$F$6,$D24)))),1,0)+P23</f>
        <v>8</v>
      </c>
      <c r="Q24">
        <f>IFERROR(INDEX($D$1:$D$34,MATCH(24,$P$1:$P$34,0)),"")</f>
      </c>
    </row>
    <row r="25">
      <c r="D25" t="inlineStr">
        <is>
          <t>Akshay Shetty</t>
        </is>
      </c>
      <c r="E25" t="inlineStr">
        <is>
          <t>IRISDTC002</t>
        </is>
      </c>
      <c r="H25" t="inlineStr">
        <is>
          <t>Datatech|Technology|Akshay Shetty</t>
        </is>
      </c>
      <c r="I25" t="inlineStr">
        <is>
          <t>IRISDTC002</t>
        </is>
      </c>
      <c r="J25" t="n">
        <v>26</v>
      </c>
      <c r="P25">
        <f>IF(AND(LEFT($H25,LEN('1b. Person Card'!$J$5)+LEN('1b. Person Card'!$B$5)+2)='1b. Person Card'!$J$5&amp;"|"&amp;'1b. Person Card'!$B$5&amp;"|",OR('1b. Person Card'!$F$6="",ISNUMBER(SEARCH('1b. Person Card'!$F$6,$D25)))),1,0)+P24</f>
        <v>8</v>
      </c>
      <c r="Q25">
        <f>IFERROR(INDEX($D$1:$D$34,MATCH(25,$P$1:$P$34,0)),"")</f>
      </c>
    </row>
    <row r="26">
      <c r="D26" t="inlineStr">
        <is>
          <t>Krishnadev Arya</t>
        </is>
      </c>
      <c r="E26" t="inlineStr">
        <is>
          <t>IRISDT0004</t>
        </is>
      </c>
      <c r="H26" t="inlineStr">
        <is>
          <t>Datatech|Technology|Krishnadev Arya</t>
        </is>
      </c>
      <c r="I26" t="inlineStr">
        <is>
          <t>IRISDT0004</t>
        </is>
      </c>
      <c r="J26" t="n">
        <v>30</v>
      </c>
      <c r="P26">
        <f>IF(AND(LEFT($H26,LEN('1b. Person Card'!$J$5)+LEN('1b. Person Card'!$B$5)+2)='1b. Person Card'!$J$5&amp;"|"&amp;'1b. Person Card'!$B$5&amp;"|",OR('1b. Person Card'!$F$6="",ISNUMBER(SEARCH('1b. Person Card'!$F$6,$D26)))),1,0)+P25</f>
        <v>8</v>
      </c>
      <c r="Q26">
        <f>IFERROR(INDEX($D$1:$D$34,MATCH(26,$P$1:$P$34,0)),"")</f>
      </c>
    </row>
    <row r="27">
      <c r="D27" t="inlineStr">
        <is>
          <t>Niraj Santosh Patil</t>
        </is>
      </c>
      <c r="E27" t="inlineStr">
        <is>
          <t>IRISDT0002</t>
        </is>
      </c>
      <c r="H27" t="inlineStr">
        <is>
          <t>Datatech|Technology|Niraj Santosh Patil</t>
        </is>
      </c>
      <c r="I27" t="inlineStr">
        <is>
          <t>IRISDT0002</t>
        </is>
      </c>
      <c r="J27" t="n">
        <v>28</v>
      </c>
      <c r="P27">
        <f>IF(AND(LEFT($H27,LEN('1b. Person Card'!$J$5)+LEN('1b. Person Card'!$B$5)+2)='1b. Person Card'!$J$5&amp;"|"&amp;'1b. Person Card'!$B$5&amp;"|",OR('1b. Person Card'!$F$6="",ISNUMBER(SEARCH('1b. Person Card'!$F$6,$D27)))),1,0)+P26</f>
        <v>8</v>
      </c>
      <c r="Q27">
        <f>IFERROR(INDEX($D$1:$D$34,MATCH(27,$P$1:$P$34,0)),"")</f>
      </c>
    </row>
    <row r="28">
      <c r="D28" t="inlineStr">
        <is>
          <t>Riyanka Dey</t>
        </is>
      </c>
      <c r="E28" t="inlineStr">
        <is>
          <t>IRISDTN001</t>
        </is>
      </c>
      <c r="H28" t="inlineStr">
        <is>
          <t>Datatech|Technology|Riyanka Dey</t>
        </is>
      </c>
      <c r="I28" t="inlineStr">
        <is>
          <t>IRISDTN001</t>
        </is>
      </c>
      <c r="J28" t="n">
        <v>31</v>
      </c>
      <c r="P28">
        <f>IF(AND(LEFT($H28,LEN('1b. Person Card'!$J$5)+LEN('1b. Person Card'!$B$5)+2)='1b. Person Card'!$J$5&amp;"|"&amp;'1b. Person Card'!$B$5&amp;"|",OR('1b. Person Card'!$F$6="",ISNUMBER(SEARCH('1b. Person Card'!$F$6,$D28)))),1,0)+P27</f>
        <v>8</v>
      </c>
      <c r="Q28">
        <f>IFERROR(INDEX($D$1:$D$34,MATCH(28,$P$1:$P$34,0)),"")</f>
      </c>
    </row>
    <row r="29">
      <c r="D29" t="inlineStr">
        <is>
          <t>Sadhan Kumar</t>
        </is>
      </c>
      <c r="E29" t="inlineStr">
        <is>
          <t>No Emp ID · external consultant · Sadhan Kumar</t>
        </is>
      </c>
      <c r="H29" t="inlineStr">
        <is>
          <t>Datatech|Technology|Sadhan Kumar</t>
        </is>
      </c>
      <c r="I29" t="inlineStr">
        <is>
          <t>No Emp ID · external consultant · Sadhan Kumar</t>
        </is>
      </c>
      <c r="J29" t="n">
        <v>32</v>
      </c>
      <c r="P29">
        <f>IF(AND(LEFT($H29,LEN('1b. Person Card'!$J$5)+LEN('1b. Person Card'!$B$5)+2)='1b. Person Card'!$J$5&amp;"|"&amp;'1b. Person Card'!$B$5&amp;"|",OR('1b. Person Card'!$F$6="",ISNUMBER(SEARCH('1b. Person Card'!$F$6,$D29)))),1,0)+P28</f>
        <v>8</v>
      </c>
      <c r="Q29">
        <f>IFERROR(INDEX($D$1:$D$34,MATCH(29,$P$1:$P$34,0)),"")</f>
      </c>
    </row>
    <row r="30">
      <c r="D30" t="inlineStr">
        <is>
          <t>Sanghamitra Saxena</t>
        </is>
      </c>
      <c r="E30" t="inlineStr">
        <is>
          <t>IRISDT0006</t>
        </is>
      </c>
      <c r="H30" t="inlineStr">
        <is>
          <t>Datatech|Technology|Sanghamitra Saxena</t>
        </is>
      </c>
      <c r="I30" t="inlineStr">
        <is>
          <t>IRISDT0006</t>
        </is>
      </c>
      <c r="J30" t="n">
        <v>25</v>
      </c>
      <c r="P30">
        <f>IF(AND(LEFT($H30,LEN('1b. Person Card'!$J$5)+LEN('1b. Person Card'!$B$5)+2)='1b. Person Card'!$J$5&amp;"|"&amp;'1b. Person Card'!$B$5&amp;"|",OR('1b. Person Card'!$F$6="",ISNUMBER(SEARCH('1b. Person Card'!$F$6,$D30)))),1,0)+P29</f>
        <v>8</v>
      </c>
      <c r="Q30">
        <f>IFERROR(INDEX($D$1:$D$34,MATCH(30,$P$1:$P$34,0)),"")</f>
      </c>
    </row>
    <row r="31">
      <c r="D31" t="inlineStr">
        <is>
          <t>Shivam Dhumal</t>
        </is>
      </c>
      <c r="E31" t="inlineStr">
        <is>
          <t>IRISDT0018</t>
        </is>
      </c>
      <c r="H31" t="inlineStr">
        <is>
          <t>Datatech|Technology|Shivam Dhumal</t>
        </is>
      </c>
      <c r="I31" t="inlineStr">
        <is>
          <t>IRISDT0018</t>
        </is>
      </c>
      <c r="J31" t="n">
        <v>29</v>
      </c>
      <c r="P31">
        <f>IF(AND(LEFT($H31,LEN('1b. Person Card'!$J$5)+LEN('1b. Person Card'!$B$5)+2)='1b. Person Card'!$J$5&amp;"|"&amp;'1b. Person Card'!$B$5&amp;"|",OR('1b. Person Card'!$F$6="",ISNUMBER(SEARCH('1b. Person Card'!$F$6,$D31)))),1,0)+P30</f>
        <v>8</v>
      </c>
      <c r="Q31">
        <f>IFERROR(INDEX($D$1:$D$34,MATCH(31,$P$1:$P$34,0)),"")</f>
      </c>
    </row>
    <row r="32">
      <c r="D32" t="inlineStr">
        <is>
          <t>Sohel Yadav</t>
        </is>
      </c>
      <c r="E32" t="inlineStr">
        <is>
          <t>No Emp ID · external consultant · Sohel Yadav</t>
        </is>
      </c>
      <c r="H32" t="inlineStr">
        <is>
          <t>Datatech|Technology|Sohel Yadav</t>
        </is>
      </c>
      <c r="I32" t="inlineStr">
        <is>
          <t>No Emp ID · external consultant · Sohel Yadav</t>
        </is>
      </c>
      <c r="J32" t="n">
        <v>33</v>
      </c>
      <c r="P32">
        <f>IF(AND(LEFT($H32,LEN('1b. Person Card'!$J$5)+LEN('1b. Person Card'!$B$5)+2)='1b. Person Card'!$J$5&amp;"|"&amp;'1b. Person Card'!$B$5&amp;"|",OR('1b. Person Card'!$F$6="",ISNUMBER(SEARCH('1b. Person Card'!$F$6,$D32)))),1,0)+P31</f>
        <v>8</v>
      </c>
      <c r="Q32">
        <f>IFERROR(INDEX($D$1:$D$34,MATCH(32,$P$1:$P$34,0)),"")</f>
      </c>
    </row>
    <row r="33">
      <c r="D33" t="inlineStr">
        <is>
          <t>Utkarsh Sagar Bafana</t>
        </is>
      </c>
      <c r="E33" t="inlineStr">
        <is>
          <t>IRISDT0020</t>
        </is>
      </c>
      <c r="H33" t="inlineStr">
        <is>
          <t>Datatech|Technology|Utkarsh Sagar Bafana</t>
        </is>
      </c>
      <c r="I33" t="inlineStr">
        <is>
          <t>IRISDT0020</t>
        </is>
      </c>
      <c r="J33" t="n">
        <v>27</v>
      </c>
      <c r="P33">
        <f>IF(AND(LEFT($H33,LEN('1b. Person Card'!$J$5)+LEN('1b. Person Card'!$B$5)+2)='1b. Person Card'!$J$5&amp;"|"&amp;'1b. Person Card'!$B$5&amp;"|",OR('1b. Person Card'!$F$6="",ISNUMBER(SEARCH('1b. Person Card'!$F$6,$D33)))),1,0)+P32</f>
        <v>8</v>
      </c>
      <c r="Q33">
        <f>IFERROR(INDEX($D$1:$D$34,MATCH(33,$P$1:$P$34,0)),"")</f>
      </c>
    </row>
    <row r="34">
      <c r="D34" t="inlineStr">
        <is>
          <t>Vivek Kumar</t>
        </is>
      </c>
      <c r="E34" t="inlineStr">
        <is>
          <t>No Emp ID · in-house consultant · Vivek Kumar</t>
        </is>
      </c>
      <c r="H34" t="inlineStr">
        <is>
          <t>Datatech|Technology|Vivek Kumar</t>
        </is>
      </c>
      <c r="I34" t="inlineStr">
        <is>
          <t>No Emp ID · in-house consultant · Vivek Kumar</t>
        </is>
      </c>
      <c r="J34" t="n">
        <v>34</v>
      </c>
      <c r="P34">
        <f>IF(AND(LEFT($H34,LEN('1b. Person Card'!$J$5)+LEN('1b. Person Card'!$B$5)+2)='1b. Person Card'!$J$5&amp;"|"&amp;'1b. Person Card'!$B$5&amp;"|",OR('1b. Person Card'!$F$6="",ISNUMBER(SEARCH('1b. Person Card'!$F$6,$D34)))),1,0)+P33</f>
        <v>8</v>
      </c>
      <c r="Q34">
        <f>IFERROR(INDEX($D$1:$D$34,MATCH(34,$P$1:$P$34,0)),"")</f>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Datatech Product Master</dc:title>
  <dcterms:created xmlns:dcterms="http://purl.org/dc/terms/" xmlns:xsi="http://www.w3.org/2001/XMLSchema-instance" xsi:type="dcterms:W3CDTF">2026-10-12T06:11:00Z</dcterms:created>
  <dcterms:modified xmlns:dcterms="http://purl.org/dc/terms/" xmlns:xsi="http://www.w3.org/2001/XMLSchema-instance" xsi:type="dcterms:W3CDTF">2026-10-12T06:13:30Z</dcterms:modified>
</cp:coreProperties>
</file>