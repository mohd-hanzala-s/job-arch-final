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6.xml" ContentType="application/vnd.openxmlformats-officedocument.spreadsheetml.table+xml"/>
  <Override PartName="/xl/worksheets/sheet19.xml" ContentType="application/vnd.openxmlformats-officedocument.spreadsheetml.worksheet+xml"/>
  <Override PartName="/xl/tables/table7.xml" ContentType="application/vnd.openxmlformats-officedocument.spreadsheetml.table+xml"/>
  <Override PartName="/xl/worksheets/sheet20.xml" ContentType="application/vnd.openxmlformats-officedocument.spreadsheetml.worksheet+xml"/>
  <Override PartName="/xl/tables/table8.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9.xml" ContentType="application/vnd.openxmlformats-officedocument.spreadsheetml.table+xml"/>
  <Override PartName="/xl/worksheets/sheet23.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comments/comment6.xml" ContentType="application/vnd.openxmlformats-officedocument.spreadsheetml.comments+xml"/>
  <Override PartName="/xl/tables/table13.xml" ContentType="application/vnd.openxmlformats-officedocument.spreadsheetml.table+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Overview" sheetId="3" state="visible" r:id="rId3"/>
    <sheet xmlns:r="http://schemas.openxmlformats.org/officeDocument/2006/relationships" name="1a. Placements" sheetId="4" state="visible" r:id="rId4"/>
    <sheet xmlns:r="http://schemas.openxmlformats.org/officeDocument/2006/relationships" name="1b. Person Card" sheetId="5" state="visible" r:id="rId5"/>
    <sheet xmlns:r="http://schemas.openxmlformats.org/officeDocument/2006/relationships" name="1d. Weightage Matrix" sheetId="6" state="visible" r:id="rId6"/>
    <sheet xmlns:r="http://schemas.openxmlformats.org/officeDocument/2006/relationships" name="1e. Weight Benchmark" sheetId="7" state="visible" r:id="rId7"/>
    <sheet xmlns:r="http://schemas.openxmlformats.org/officeDocument/2006/relationships" name="2. Talent Mapping" sheetId="8" state="visible" r:id="rId8"/>
    <sheet xmlns:r="http://schemas.openxmlformats.org/officeDocument/2006/relationships" name="3. Raw Data &amp; Market Standards" sheetId="9" state="visible" r:id="rId9"/>
    <sheet xmlns:r="http://schemas.openxmlformats.org/officeDocument/2006/relationships" name="4. Role Competency Framework" sheetId="10" state="visible" r:id="rId10"/>
    <sheet xmlns:r="http://schemas.openxmlformats.org/officeDocument/2006/relationships" name="5. Capability Framework" sheetId="11" state="visible" r:id="rId11"/>
    <sheet xmlns:r="http://schemas.openxmlformats.org/officeDocument/2006/relationships" name="6. Role Catalogue" sheetId="12" state="visible" r:id="rId12"/>
    <sheet xmlns:r="http://schemas.openxmlformats.org/officeDocument/2006/relationships" name="7. Role Requirements" sheetId="13" state="visible" r:id="rId13"/>
    <sheet xmlns:r="http://schemas.openxmlformats.org/officeDocument/2006/relationships" name="8. Talent, Learning &amp; Mobility" sheetId="14" state="visible" r:id="rId14"/>
    <sheet xmlns:r="http://schemas.openxmlformats.org/officeDocument/2006/relationships" name="9. Calibration &amp; Decisions" sheetId="15" state="visible" r:id="rId15"/>
    <sheet xmlns:r="http://schemas.openxmlformats.org/officeDocument/2006/relationships" name="10. Framework &amp; Logic" sheetId="16" state="visible" r:id="rId16"/>
    <sheet xmlns:r="http://schemas.openxmlformats.org/officeDocument/2006/relationships" name="11. References &amp; Benchmarks" sheetId="17" state="visible" r:id="rId17"/>
    <sheet xmlns:r="http://schemas.openxmlformats.org/officeDocument/2006/relationships" name="12. Org Health" sheetId="18" state="visible" r:id="rId18"/>
    <sheet xmlns:r="http://schemas.openxmlformats.org/officeDocument/2006/relationships" name="13. Weight Sensitivity" sheetId="19" state="visible" r:id="rId19"/>
    <sheet xmlns:r="http://schemas.openxmlformats.org/officeDocument/2006/relationships" name="14. A3 Deep-Dive" sheetId="20" state="visible" r:id="rId20"/>
    <sheet xmlns:r="http://schemas.openxmlformats.org/officeDocument/2006/relationships" name="15. Succession" sheetId="21" state="visible" r:id="rId21"/>
    <sheet xmlns:r="http://schemas.openxmlformats.org/officeDocument/2006/relationships" name="15a. Critical Roles at Risk" sheetId="22" state="visible" r:id="rId22"/>
    <sheet xmlns:r="http://schemas.openxmlformats.org/officeDocument/2006/relationships" name="16. Role Definitions" sheetId="23" state="visible" r:id="rId23"/>
    <sheet xmlns:r="http://schemas.openxmlformats.org/officeDocument/2006/relationships" name="17. Data Gaps" sheetId="24" state="visible" r:id="rId24"/>
    <sheet xmlns:r="http://schemas.openxmlformats.org/officeDocument/2006/relationships" name="18. Career Ladder" sheetId="25" state="visible" r:id="rId25"/>
    <sheet xmlns:r="http://schemas.openxmlformats.org/officeDocument/2006/relationships" name="Card Lists" sheetId="26" state="hidden" r:id="rId26"/>
  </sheets>
  <definedNames>
    <definedName name="PC_Products">'Card Lists'!$A$1:$A$1</definedName>
    <definedName name="PC_D_1">'Card Lists'!$B$1:$B$3</definedName>
    <definedName name="PC_N_1">'Card Lists'!$D$1:$D$9</definedName>
    <definedName name="PC_I_1">'Card Lists'!$E$1:$E$9</definedName>
    <definedName name="PC_N_2">'Card Lists'!$D$10:$D$18</definedName>
    <definedName name="PC_I_2">'Card Lists'!$E$10:$E$18</definedName>
    <definedName name="PC_N_3">'Card Lists'!$D$19:$D$23</definedName>
    <definedName name="PC_I_3">'Card Lists'!$E$19:$E$23</definedName>
    <definedName name="PC_Keys">'Card Lists'!$F$1:$F$3</definedName>
    <definedName name="PC_NK">'Card Lists'!$H$1:$H$23</definedName>
    <definedName name="PC_NKIds">'Card Lists'!$I$1:$I$23</definedName>
    <definedName name="PC_NKRow">'Card Lists'!$J$1:$J$23</definedName>
    <definedName name="PC_ProdF">OFFSET('Card Lists'!$M$1,0,0,MAX(1,'Card Lists'!$L$1),1)</definedName>
    <definedName name="PC_DeptF">OFFSET('Card Lists'!$O$1,0,0,MAX(1,'Card Lists'!$N$3),1)</definedName>
    <definedName name="PC_NameF">OFFSET('Card Lists'!$Q$1,0,0,MAX(1,'Card Lists'!$P$23),1)</definedName>
    <definedName name="WM_EXP_AB">'1d. Weightage Matrix'!$B$6</definedName>
    <definedName name="WM_EXP_CE">'1d. Weightage Matrix'!$B$7</definedName>
    <definedName name="WM_C">'1d. Weightage Matrix'!$N$17:$N$25</definedName>
    <definedName name="WM_AU">'1d. Weightage Matrix'!$O$17:$O$25</definedName>
    <definedName name="WM_AC">'1d. Weightage Matrix'!$P$17:$P$25</definedName>
    <definedName name="WM_L">'1d. Weightage Matrix'!$Q$17:$Q$25</definedName>
    <definedName name="WM_E">'1d. Weightage Matrix'!$R$17:$R$25</definedName>
    <definedName name="WM_BI">'1d. Weightage Matrix'!$S$17:$S$25</definedName>
    <definedName name="WM_KEY">'1d. Weightage Matrix'!$A$17:$A$25</definedName>
    <definedName name="_xlnm.Print_Titles" localSheetId="3">'1a. Placements'!$5:$6</definedName>
    <definedName name="_xlnm.Print_Area" localSheetId="4">'1b. Person Card'!$A$1:$H$58</definedName>
    <definedName name="_xlnm.Print_Titles" localSheetId="5">'1d. Weightage Matrix'!$15:$16</definedName>
    <definedName name="_xlnm.Print_Titles" localSheetId="7">'2. Talent Mapping'!$5:$6</definedName>
    <definedName name="_xlnm.Print_Titles" localSheetId="8">'3. Raw Data &amp; Market Standards'!$5:$6</definedName>
    <definedName name="_xlnm._FilterDatabase" localSheetId="11" hidden="1">'6. Role Catalogue'!$A$6:$AY$21</definedName>
    <definedName name="_xlnm.Print_Titles" localSheetId="11">'6. Role Catalogue'!$5:$6</definedName>
    <definedName name="_xlnm.Print_Titles" localSheetId="13">'8. Talent, Learning &amp; Mobility'!$5:$6</definedName>
    <definedName name="_xlnm.Print_Titles" localSheetId="17">'12. Org Health'!$12:$13</definedName>
    <definedName name="_xlnm.Print_Titles" localSheetId="18">'13. Weight Sensitivity'!$39:$40</definedName>
    <definedName name="_xlnm.Print_Titles" localSheetId="19">'14. A3 Deep-Dive'!$5:$6</definedName>
    <definedName name="_xlnm.Print_Titles" localSheetId="21">'15a. Critical Roles at Risk'!$4:$5</definedName>
    <definedName name="_xlnm.Print_Titles" localSheetId="22">'16. Role Definitions'!$5:$6</definedName>
    <definedName name="_xlnm.Print_Titles" localSheetId="23">'17. Data Gaps'!$4:$5</definedName>
    <definedName name="_xlnm.Print_Titles" localSheetId="24">'18. Career Ladder'!$5:$6</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m-yyyy"/>
  </numFmts>
  <fonts count="43">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9"/>
    </font>
    <font>
      <name val="Calibri"/>
      <b val="1"/>
      <color rgb="001F3864"/>
      <sz val="18"/>
    </font>
    <font>
      <name val="Calibri"/>
      <i val="1"/>
      <color rgb="00595959"/>
      <sz val="10"/>
    </font>
    <font>
      <name val="Calibri"/>
      <b val="1"/>
      <color rgb="00FFFFFF"/>
      <sz val="10"/>
    </font>
    <font>
      <name val="Calibri"/>
      <b val="1"/>
      <sz val="10"/>
    </font>
    <font>
      <name val="Calibri"/>
      <sz val="10"/>
    </font>
    <font>
      <name val="Calibri"/>
      <b val="1"/>
      <color rgb="009C0006"/>
      <sz val="10"/>
    </font>
    <font>
      <name val="Calibri"/>
      <b val="1"/>
      <color rgb="001F3864"/>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7F6000"/>
      <sz val="10"/>
    </font>
    <font>
      <name val="Calibri"/>
      <color rgb="009C0006"/>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i val="1"/>
      <sz val="10"/>
    </font>
    <font>
      <name val="Calibri"/>
      <color rgb="00006100"/>
      <sz val="10"/>
    </font>
    <font>
      <name val="Calibri"/>
      <b val="1"/>
      <color rgb="00C00000"/>
      <sz val="10"/>
    </font>
    <font>
      <name val="Calibri"/>
      <color rgb="009C5700"/>
      <sz val="10"/>
    </font>
    <font>
      <name val="Calibri"/>
      <b val="1"/>
      <color rgb="001F3864"/>
      <sz val="11"/>
    </font>
    <font>
      <name val="Calibri"/>
      <b val="1"/>
      <sz val="11"/>
    </font>
    <font>
      <name val="Calibri"/>
      <b val="1"/>
      <color rgb="00595959"/>
      <sz val="10"/>
    </font>
    <font>
      <name val="Calibri"/>
      <sz val="11"/>
    </font>
    <font>
      <name val="Calibri"/>
      <b val="1"/>
      <color rgb="001F3864"/>
      <sz val="14"/>
    </font>
    <font>
      <name val="Calibri"/>
      <b val="1"/>
      <color rgb="00404040"/>
      <sz val="11"/>
    </font>
    <font>
      <name val="Consolas"/>
      <color rgb="002E75B6"/>
      <sz val="10"/>
    </font>
    <font>
      <name val="Calibri"/>
      <b val="1"/>
      <sz val="12"/>
    </font>
    <font>
      <name val="Calibri"/>
      <b val="1"/>
      <color rgb="000563C1"/>
      <sz val="11"/>
      <u val="single"/>
    </font>
    <font>
      <name val="Calibri"/>
      <b val="1"/>
      <color rgb="000563C1"/>
      <sz val="10"/>
      <u val="single"/>
    </font>
  </fonts>
  <fills count="37">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F8CBAD"/>
      </patternFill>
    </fill>
    <fill>
      <patternFill patternType="solid">
        <fgColor rgb="00E2EFDA"/>
      </patternFill>
    </fill>
    <fill>
      <patternFill patternType="solid">
        <fgColor rgb="00DDEBF7"/>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3A3838"/>
      </patternFill>
    </fill>
    <fill>
      <patternFill patternType="solid">
        <fgColor rgb="00595959"/>
      </patternFill>
    </fill>
    <fill>
      <patternFill patternType="solid">
        <fgColor rgb="00EEF6EA"/>
      </patternFill>
    </fill>
    <fill>
      <patternFill patternType="solid">
        <fgColor rgb="00EAF3FB"/>
      </patternFill>
    </fill>
    <fill>
      <patternFill patternType="solid">
        <fgColor rgb="00EAF2E6"/>
      </patternFill>
    </fill>
    <fill>
      <patternFill patternType="solid">
        <fgColor rgb="00F4EEF9"/>
      </patternFill>
    </fill>
    <fill>
      <patternFill patternType="solid">
        <fgColor rgb="00F8F4E6"/>
      </patternFill>
    </fill>
    <fill>
      <patternFill patternType="solid">
        <fgColor rgb="00F8EDE7"/>
      </patternFill>
    </fill>
    <fill>
      <patternFill patternType="solid">
        <fgColor rgb="00FCF1EA"/>
      </patternFill>
    </fill>
    <fill>
      <patternFill patternType="solid">
        <fgColor rgb="00EEF2F9"/>
      </patternFill>
    </fill>
    <fill>
      <patternFill patternType="solid">
        <fgColor rgb="00FFFFFF"/>
      </patternFill>
    </fill>
    <fill>
      <patternFill patternType="solid">
        <fgColor rgb="00808080"/>
      </patternFill>
    </fill>
  </fills>
  <borders count="24">
    <border>
      <left/>
      <right/>
      <top/>
      <bottom/>
      <diagonal/>
    </border>
    <border>
      <left style="thin">
        <color rgb="00BFBFBF"/>
      </left>
      <right style="thin">
        <color rgb="00BFBFBF"/>
      </right>
      <top style="thin">
        <color rgb="00BFBFBF"/>
      </top>
      <bottom style="thin">
        <color rgb="00BFBFBF"/>
      </bottom>
    </border>
    <border>
      <left style="medium">
        <color rgb="00548235"/>
      </left>
      <right style="thin">
        <color rgb="00BFBFBF"/>
      </right>
      <top style="thin">
        <color rgb="00BFBFBF"/>
      </top>
      <bottom style="thin">
        <color rgb="00BFBFBF"/>
      </bottom>
    </border>
    <border>
      <left style="medium">
        <color rgb="002E75B6"/>
      </left>
      <right style="thin">
        <color rgb="00BFBFBF"/>
      </right>
      <top style="thin">
        <color rgb="00BFBFBF"/>
      </top>
      <bottom style="thin">
        <color rgb="00BFBFBF"/>
      </bottom>
    </border>
    <border>
      <left style="medium">
        <color rgb="00375623"/>
      </left>
      <right style="thin">
        <color rgb="00BFBFBF"/>
      </right>
      <top style="thin">
        <color rgb="00BFBFBF"/>
      </top>
      <bottom style="thin">
        <color rgb="00BFBFBF"/>
      </bottom>
    </border>
    <border>
      <left style="medium">
        <color rgb="007030A0"/>
      </left>
      <right style="thin">
        <color rgb="00BFBFBF"/>
      </right>
      <top style="thin">
        <color rgb="00BFBFBF"/>
      </top>
      <bottom style="thin">
        <color rgb="00BFBFBF"/>
      </bottom>
    </border>
    <border>
      <left style="medium">
        <color rgb="003A3838"/>
      </left>
      <right style="thin">
        <color rgb="00BFBFBF"/>
      </right>
      <top style="thin">
        <color rgb="00BFBFBF"/>
      </top>
      <bottom style="thin">
        <color rgb="00BFBFBF"/>
      </bottom>
    </border>
    <border>
      <left style="medium">
        <color rgb="00806000"/>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style="medium">
        <color rgb="00843C0C"/>
      </left>
      <right style="thin">
        <color rgb="00BFBFBF"/>
      </right>
      <top style="thin">
        <color rgb="00BFBFBF"/>
      </top>
      <bottom style="thin">
        <color rgb="00BFBFBF"/>
      </bottom>
    </border>
    <border>
      <left style="medium">
        <color rgb="00C55A11"/>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medium">
        <color rgb="00548235"/>
      </left>
      <right/>
      <top/>
      <bottom/>
    </border>
    <border>
      <left style="medium">
        <color rgb="00375623"/>
      </left>
      <right/>
      <top/>
      <bottom/>
    </border>
    <border>
      <left style="medium">
        <color rgb="001F3864"/>
      </left>
      <right/>
      <top/>
      <bottom/>
    </border>
    <border>
      <left style="medium">
        <color rgb="00843C0C"/>
      </left>
      <right/>
      <top/>
      <bottom/>
    </border>
    <border>
      <left style="medium">
        <color rgb="007030A0"/>
      </left>
      <right/>
      <top/>
      <bottom/>
    </border>
    <border>
      <left style="medium">
        <color rgb="002E75B6"/>
      </left>
      <right/>
      <top/>
      <bottom/>
    </border>
    <border>
      <left style="medium">
        <color rgb="00C55A11"/>
      </left>
      <right/>
      <top/>
      <bottom/>
    </border>
    <border>
      <left style="medium">
        <color rgb="00806000"/>
      </left>
      <right/>
      <top/>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top" wrapText="1"/>
    </xf>
    <xf numFmtId="0" fontId="9" fillId="0" borderId="1" applyAlignment="1" pivotButton="0" quotePrefix="0" xfId="0">
      <alignment vertical="top" wrapText="1"/>
    </xf>
    <xf numFmtId="0" fontId="0" fillId="0" borderId="1"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9" fillId="0" borderId="0" applyAlignment="1" pivotButton="0" quotePrefix="0" xfId="0">
      <alignment vertical="top" wrapText="1"/>
    </xf>
    <xf numFmtId="0" fontId="10" fillId="6" borderId="1" applyAlignment="1" pivotButton="0" quotePrefix="0" xfId="0">
      <alignment vertical="top" wrapText="1"/>
    </xf>
    <xf numFmtId="0" fontId="0" fillId="6" borderId="1" pivotButton="0" quotePrefix="0" xfId="0"/>
    <xf numFmtId="0" fontId="10" fillId="6" borderId="1" applyAlignment="1" pivotButton="0" quotePrefix="0" xfId="0">
      <alignment horizontal="center" vertical="top" wrapText="1"/>
    </xf>
    <xf numFmtId="0" fontId="10" fillId="7" borderId="1" applyAlignment="1" pivotButton="0" quotePrefix="0" xfId="0">
      <alignment vertical="top" wrapText="1"/>
    </xf>
    <xf numFmtId="0" fontId="0" fillId="7" borderId="1" pivotButton="0" quotePrefix="0" xfId="0"/>
    <xf numFmtId="0" fontId="10" fillId="7"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10" fillId="8" borderId="1" applyAlignment="1" pivotButton="0" quotePrefix="0" xfId="0">
      <alignment horizontal="center" vertical="top" wrapText="1"/>
    </xf>
    <xf numFmtId="0" fontId="9" fillId="7" borderId="1" applyAlignment="1" pivotButton="0" quotePrefix="0" xfId="0">
      <alignment vertical="top" wrapText="1"/>
    </xf>
    <xf numFmtId="0" fontId="9" fillId="9" borderId="1" applyAlignment="1" pivotButton="0" quotePrefix="0" xfId="0">
      <alignment vertical="top" wrapText="1"/>
    </xf>
    <xf numFmtId="0" fontId="0" fillId="9" borderId="1" pivotButton="0" quotePrefix="0" xfId="0"/>
    <xf numFmtId="0" fontId="10" fillId="9"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10" fillId="10"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10" fillId="11"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10" fillId="12"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10" fillId="13" borderId="1" applyAlignment="1" pivotButton="0" quotePrefix="0" xfId="0">
      <alignment horizontal="center" vertical="top" wrapText="1"/>
    </xf>
    <xf numFmtId="0" fontId="9" fillId="14" borderId="1" applyAlignment="1" pivotButton="0" quotePrefix="0" xfId="0">
      <alignment vertical="top" wrapText="1"/>
    </xf>
    <xf numFmtId="0" fontId="0" fillId="14" borderId="1" pivotButton="0" quotePrefix="0" xfId="0"/>
    <xf numFmtId="0" fontId="10" fillId="14" borderId="1" applyAlignment="1" pivotButton="0" quotePrefix="0" xfId="0">
      <alignment horizontal="center" vertical="top" wrapText="1"/>
    </xf>
    <xf numFmtId="0" fontId="9" fillId="5" borderId="1" applyAlignment="1" pivotButton="0" quotePrefix="0" xfId="0">
      <alignment vertical="top" wrapText="1"/>
    </xf>
    <xf numFmtId="0" fontId="10" fillId="5" borderId="1" applyAlignment="1" pivotButton="0" quotePrefix="0" xfId="0">
      <alignment horizontal="center" vertical="top" wrapText="1"/>
    </xf>
    <xf numFmtId="0" fontId="11" fillId="15" borderId="1" applyAlignment="1" pivotButton="0" quotePrefix="0" xfId="0">
      <alignment vertical="top" wrapText="1"/>
    </xf>
    <xf numFmtId="0" fontId="12" fillId="3" borderId="1" applyAlignment="1" pivotButton="0" quotePrefix="0" xfId="0">
      <alignment vertical="center" indent="1"/>
    </xf>
    <xf numFmtId="0" fontId="0" fillId="3" borderId="1" pivotButton="0" quotePrefix="0" xfId="0"/>
    <xf numFmtId="0" fontId="13" fillId="6" borderId="1" applyAlignment="1" pivotButton="0" quotePrefix="0" xfId="0">
      <alignment vertical="center" indent="1"/>
    </xf>
    <xf numFmtId="0" fontId="14" fillId="16" borderId="1" applyAlignment="1" pivotButton="0" quotePrefix="0" xfId="0">
      <alignment vertical="center" indent="1"/>
    </xf>
    <xf numFmtId="0" fontId="0" fillId="16" borderId="1" pivotButton="0" quotePrefix="0" xfId="0"/>
    <xf numFmtId="0" fontId="15" fillId="17" borderId="1" applyAlignment="1" pivotButton="0" quotePrefix="0" xfId="0">
      <alignment vertical="center" indent="1"/>
    </xf>
    <xf numFmtId="0" fontId="0" fillId="17" borderId="1" pivotButton="0" quotePrefix="0" xfId="0"/>
    <xf numFmtId="0" fontId="16" fillId="8" borderId="1" applyAlignment="1" pivotButton="0" quotePrefix="0" xfId="0">
      <alignment vertical="center" indent="1"/>
    </xf>
    <xf numFmtId="0" fontId="17" fillId="9" borderId="1" applyAlignment="1" pivotButton="0" quotePrefix="0" xfId="0">
      <alignment vertical="center" indent="1"/>
    </xf>
    <xf numFmtId="0" fontId="11" fillId="15" borderId="1" applyAlignment="1" pivotButton="0" quotePrefix="0" xfId="0">
      <alignment vertical="center" indent="1"/>
    </xf>
    <xf numFmtId="0" fontId="0" fillId="15" borderId="1" pivotButton="0" quotePrefix="0" xfId="0"/>
    <xf numFmtId="0" fontId="18" fillId="18" borderId="1" applyAlignment="1" pivotButton="0" quotePrefix="0" xfId="0">
      <alignment vertical="center" indent="1"/>
    </xf>
    <xf numFmtId="0" fontId="0" fillId="18" borderId="1" pivotButton="0" quotePrefix="0" xfId="0"/>
    <xf numFmtId="0" fontId="21" fillId="3" borderId="0" applyAlignment="1" pivotButton="0" quotePrefix="0" xfId="0">
      <alignment horizontal="center" vertical="center" wrapText="1"/>
    </xf>
    <xf numFmtId="0" fontId="22" fillId="6" borderId="0" applyAlignment="1" pivotButton="0" quotePrefix="0" xfId="0">
      <alignment horizontal="center" vertical="center" wrapText="1"/>
    </xf>
    <xf numFmtId="0" fontId="0" fillId="6" borderId="0" pivotButton="0" quotePrefix="0" xfId="0"/>
    <xf numFmtId="0" fontId="23"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pivotButton="0" quotePrefix="0" xfId="0"/>
    <xf numFmtId="0" fontId="28" fillId="18" borderId="0" applyAlignment="1" pivotButton="0" quotePrefix="0" xfId="0">
      <alignment horizontal="center" vertical="center" wrapText="1"/>
    </xf>
    <xf numFmtId="0" fontId="0" fillId="18"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4" borderId="0" pivotButton="0" quotePrefix="0" xfId="0"/>
    <xf numFmtId="0" fontId="4" fillId="19" borderId="0" applyAlignment="1" pivotButton="0" quotePrefix="0" xfId="0">
      <alignment vertical="center" wrapText="1"/>
    </xf>
    <xf numFmtId="0" fontId="4" fillId="20" borderId="0" applyAlignment="1" pivotButton="0" quotePrefix="0" xfId="0">
      <alignment vertical="center" wrapText="1"/>
    </xf>
    <xf numFmtId="0" fontId="0" fillId="20" borderId="0" pivotButton="0" quotePrefix="0" xfId="0"/>
    <xf numFmtId="0" fontId="4" fillId="21" borderId="0" applyAlignment="1" pivotButton="0" quotePrefix="0" xfId="0">
      <alignment vertical="center" wrapText="1"/>
    </xf>
    <xf numFmtId="0" fontId="0" fillId="21" borderId="0" pivotButton="0" quotePrefix="0" xfId="0"/>
    <xf numFmtId="0" fontId="4" fillId="22" borderId="0" applyAlignment="1" pivotButton="0" quotePrefix="0" xfId="0">
      <alignment vertical="center" wrapText="1"/>
    </xf>
    <xf numFmtId="0" fontId="0" fillId="22" borderId="0" pivotButton="0" quotePrefix="0" xfId="0"/>
    <xf numFmtId="0" fontId="4" fillId="23" borderId="0" applyAlignment="1" pivotButton="0" quotePrefix="0" xfId="0">
      <alignment vertical="center" wrapText="1"/>
    </xf>
    <xf numFmtId="0" fontId="0" fillId="23" borderId="0" pivotButton="0" quotePrefix="0" xfId="0"/>
    <xf numFmtId="0" fontId="4" fillId="24" borderId="0" applyAlignment="1" pivotButton="0" quotePrefix="0" xfId="0">
      <alignment vertical="center" wrapText="1"/>
    </xf>
    <xf numFmtId="0" fontId="0" fillId="24" borderId="0" pivotButton="0" quotePrefix="0" xfId="0"/>
    <xf numFmtId="0" fontId="4" fillId="25" borderId="0" applyAlignment="1" pivotButton="0" quotePrefix="0" xfId="0">
      <alignment vertical="center" wrapText="1"/>
    </xf>
    <xf numFmtId="0" fontId="0" fillId="25" borderId="0" pivotButton="0" quotePrefix="0" xfId="0"/>
    <xf numFmtId="0" fontId="4" fillId="26" borderId="0" applyAlignment="1" pivotButton="0" quotePrefix="0" xfId="0">
      <alignment vertical="center" wrapText="1"/>
    </xf>
    <xf numFmtId="0" fontId="0" fillId="26" borderId="0" pivotButton="0" quotePrefix="0" xfId="0"/>
    <xf numFmtId="0" fontId="8" fillId="2" borderId="8" applyAlignment="1" pivotButton="0" quotePrefix="0" xfId="0">
      <alignment horizontal="center" vertical="top" wrapText="1"/>
    </xf>
    <xf numFmtId="0" fontId="8" fillId="2" borderId="1" applyAlignment="1" pivotButton="0" quotePrefix="0" xfId="0">
      <alignment horizontal="center" vertical="top" wrapText="1"/>
    </xf>
    <xf numFmtId="0" fontId="8" fillId="4" borderId="3" applyAlignment="1" pivotButton="0" quotePrefix="0" xfId="0">
      <alignment horizontal="center" vertical="top" wrapText="1"/>
    </xf>
    <xf numFmtId="0" fontId="8" fillId="19" borderId="2" applyAlignment="1" pivotButton="0" quotePrefix="0" xfId="0">
      <alignment horizontal="center" vertical="top" wrapText="1"/>
    </xf>
    <xf numFmtId="0" fontId="8" fillId="20" borderId="5" applyAlignment="1" pivotButton="0" quotePrefix="0" xfId="0">
      <alignment horizontal="center" vertical="top" wrapText="1"/>
    </xf>
    <xf numFmtId="0" fontId="8" fillId="20" borderId="1" applyAlignment="1" pivotButton="0" quotePrefix="0" xfId="0">
      <alignment horizontal="center" vertical="top" wrapText="1"/>
    </xf>
    <xf numFmtId="0" fontId="8" fillId="21" borderId="10" applyAlignment="1" pivotButton="0" quotePrefix="0" xfId="0">
      <alignment horizontal="center" vertical="top" wrapText="1"/>
    </xf>
    <xf numFmtId="0" fontId="8" fillId="21" borderId="1" applyAlignment="1" pivotButton="0" quotePrefix="0" xfId="0">
      <alignment horizontal="center" vertical="top" wrapText="1"/>
    </xf>
    <xf numFmtId="0" fontId="8" fillId="22" borderId="7" applyAlignment="1" pivotButton="0" quotePrefix="0" xfId="0">
      <alignment horizontal="center" vertical="top" wrapText="1"/>
    </xf>
    <xf numFmtId="0" fontId="8" fillId="22" borderId="1" applyAlignment="1" pivotButton="0" quotePrefix="0" xfId="0">
      <alignment horizontal="center" vertical="top" wrapText="1"/>
    </xf>
    <xf numFmtId="0" fontId="8" fillId="23" borderId="4" applyAlignment="1" pivotButton="0" quotePrefix="0" xfId="0">
      <alignment horizontal="center" vertical="top" wrapText="1"/>
    </xf>
    <xf numFmtId="0" fontId="8" fillId="23" borderId="1" applyAlignment="1" pivotButton="0" quotePrefix="0" xfId="0">
      <alignment horizontal="center" vertical="top" wrapText="1"/>
    </xf>
    <xf numFmtId="0" fontId="8" fillId="24" borderId="9" applyAlignment="1" pivotButton="0" quotePrefix="0" xfId="0">
      <alignment horizontal="center" vertical="top" wrapText="1"/>
    </xf>
    <xf numFmtId="0" fontId="8" fillId="24" borderId="1" applyAlignment="1" pivotButton="0" quotePrefix="0" xfId="0">
      <alignment horizontal="center" vertical="top" wrapText="1"/>
    </xf>
    <xf numFmtId="0" fontId="8" fillId="25" borderId="6" applyAlignment="1" pivotButton="0" quotePrefix="0" xfId="0">
      <alignment horizontal="center" vertical="top" wrapText="1"/>
    </xf>
    <xf numFmtId="0" fontId="8" fillId="25" borderId="1" applyAlignment="1" pivotButton="0" quotePrefix="0" xfId="0">
      <alignment horizontal="center" vertical="top" wrapText="1"/>
    </xf>
    <xf numFmtId="0" fontId="8" fillId="26" borderId="11" applyAlignment="1" pivotButton="0" quotePrefix="0" xfId="0">
      <alignment horizontal="center" vertical="top" wrapText="1"/>
    </xf>
    <xf numFmtId="0" fontId="8" fillId="26" borderId="1" applyAlignment="1" pivotButton="0" quotePrefix="0" xfId="0">
      <alignment horizontal="center" vertical="top" wrapText="1"/>
    </xf>
    <xf numFmtId="0" fontId="10" fillId="34" borderId="8" applyAlignment="1" pivotButton="0" quotePrefix="0" xfId="0">
      <alignment vertical="top" wrapText="1"/>
    </xf>
    <xf numFmtId="0" fontId="9" fillId="34" borderId="1" applyAlignment="1" pivotButton="0" quotePrefix="0" xfId="0">
      <alignment vertical="top" wrapText="1"/>
    </xf>
    <xf numFmtId="0" fontId="10" fillId="34" borderId="1" applyAlignment="1" pivotButton="0" quotePrefix="0" xfId="0">
      <alignment vertical="top" wrapText="1"/>
    </xf>
    <xf numFmtId="0" fontId="10" fillId="34" borderId="1" applyAlignment="1" pivotButton="0" quotePrefix="0" xfId="0">
      <alignment horizontal="center" vertical="top" wrapText="1"/>
    </xf>
    <xf numFmtId="0" fontId="13" fillId="6" borderId="3" applyAlignment="1" pivotButton="0" quotePrefix="0" xfId="0">
      <alignment vertical="top" wrapText="1"/>
    </xf>
    <xf numFmtId="0" fontId="13" fillId="6" borderId="1" applyAlignment="1" pivotButton="0" quotePrefix="0" xfId="0">
      <alignment vertical="top" wrapText="1"/>
    </xf>
    <xf numFmtId="0" fontId="10" fillId="28" borderId="1" applyAlignment="1" pivotButton="0" quotePrefix="0" xfId="0">
      <alignment vertical="top" wrapText="1"/>
    </xf>
    <xf numFmtId="0" fontId="13" fillId="6" borderId="1" applyAlignment="1" pivotButton="0" quotePrefix="0" xfId="0">
      <alignment horizontal="center" vertical="top" wrapText="1"/>
    </xf>
    <xf numFmtId="0" fontId="14" fillId="16" borderId="1" applyAlignment="1" pivotButton="0" quotePrefix="0" xfId="0">
      <alignment vertical="top" wrapText="1"/>
    </xf>
    <xf numFmtId="0" fontId="10" fillId="27" borderId="2" applyAlignment="1" pivotButton="0" quotePrefix="0" xfId="0">
      <alignment vertical="top" wrapText="1"/>
    </xf>
    <xf numFmtId="0" fontId="10" fillId="30" borderId="5" applyAlignment="1" pivotButton="0" quotePrefix="0" xfId="0">
      <alignment vertical="top" wrapText="1"/>
    </xf>
    <xf numFmtId="0" fontId="10" fillId="18" borderId="1" applyAlignment="1" pivotButton="0" quotePrefix="0" xfId="0">
      <alignment vertical="top" wrapText="1"/>
    </xf>
    <xf numFmtId="0" fontId="10" fillId="33" borderId="10" applyAlignment="1" pivotButton="0" quotePrefix="0" xfId="0">
      <alignment vertical="top" wrapText="1"/>
    </xf>
    <xf numFmtId="0" fontId="10" fillId="33" borderId="1" applyAlignment="1" pivotButton="0" quotePrefix="0" xfId="0">
      <alignment vertical="top" wrapText="1"/>
    </xf>
    <xf numFmtId="0" fontId="10" fillId="31" borderId="7" applyAlignment="1" pivotButton="0" quotePrefix="0" xfId="0">
      <alignment vertical="top" wrapText="1"/>
    </xf>
    <xf numFmtId="164" fontId="10" fillId="31" borderId="1" applyAlignment="1" pivotButton="0" quotePrefix="0" xfId="0">
      <alignment horizontal="center" vertical="top" wrapText="1"/>
    </xf>
    <xf numFmtId="9" fontId="10" fillId="31" borderId="1" applyAlignment="1" pivotButton="0" quotePrefix="0" xfId="0">
      <alignment horizontal="center" vertical="top" wrapText="1"/>
    </xf>
    <xf numFmtId="2" fontId="10" fillId="31" borderId="1" applyAlignment="1" pivotButton="0" quotePrefix="0" xfId="0">
      <alignment horizontal="center" vertical="top" wrapText="1"/>
    </xf>
    <xf numFmtId="164" fontId="10" fillId="18" borderId="1" applyAlignment="1" pivotButton="0" quotePrefix="0" xfId="0">
      <alignment horizontal="center" vertical="top" wrapText="1"/>
    </xf>
    <xf numFmtId="0" fontId="10" fillId="31" borderId="1" applyAlignment="1" pivotButton="0" quotePrefix="0" xfId="0">
      <alignment horizontal="center" vertical="top" wrapText="1"/>
    </xf>
    <xf numFmtId="0" fontId="10" fillId="29" borderId="4" applyAlignment="1" pivotButton="0" quotePrefix="0" xfId="0">
      <alignment vertical="top" wrapText="1"/>
    </xf>
    <xf numFmtId="0" fontId="10" fillId="29" borderId="1" applyAlignment="1" pivotButton="0" quotePrefix="0" xfId="0">
      <alignment vertical="top" wrapText="1"/>
    </xf>
    <xf numFmtId="0" fontId="10" fillId="32" borderId="9" applyAlignment="1" pivotButton="0" quotePrefix="0" xfId="0">
      <alignment vertical="top" wrapText="1"/>
    </xf>
    <xf numFmtId="0" fontId="10" fillId="32" borderId="1" applyAlignment="1" pivotButton="0" quotePrefix="0" xfId="0">
      <alignment vertical="top" wrapText="1"/>
    </xf>
    <xf numFmtId="0" fontId="19" fillId="15" borderId="6" applyAlignment="1" pivotButton="0" quotePrefix="0" xfId="0">
      <alignment vertical="top" wrapText="1"/>
    </xf>
    <xf numFmtId="0" fontId="10" fillId="5" borderId="1" applyAlignment="1" pivotButton="0" quotePrefix="0" xfId="0">
      <alignment vertical="top" wrapText="1"/>
    </xf>
    <xf numFmtId="0" fontId="10" fillId="14" borderId="11" applyAlignment="1" pivotButton="0" quotePrefix="0" xfId="0">
      <alignment vertical="top" wrapText="1"/>
    </xf>
    <xf numFmtId="0" fontId="10" fillId="14" borderId="1" applyAlignment="1" pivotButton="0" quotePrefix="0" xfId="0">
      <alignment vertical="top" wrapText="1"/>
    </xf>
    <xf numFmtId="0" fontId="10" fillId="18" borderId="8" applyAlignment="1" pivotButton="0" quotePrefix="0" xfId="0">
      <alignment vertical="top" wrapText="1"/>
    </xf>
    <xf numFmtId="0" fontId="10" fillId="5" borderId="6" applyAlignment="1" pivotButton="0" quotePrefix="0" xfId="0">
      <alignment vertical="top" wrapText="1"/>
    </xf>
    <xf numFmtId="0" fontId="10" fillId="8" borderId="1" applyAlignment="1" pivotButton="0" quotePrefix="0" xfId="0">
      <alignment vertical="top" wrapText="1"/>
    </xf>
    <xf numFmtId="0" fontId="15" fillId="17" borderId="1" applyAlignment="1" pivotButton="0" quotePrefix="0" xfId="0">
      <alignment vertical="top" wrapText="1"/>
    </xf>
    <xf numFmtId="0" fontId="9" fillId="8" borderId="1" applyAlignment="1" pivotButton="0" quotePrefix="0" xfId="0">
      <alignment horizontal="center" vertical="top" wrapText="1"/>
    </xf>
    <xf numFmtId="0" fontId="20" fillId="5" borderId="1" applyAlignment="1" pivotButton="0" quotePrefix="0" xfId="0">
      <alignment vertical="top" wrapText="1"/>
    </xf>
    <xf numFmtId="0" fontId="9" fillId="7" borderId="1" applyAlignment="1" pivotButton="0" quotePrefix="0" xfId="0">
      <alignment horizontal="center" vertical="top" wrapText="1"/>
    </xf>
    <xf numFmtId="0" fontId="19" fillId="15" borderId="9" applyAlignment="1" pivotButton="0" quotePrefix="0" xfId="0">
      <alignment vertical="top" wrapText="1"/>
    </xf>
    <xf numFmtId="0" fontId="19" fillId="15" borderId="1" applyAlignment="1" pivotButton="0" quotePrefix="0" xfId="0">
      <alignment vertical="top" wrapText="1"/>
    </xf>
    <xf numFmtId="0" fontId="10" fillId="28" borderId="3" applyAlignment="1" pivotButton="0" quotePrefix="0" xfId="0">
      <alignment vertical="top" wrapText="1"/>
    </xf>
    <xf numFmtId="0" fontId="0" fillId="16" borderId="0" pivotButton="0" quotePrefix="0" xfId="0"/>
    <xf numFmtId="0" fontId="0" fillId="17" borderId="0" pivotButton="0" quotePrefix="0" xfId="0"/>
    <xf numFmtId="0" fontId="0" fillId="9" borderId="0" pivotButton="0" quotePrefix="0" xfId="0"/>
    <xf numFmtId="0" fontId="0" fillId="19" borderId="0" pivotButton="0" quotePrefix="0" xfId="0"/>
    <xf numFmtId="0" fontId="8" fillId="19" borderId="1" applyAlignment="1" pivotButton="0" quotePrefix="0" xfId="0">
      <alignment horizontal="center" vertical="top" wrapText="1"/>
    </xf>
    <xf numFmtId="0" fontId="10" fillId="27" borderId="12" applyAlignment="1" pivotButton="0" quotePrefix="0" xfId="0">
      <alignment vertical="top"/>
    </xf>
    <xf numFmtId="0" fontId="10" fillId="27" borderId="0" applyAlignment="1" pivotButton="0" quotePrefix="0" xfId="0">
      <alignment vertical="top"/>
    </xf>
    <xf numFmtId="165" fontId="10" fillId="27" borderId="0" applyAlignment="1" pivotButton="0" quotePrefix="0" xfId="0">
      <alignment vertical="top"/>
    </xf>
    <xf numFmtId="0" fontId="4" fillId="4" borderId="0" pivotButton="0" quotePrefix="0" xfId="0"/>
    <xf numFmtId="0" fontId="10" fillId="8" borderId="8" applyAlignment="1" pivotButton="0" quotePrefix="0" xfId="0">
      <alignment horizontal="center" vertical="top" wrapText="1"/>
    </xf>
    <xf numFmtId="0" fontId="10" fillId="28" borderId="3" applyAlignment="1" pivotButton="0" quotePrefix="0" xfId="0">
      <alignment horizontal="center" vertical="top" wrapText="1"/>
    </xf>
    <xf numFmtId="0" fontId="10" fillId="28" borderId="1" applyAlignment="1" pivotButton="0" quotePrefix="0" xfId="0">
      <alignment horizontal="center" vertical="top" wrapText="1"/>
    </xf>
    <xf numFmtId="0" fontId="10" fillId="27" borderId="1" applyAlignment="1" pivotButton="0" quotePrefix="0" xfId="0">
      <alignment vertical="top" wrapText="1"/>
    </xf>
    <xf numFmtId="0" fontId="10" fillId="30" borderId="1" applyAlignment="1" pivotButton="0" quotePrefix="0" xfId="0">
      <alignment vertical="top" wrapText="1"/>
    </xf>
    <xf numFmtId="0" fontId="10" fillId="7" borderId="8" applyAlignment="1" pivotButton="0" quotePrefix="0" xfId="0">
      <alignment horizontal="center" vertical="top" wrapText="1"/>
    </xf>
    <xf numFmtId="0" fontId="9" fillId="0" borderId="1" applyAlignment="1" pivotButton="0" quotePrefix="0" xfId="0">
      <alignment horizontal="center" vertical="top" wrapText="1"/>
    </xf>
    <xf numFmtId="0" fontId="29" fillId="0" borderId="0" applyAlignment="1" pivotButton="0" quotePrefix="0" xfId="0">
      <alignment vertical="top" wrapText="1"/>
    </xf>
    <xf numFmtId="0" fontId="4" fillId="4" borderId="0" applyAlignment="1" pivotButton="0" quotePrefix="0" xfId="0">
      <alignment vertical="center"/>
    </xf>
    <xf numFmtId="0" fontId="10" fillId="35" borderId="1" applyAlignment="1" pivotButton="0" quotePrefix="0" xfId="0">
      <alignment vertical="top" wrapText="1"/>
    </xf>
    <xf numFmtId="0" fontId="10" fillId="35" borderId="1" applyAlignment="1" pivotButton="0" quotePrefix="0" xfId="0">
      <alignment horizontal="center" vertical="top" wrapText="1"/>
    </xf>
    <xf numFmtId="0" fontId="9" fillId="34" borderId="8" applyAlignment="1" pivotButton="0" quotePrefix="0" xfId="0">
      <alignment horizontal="center" vertical="top" wrapText="1"/>
    </xf>
    <xf numFmtId="0" fontId="10" fillId="31" borderId="7" applyAlignment="1" pivotButton="0" quotePrefix="0" xfId="0">
      <alignment horizontal="center" vertical="top" wrapText="1"/>
    </xf>
    <xf numFmtId="0" fontId="10" fillId="31" borderId="1" applyAlignment="1" pivotButton="0" quotePrefix="0" xfId="0">
      <alignment vertical="top" wrapText="1"/>
    </xf>
    <xf numFmtId="0" fontId="10" fillId="7" borderId="6" applyAlignment="1" pivotButton="0" quotePrefix="0" xfId="0">
      <alignment vertical="top" wrapText="1"/>
    </xf>
    <xf numFmtId="0" fontId="10" fillId="8" borderId="6" applyAlignment="1" pivotButton="0" quotePrefix="0" xfId="0">
      <alignment vertical="top" wrapText="1"/>
    </xf>
    <xf numFmtId="0" fontId="10" fillId="27" borderId="2" applyAlignment="1" pivotButton="0" quotePrefix="0" xfId="0">
      <alignment horizontal="center" vertical="top" wrapText="1"/>
    </xf>
    <xf numFmtId="0" fontId="10" fillId="30" borderId="5" applyAlignment="1" pivotButton="0" quotePrefix="0" xfId="0">
      <alignment horizontal="center" vertical="top" wrapText="1"/>
    </xf>
    <xf numFmtId="9" fontId="10" fillId="30" borderId="1" applyAlignment="1" pivotButton="0" quotePrefix="0" xfId="0">
      <alignment horizontal="center" vertical="top" wrapText="1"/>
    </xf>
    <xf numFmtId="0" fontId="10" fillId="29" borderId="4" applyAlignment="1" pivotButton="0" quotePrefix="0" xfId="0">
      <alignment horizontal="center" vertical="top" wrapText="1"/>
    </xf>
    <xf numFmtId="0" fontId="10" fillId="29" borderId="1" applyAlignment="1" pivotButton="0" quotePrefix="0" xfId="0">
      <alignment horizontal="center" vertical="top" wrapText="1"/>
    </xf>
    <xf numFmtId="0" fontId="0" fillId="34" borderId="14" pivotButton="0" quotePrefix="0" xfId="0"/>
    <xf numFmtId="0" fontId="0" fillId="34" borderId="0" pivotButton="0" quotePrefix="0" xfId="0"/>
    <xf numFmtId="0" fontId="0" fillId="28" borderId="17" pivotButton="0" quotePrefix="0" xfId="0"/>
    <xf numFmtId="0" fontId="0" fillId="28" borderId="0" pivotButton="0" quotePrefix="0" xfId="0"/>
    <xf numFmtId="0" fontId="0" fillId="27" borderId="12" pivotButton="0" quotePrefix="0" xfId="0"/>
    <xf numFmtId="0" fontId="0" fillId="27" borderId="0" pivotButton="0" quotePrefix="0" xfId="0"/>
    <xf numFmtId="0" fontId="0" fillId="30" borderId="16" pivotButton="0" quotePrefix="0" xfId="0"/>
    <xf numFmtId="0" fontId="0" fillId="30" borderId="0" pivotButton="0" quotePrefix="0" xfId="0"/>
    <xf numFmtId="0" fontId="0" fillId="33" borderId="18" pivotButton="0" quotePrefix="0" xfId="0"/>
    <xf numFmtId="0" fontId="0" fillId="33" borderId="0" pivotButton="0" quotePrefix="0" xfId="0"/>
    <xf numFmtId="0" fontId="0" fillId="31" borderId="19" pivotButton="0" quotePrefix="0" xfId="0"/>
    <xf numFmtId="0" fontId="0" fillId="29" borderId="13" pivotButton="0" quotePrefix="0" xfId="0"/>
    <xf numFmtId="0" fontId="0" fillId="29" borderId="0" pivotButton="0" quotePrefix="0" xfId="0"/>
    <xf numFmtId="0" fontId="0" fillId="32" borderId="15" pivotButton="0" quotePrefix="0" xfId="0"/>
    <xf numFmtId="0" fontId="0" fillId="32" borderId="0" pivotButton="0" quotePrefix="0" xfId="0"/>
    <xf numFmtId="0" fontId="0" fillId="8" borderId="0" pivotButton="0" quotePrefix="0" xfId="0"/>
    <xf numFmtId="9" fontId="10" fillId="0" borderId="1" applyAlignment="1" pivotButton="0" quotePrefix="0" xfId="0">
      <alignment horizontal="center" vertical="top" wrapText="1"/>
    </xf>
    <xf numFmtId="0" fontId="10" fillId="9" borderId="1" applyAlignment="1" pivotButton="0" quotePrefix="0" xfId="0">
      <alignment vertical="top"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0" fillId="12" borderId="1" applyAlignment="1" pivotButton="0" quotePrefix="0" xfId="0">
      <alignment vertical="top" wrapText="1"/>
    </xf>
    <xf numFmtId="0" fontId="10" fillId="13" borderId="1" applyAlignment="1" pivotButton="0" quotePrefix="0" xfId="0">
      <alignment vertical="top" wrapText="1"/>
    </xf>
    <xf numFmtId="0" fontId="10" fillId="0" borderId="0" applyAlignment="1" pivotButton="0" quotePrefix="0" xfId="0">
      <alignment vertical="top" wrapText="1"/>
    </xf>
    <xf numFmtId="0" fontId="9" fillId="3" borderId="1" applyAlignment="1" pivotButton="0" quotePrefix="0" xfId="0">
      <alignment vertical="top" wrapText="1"/>
    </xf>
    <xf numFmtId="0" fontId="0" fillId="0" borderId="23" pivotButton="0" quotePrefix="0" xfId="0"/>
    <xf numFmtId="0" fontId="0" fillId="0" borderId="22" pivotButton="0" quotePrefix="0" xfId="0"/>
    <xf numFmtId="0" fontId="10" fillId="3" borderId="1" applyAlignment="1" pivotButton="0" quotePrefix="0" xfId="0">
      <alignment horizontal="center" vertical="top" wrapText="1"/>
    </xf>
    <xf numFmtId="0" fontId="10" fillId="0" borderId="1" applyAlignment="1" pivotButton="0" quotePrefix="0" xfId="0">
      <alignment vertical="top"/>
    </xf>
    <xf numFmtId="0" fontId="30" fillId="16" borderId="1" applyAlignment="1" pivotButton="0" quotePrefix="0" xfId="0">
      <alignment horizontal="center" vertical="top" wrapText="1"/>
    </xf>
    <xf numFmtId="0" fontId="31" fillId="0" borderId="1" applyAlignment="1" pivotButton="0" quotePrefix="0" xfId="0">
      <alignment vertical="top"/>
    </xf>
    <xf numFmtId="0" fontId="32" fillId="17" borderId="1" applyAlignment="1" pivotButton="0" quotePrefix="0" xfId="0">
      <alignment horizontal="center" vertical="top" wrapText="1"/>
    </xf>
    <xf numFmtId="0" fontId="33" fillId="3" borderId="0" applyAlignment="1" pivotButton="0" quotePrefix="0" xfId="0">
      <alignment vertical="top" wrapText="1"/>
    </xf>
    <xf numFmtId="0" fontId="34" fillId="18" borderId="0" applyAlignment="1" pivotButton="0" quotePrefix="0" xfId="0">
      <alignment vertical="top" wrapText="1"/>
    </xf>
    <xf numFmtId="0" fontId="35" fillId="0" borderId="0" applyAlignment="1" pivotButton="0" quotePrefix="0" xfId="0">
      <alignment horizontal="right" vertical="center"/>
    </xf>
    <xf numFmtId="0" fontId="36" fillId="35" borderId="1" applyAlignment="1" pivotButton="0" quotePrefix="0" xfId="0">
      <alignment vertical="top" wrapText="1"/>
    </xf>
    <xf numFmtId="0" fontId="33"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4" fillId="2" borderId="0" applyAlignment="1" pivotButton="0" quotePrefix="0" xfId="0">
      <alignment vertical="center" indent="1"/>
    </xf>
    <xf numFmtId="0" fontId="9" fillId="5" borderId="0" applyAlignment="1" pivotButton="0" quotePrefix="0" xfId="0">
      <alignment vertical="top" wrapText="1"/>
    </xf>
    <xf numFmtId="0" fontId="8" fillId="4" borderId="0" applyAlignment="1" pivotButton="0" quotePrefix="0" xfId="0">
      <alignment vertical="top" wrapText="1"/>
    </xf>
    <xf numFmtId="0" fontId="10" fillId="0" borderId="0" applyAlignment="1" pivotButton="0" quotePrefix="0" xfId="0">
      <alignment horizontal="center" vertical="top" wrapText="1"/>
    </xf>
    <xf numFmtId="0" fontId="39" fillId="0" borderId="0" applyAlignment="1" pivotButton="0" quotePrefix="0" xfId="0">
      <alignment vertical="top" wrapText="1"/>
    </xf>
    <xf numFmtId="9" fontId="10" fillId="0" borderId="0" applyAlignment="1" pivotButton="0" quotePrefix="0" xfId="0">
      <alignment horizontal="center" vertical="top" wrapText="1"/>
    </xf>
    <xf numFmtId="2" fontId="10" fillId="0" borderId="0" applyAlignment="1" pivotButton="0" quotePrefix="0" xfId="0">
      <alignment horizontal="center" vertical="top" wrapText="1"/>
    </xf>
    <xf numFmtId="0" fontId="9" fillId="3" borderId="0" applyAlignment="1" pivotButton="0" quotePrefix="0" xfId="0">
      <alignment vertical="top" wrapText="1"/>
    </xf>
    <xf numFmtId="2" fontId="9" fillId="3" borderId="0" applyAlignment="1" pivotButton="0" quotePrefix="0" xfId="0">
      <alignment horizontal="center" vertical="top" wrapText="1"/>
    </xf>
    <xf numFmtId="0" fontId="9" fillId="3" borderId="0" applyAlignment="1" pivotButton="0" quotePrefix="0" xfId="0">
      <alignment horizontal="center" vertical="top" wrapText="1"/>
    </xf>
    <xf numFmtId="0" fontId="40" fillId="18" borderId="1" applyAlignment="1" pivotButton="0" quotePrefix="0" xfId="0">
      <alignment horizontal="center" vertical="top" wrapText="1"/>
    </xf>
    <xf numFmtId="0" fontId="8" fillId="36" borderId="1" applyAlignment="1" pivotButton="0" quotePrefix="0" xfId="0">
      <alignment horizontal="center" vertical="top" wrapText="1"/>
    </xf>
    <xf numFmtId="164" fontId="9" fillId="0" borderId="1" applyAlignment="1" pivotButton="0" quotePrefix="0" xfId="0">
      <alignment horizontal="center" vertical="top" wrapText="1"/>
    </xf>
    <xf numFmtId="9" fontId="10" fillId="14" borderId="1" applyAlignment="1" pivotButton="0" quotePrefix="0" xfId="0">
      <alignment horizontal="center" vertical="top" wrapText="1"/>
    </xf>
    <xf numFmtId="164" fontId="10" fillId="0" borderId="1" applyAlignment="1" pivotButton="0" quotePrefix="0" xfId="0">
      <alignment vertical="top" wrapText="1"/>
    </xf>
    <xf numFmtId="0" fontId="8" fillId="4" borderId="1" applyAlignment="1" pivotButton="0" quotePrefix="0" xfId="0">
      <alignment vertical="top" wrapText="1"/>
    </xf>
    <xf numFmtId="0" fontId="10" fillId="18" borderId="1" applyAlignment="1" pivotButton="0" quotePrefix="0" xfId="0">
      <alignment horizontal="center" vertical="top" wrapText="1"/>
    </xf>
    <xf numFmtId="0" fontId="42" fillId="0" borderId="0" applyAlignment="1" pivotButton="0" quotePrefix="0" xfId="0">
      <alignment vertical="center"/>
    </xf>
    <xf numFmtId="0" fontId="0" fillId="0" borderId="1" applyAlignment="1" pivotButton="0" quotePrefix="0" xfId="0">
      <alignment horizontal="center" vertical="top"/>
    </xf>
    <xf numFmtId="0" fontId="41" fillId="0" borderId="1" applyAlignment="1" pivotButton="0" quotePrefix="0" xfId="0">
      <alignment vertical="top"/>
    </xf>
    <xf numFmtId="166" fontId="10" fillId="2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Overview'!B119</f>
            </strRef>
          </tx>
          <spPr>
            <a:solidFill xmlns:a="http://schemas.openxmlformats.org/drawingml/2006/main">
              <a:srgbClr val="2E75B6"/>
            </a:solidFill>
            <a:ln xmlns:a="http://schemas.openxmlformats.org/drawingml/2006/main">
              <a:solidFill>
                <a:srgbClr val="2E75B6"/>
              </a:solidFill>
              <a:prstDash val="solid"/>
            </a:ln>
          </spPr>
          <cat>
            <numRef>
              <f>'1. Overview'!$A$120:$A$124</f>
            </numRef>
          </cat>
          <val>
            <numRef>
              <f>'1. Overview'!$B$120:$B$124</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Ratings</a:t>
            </a:r>
          </a:p>
        </rich>
      </tx>
    </title>
    <plotArea>
      <barChart>
        <barDir val="bar"/>
        <grouping val="clustered"/>
        <ser>
          <idx val="0"/>
          <order val="0"/>
          <tx>
            <strRef>
              <f>'1b. Person Card'!B31</f>
            </strRef>
          </tx>
          <spPr>
            <a:solidFill xmlns:a="http://schemas.openxmlformats.org/drawingml/2006/main">
              <a:srgbClr val="2E75B6"/>
            </a:solidFill>
            <a:ln xmlns:a="http://schemas.openxmlformats.org/drawingml/2006/main">
              <a:prstDash val="solid"/>
            </a:ln>
          </spPr>
          <cat>
            <numRef>
              <f>'1b. Person Card'!$A$32:$A$37</f>
            </numRef>
          </cat>
          <val>
            <numRef>
              <f>'1b. Person Card'!$B$32:$B$37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Business line: CARBON, iFile, iDEAL, Datatech, Consume or Corporate.</t>
      </text>
    </comment>
    <comment ref="D6" authorId="0" shapeId="0">
      <text>
        <t>Department in the Employee Master.</t>
      </text>
    </comment>
    <comment ref="E6" authorId="0" shapeId="0">
      <text>
        <t>The discipline, the same across businesses.</t>
      </text>
    </comment>
    <comment ref="G6" authorId="0" shapeId="0">
      <text>
        <t>Title held today · Employee Master.</t>
      </text>
    </comment>
    <comment ref="H6" authorId="0" shapeId="0">
      <text>
        <t>New title: level marker + role noun · title rules N1–N5.</t>
      </text>
    </comment>
    <comment ref="I6" authorId="0" shapeId="0">
      <text>
        <t>Level in the current structure, or 'Not in current mapping files'.</t>
      </text>
    </comment>
    <comment ref="J6" authorId="0" shapeId="0">
      <text>
        <t>Level on the new ladder · A1–E2, B+ / C+ Player-Coach steps, X1–X3 consultants after the rules.</t>
      </text>
    </comment>
    <comment ref="K6" authorId="0" shapeId="0">
      <text>
        <t>Individual Contributor, POD Lead, People Manager, Player-Coach or Consultant.</t>
      </text>
    </comment>
    <comment ref="L6" authorId="0" shapeId="0">
      <text>
        <t>Up, same, down · pay and title protected for one cycle or newly mapped.</t>
      </text>
    </comment>
    <comment ref="M6" authorId="0" shapeId="0">
      <text>
        <t>Weighted score = Σ rating × weight, on the 1–12 level scale. Not performance, not pay.</t>
      </text>
    </comment>
    <comment ref="N6" authorId="0" shapeId="0">
      <text>
        <t>Complexity &amp; Expertise rating: how hard the work is.</t>
      </text>
    </comment>
    <comment ref="O6" authorId="0" shapeId="0">
      <text>
        <t>Autonomy &amp; Decision rating: how freely the person decides.</t>
      </text>
    </comment>
    <comment ref="P6" authorId="0" shapeId="0">
      <text>
        <t>Accountability &amp; Impact rating: what the role answers for.</t>
      </text>
    </comment>
    <comment ref="Q6" authorId="0" shapeId="0">
      <text>
        <t>Leadership &amp; Strategy rating: how much the role leads others.</t>
      </text>
    </comment>
    <comment ref="R6" authorId="0" shapeId="0">
      <text>
        <t>Experience &amp; Qualification rating: the experience and qualification the role needs.</t>
      </text>
    </comment>
    <comment ref="T6" authorId="0" shapeId="0">
      <text>
        <t>'The score decided the level', or the rule that held or moved it · R4–R10; Framework &amp; Model Master.</t>
      </text>
    </comment>
    <comment ref="U6" authorId="0" shapeId="0">
      <text>
        <t>Close call, near a gate, input needed, or a protected move down.</t>
      </text>
    </comment>
    <comment ref="V6" authorId="0" shapeId="0">
      <text>
        <t>High / Medium / Low: how much evidence stands behind the placement.</t>
      </text>
    </comment>
  </commentList>
</comments>
</file>

<file path=xl/comments/comment2.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comments/comment3.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From the Employee Master reporting line.</t>
      </text>
    </comment>
    <comment ref="H6" authorId="0" shapeId="0">
      <text>
        <t>Title held today · Employee Master.</t>
      </text>
    </comment>
    <comment ref="I6" authorId="0" shapeId="0">
      <text>
        <t>New title: level marker + role noun · title rules N1–N5.</t>
      </text>
    </comment>
    <comment ref="J6" authorId="0" shapeId="0">
      <text>
        <t>The discipline, the same across businesses.</t>
      </text>
    </comment>
    <comment ref="L6" authorId="0" shapeId="0">
      <text>
        <t>Level in the current structure, or 'Not in current mapping files'.</t>
      </text>
    </comment>
    <comment ref="M6" authorId="0" shapeId="0">
      <text>
        <t>Level on the new ladder · A1–E2, B+ / C+ Player-Coach steps, X1–X3 consultants after the rules.</t>
      </text>
    </comment>
    <comment ref="N6" authorId="0" shapeId="0">
      <text>
        <t>The generic title of the level on the person's track.</t>
      </text>
    </comment>
    <comment ref="O6" authorId="0" shapeId="0">
      <text>
        <t>A practitioner · B specialist / manager · C principal / head · D business leadership · E enterprise leadership.</t>
      </text>
    </comment>
    <comment ref="P6" authorId="0" shapeId="0">
      <text>
        <t>Individual Contributor, POD Lead, People Manager, Player-Coach or Consultant.</t>
      </text>
    </comment>
    <comment ref="Q6" authorId="0" shapeId="0">
      <text>
        <t>Up, same, down · pay and title protected for one cycle or newly mapped.</t>
      </text>
    </comment>
    <comment ref="R6" authorId="0" shapeId="0">
      <text>
        <t>What the role does, its key responsibilities, deliverables, decision rights, skills, tools and the competencies it requires — from the role catalogue: catalogue text plus counted themes from role-holders' survey answers · only where 3+ answered, never one person's words.</t>
      </text>
    </comment>
    <comment ref="AS6" authorId="0" shapeId="0">
      <text>
        <t>The score rounded to the nearest level ·.5 rounds up, before the rules.</t>
      </text>
    </comment>
    <comment ref="AT6" authorId="0" shapeId="0">
      <text>
        <t>The base weights for the band and track, and the tilt for the type of work.</t>
      </text>
    </comment>
    <comment ref="AU6" authorId="0" shapeId="0">
      <text>
        <t>Each rating × weight = points; the points add up to the score.</t>
      </text>
    </comment>
    <comment ref="BF6" authorId="0" shapeId="0">
      <text>
        <t>High / Medium / Low: how much evidence stands behind the placement.</t>
      </text>
    </comment>
    <comment ref="BG6" authorId="0" shapeId="0">
      <text>
        <t>Facts the business head or HR must confirm before sign-off.</t>
      </text>
    </comment>
    <comment ref="BN6" authorId="0" shapeId="0">
      <text>
        <t>Agree / Change / Discuss — the manager's view of the placement.</t>
      </text>
    </comment>
    <comment ref="BP6" authorId="0" shapeId="0">
      <text>
        <t>Approved / Changed / On hold.</t>
      </text>
    </comment>
    <comment ref="BQ6" authorId="0" shapeId="0">
      <text>
        <t>The level after calibration; enter only when it differs from FINAL LEVEL or once approved.</t>
      </text>
    </comment>
  </commentList>
</comments>
</file>

<file path=xl/comments/comment4.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The discipline, the same across businesses.</t>
      </text>
    </comment>
    <comment ref="AK6" authorId="0" shapeId="0">
      <text>
        <t>Department in the Employee Master.</t>
      </text>
    </comment>
    <comment ref="AR6" authorId="0" shapeId="0">
      <text>
        <t>Open → In discussion → Agreed / Changed / Escalated → Closed.</t>
      </text>
    </comment>
  </commentList>
</comments>
</file>

<file path=xl/comments/comment5.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118</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1a__Placements" displayName="T_1a__Placements" ref="A6:V29" headerRowCount="1">
  <autoFilter ref="A6:V29"/>
  <tableColumns count="22">
    <tableColumn id="1" name="Emp ID"/>
    <tableColumn id="2" name="Employee name"/>
    <tableColumn id="3" name="Business"/>
    <tableColumn id="4" name="Department"/>
    <tableColumn id="5" name="Job family"/>
    <tableColumn id="6" name="Sub-family"/>
    <tableColumn id="7" name="Current designation"/>
    <tableColumn id="8" name="Final designation"/>
    <tableColumn id="9" name="Current level"/>
    <tableColumn id="10" name="FINAL LEVEL"/>
    <tableColumn id="11" name="Track"/>
    <tableColumn id="12" name="Change"/>
    <tableColumn id="13" name="Score"/>
    <tableColumn id="14" name="Complexity"/>
    <tableColumn id="15" name="Autonomy"/>
    <tableColumn id="16" name="Accountability"/>
    <tableColumn id="17" name="Leadership"/>
    <tableColumn id="18" name="Exp &amp; Qual"/>
    <tableColumn id="19" name="Bus. Impact"/>
    <tableColumn id="20" name="What set the level"/>
    <tableColumn id="21" name="Flags"/>
    <tableColumn id="22" name="Confidence"/>
  </tableColumns>
  <tableStyleInfo name="TableStyleLight1" showRowStripes="1" showColumnStripes="0"/>
</table>
</file>

<file path=xl/tables/table2.xml><?xml version="1.0" encoding="utf-8"?>
<table xmlns="http://schemas.openxmlformats.org/spreadsheetml/2006/main" id="2" name="T_1d__Weightage_Matrix" displayName="T_1d__Weightage_Matrix" ref="A16:T25" headerRowCount="1">
  <autoFilter ref="A16:T25"/>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ables/table3.xml><?xml version="1.0" encoding="utf-8"?>
<table xmlns="http://schemas.openxmlformats.org/spreadsheetml/2006/main" id="3" name="T_2__Talent_Mapping" displayName="T_2__Talent_Mapping" ref="A6:BV29" headerRowCount="1">
  <autoFilter ref="A6:BV29"/>
  <tableColumns count="74">
    <tableColumn id="1" name="Emp ID"/>
    <tableColumn id="2" name="Employee name"/>
    <tableColumn id="3" name="Department"/>
    <tableColumn id="4" name="Reporting manager"/>
    <tableColumn id="5" name="Total exp. · yrs"/>
    <tableColumn id="6" name="Exp. at IRIS · yrs"/>
    <tableColumn id="7" name="Qualification"/>
    <tableColumn id="8" name="Current designation"/>
    <tableColumn id="9" name="Final designation"/>
    <tableColumn id="10" name="Job family"/>
    <tableColumn id="11" name="Sub-family · what they do"/>
    <tableColumn id="12" name="Current level"/>
    <tableColumn id="13" name="FINAL LEVEL"/>
    <tableColumn id="14" name="Level title"/>
    <tableColumn id="15" name="Band"/>
    <tableColumn id="16" name="Track"/>
    <tableColumn id="17" name="Change vs current"/>
    <tableColumn id="18" name="Role profile — what they do, responsibilities &amp; competencies required"/>
    <tableColumn id="19" name="Business impact — from survey and data"/>
    <tableColumn id="20" name="Business impact — from manager / head · to complete"/>
    <tableColumn id="21" name="Replacement — what they do · simple"/>
    <tableColumn id="22" name="Hire equivalent · external market"/>
    <tableColumn id="23" name="Competencies &amp; skill level to hire for"/>
    <tableColumn id="24" name="Interview questions for the perfect fit"/>
    <tableColumn id="25" name="Weight row — Weightage Matrix"/>
    <tableColumn id="26" name="Complexity rating"/>
    <tableColumn id="27" name="Complexity weight"/>
    <tableColumn id="28" name="Complexity points"/>
    <tableColumn id="29" name="Autonomy rating"/>
    <tableColumn id="30" name="Autonomy weight"/>
    <tableColumn id="31" name="Autonomy points"/>
    <tableColumn id="32" name="Accountab. rating"/>
    <tableColumn id="33" name="Accountab. weight"/>
    <tableColumn id="34" name="Accountab. points"/>
    <tableColumn id="35" name="Leadership rating"/>
    <tableColumn id="36" name="Leadership weight"/>
    <tableColumn id="37" name="Leadership points"/>
    <tableColumn id="38" name="Exp + Qual rating"/>
    <tableColumn id="39" name="Exp + Qual weight"/>
    <tableColumn id="40" name="Exp + Qual points"/>
    <tableColumn id="41" name="Bus. Impact rating"/>
    <tableColumn id="42" name="Bus. Impact weight"/>
    <tableColumn id="43" name="Bus. Impact points"/>
    <tableColumn id="44" name="WEIGHTED SCORE = Σ points"/>
    <tableColumn id="45" name="Level the score indicates"/>
    <tableColumn id="46" name="Why these weights"/>
    <tableColumn id="47" name="Calculation"/>
    <tableColumn id="48" name="Gates, limits &amp; Player-Coach transition steps applied — with the numbers"/>
    <tableColumn id="49" name="Complexity &amp; Expertise — justification"/>
    <tableColumn id="50" name="Autonomy &amp; Decision — justification"/>
    <tableColumn id="51" name="Accountability &amp; Impact — justification"/>
    <tableColumn id="52" name="Leadership &amp; Strategy — justification"/>
    <tableColumn id="53" name="Experience &amp; Qualification — justification"/>
    <tableColumn id="54" name="Business Impact — justification"/>
    <tableColumn id="55" name="ADDITIONAL INPUTS NEEDED — what, and who provides it"/>
    <tableColumn id="56" name="Data used for this person"/>
    <tableColumn id="57" name="Market standard for this role and level"/>
    <tableColumn id="58" name="Confidence"/>
    <tableColumn id="59" name="Points to confirm"/>
    <tableColumn id="60" name="Player-Coach / calibration flag"/>
    <tableColumn id="61" name="Current fixed pay · annual CTC"/>
    <tableColumn id="62" name="Proposed range — minimum"/>
    <tableColumn id="63" name="Proposed range — midpoint"/>
    <tableColumn id="64" name="Proposed range — maximum"/>
    <tableColumn id="65" name="Compa-ratio"/>
    <tableColumn id="66" name="Manager validation"/>
    <tableColumn id="67" name="Manager comment / proposed change"/>
    <tableColumn id="68" name="HR decision"/>
    <tableColumn id="69" name="Approved level"/>
    <tableColumn id="70" name="Approved designation"/>
    <tableColumn id="71" name="Pay / title protection · Y/N"/>
    <tableColumn id="72" name="Reviewer"/>
    <tableColumn id="73" name="Decision date"/>
    <tableColumn id="74" name="Bus. Impact — model start"/>
  </tableColumns>
  <tableStyleInfo name="TableStyleLight1" showRowStripes="1" showColumnStripes="0"/>
</table>
</file>

<file path=xl/tables/table4.xml><?xml version="1.0" encoding="utf-8"?>
<table xmlns="http://schemas.openxmlformats.org/spreadsheetml/2006/main" id="4" name="T_3__Raw_Data___Market_Standards" displayName="T_3__Raw_Data___Market_Standards" ref="A6:EG29" headerRowCount="1">
  <autoFilter ref="A6:EG29"/>
  <tableColumns count="137">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Job family"/>
    <tableColumn id="10" name="Sub-family"/>
    <tableColumn id="11" name="ADDITIONAL INPUTS NEEDED — what, and who provides it"/>
    <tableColumn id="12" name="Survey questions answered · of 20"/>
    <tableColumn id="13" name="Radford / Mercer code"/>
    <tableColumn id="14" name="Pave level"/>
    <tableColumn id="15" name="SFIA 9"/>
    <tableColumn id="16" name="IRIS experience guide"/>
    <tableColumn id="17" name="Market experience · Accenture · Infosys"/>
    <tableColumn id="18" name="Typical market title based on competitor/market benchmark"/>
    <tableColumn id="19" name="Competitors, regtech &amp; SaaS leaders"/>
    <tableColumn id="20" name="Professional standard"/>
    <tableColumn id="21" name="Required capability · Core · Future · Functional · Leadership"/>
    <tableColumn id="22" name="Sr No"/>
    <tableColumn id="23" name="Emp Id · 2"/>
    <tableColumn id="24" name="Employee Category"/>
    <tableColumn id="25" name="Employee Status"/>
    <tableColumn id="26" name="Employee Name · 2"/>
    <tableColumn id="27" name="DoJ"/>
    <tableColumn id="28" name="Designation"/>
    <tableColumn id="29" name="Highest Qualifications"/>
    <tableColumn id="30" name="Reporting Manager"/>
    <tableColumn id="31" name="N levels"/>
    <tableColumn id="32" name="Manager or Individual Contributor"/>
    <tableColumn id="33" name="EXP Outside IRIS"/>
    <tableColumn id="34" name="EXP Current IRIS"/>
    <tableColumn id="35" name="Business Line"/>
    <tableColumn id="36" name="Product/Others"/>
    <tableColumn id="37" name="Department · 2"/>
    <tableColumn id="38" name="Sub Functional Categorization"/>
    <tableColumn id="39" name="Core Development"/>
    <tableColumn id="40" name="Functional Categorization"/>
    <tableColumn id="41" name="Skill Sets"/>
    <tableColumn id="42" name="Technical/Non-technical"/>
    <tableColumn id="43" name="Total Question Answered"/>
    <tableColumn id="44" name="Status"/>
    <tableColumn id="45" name="[CARBON Mapping Master] Emp Id"/>
    <tableColumn id="46" name="[CARBON Mapping Master] Employee Name"/>
    <tableColumn id="47" name="[CARBON Mapping Master] Department"/>
    <tableColumn id="48" name="[CARBON Mapping Master] Role Family"/>
    <tableColumn id="49" name="[CARBON Mapping Master] Sub-Family"/>
    <tableColumn id="50" name="[CARBON Mapping Master] Category"/>
    <tableColumn id="51" name="[CARBON Mapping Master] Current Reporting Manager"/>
    <tableColumn id="52" name="[CARBON Mapping Master] New Reporting Manager"/>
    <tableColumn id="53" name="[CARBON Mapping Master] Change in RM?"/>
    <tableColumn id="54" name="[CARBON Mapping Master] Current Designation"/>
    <tableColumn id="55" name="[CARBON Mapping Master] New Designation"/>
    <tableColumn id="56" name="[CARBON Mapping Master] Change in Designation?"/>
    <tableColumn id="57" name="[CARBON Mapping Master] Current Span · Mgrs only"/>
    <tableColumn id="58" name="[CARBON Mapping Master] Current Span — FTE"/>
    <tableColumn id="59" name="[CARBON Mapping Master] Current Span — Consult/Intern"/>
    <tableColumn id="60" name="[CARBON Mapping Master] Current Span Flag"/>
    <tableColumn id="61" name="[CARBON Mapping Master] New Span · Mgrs only"/>
    <tableColumn id="62" name="[CARBON Mapping Master] New Span — FTE"/>
    <tableColumn id="63" name="[CARBON Mapping Master] New Span — Consult/Intern"/>
    <tableColumn id="64" name="[CARBON Mapping Master] New Span Flag"/>
    <tableColumn id="65" name="[CARBON Mapping Master] Change in Span?"/>
    <tableColumn id="66" name="[CARBON Mapping Master] Career Level — Current"/>
    <tableColumn id="67" name="[CARBON Mapping Master] Career Level — New"/>
    <tableColumn id="68" name="[CARBON Mapping Master] Career Level Source"/>
    <tableColumn id="69" name="[CARBON Mapping Master] KRAs Submitted"/>
    <tableColumn id="70" name="[CARBON Mapping Master] Region / Operating Area"/>
    <tableColumn id="71" name="[CARBON Talent Mapping · Raw] Emp Id"/>
    <tableColumn id="72" name="[CARBON Talent Mapping · Raw] Employee Category"/>
    <tableColumn id="73" name="[CARBON Talent Mapping · Raw] Employee Status"/>
    <tableColumn id="74" name="[CARBON Talent Mapping · Raw] Employee Name"/>
    <tableColumn id="75" name="[CARBON Talent Mapping · Raw] DoJ"/>
    <tableColumn id="76" name="[CARBON Talent Mapping · Raw] Designation"/>
    <tableColumn id="77" name="[CARBON Talent Mapping · Raw] Role Family"/>
    <tableColumn id="78" name="[CARBON Talent Mapping · Raw] Sub-Family"/>
    <tableColumn id="79" name="[CARBON Talent Mapping · Raw] Job Title"/>
    <tableColumn id="80" name="[CARBON Talent Mapping · Raw] Career Level"/>
    <tableColumn id="81" name="[CARBON Talent Mapping · Raw] Reporting Manager"/>
    <tableColumn id="82" name="[CARBON Talent Mapping · Raw] N levels"/>
    <tableColumn id="83" name="[CARBON Talent Mapping · Raw] Manager or Individual Contributor or Player cum Coach"/>
    <tableColumn id="84" name="[CARBON Talent Mapping · Raw] Business Line"/>
    <tableColumn id="85" name="[CARBON Talent Mapping · Raw] Department"/>
    <tableColumn id="86" name="[CARBON Talent Mapping · Raw] Total Experience"/>
    <tableColumn id="87" name="[CARBON Talent Mapping · Raw] Correct Designation Based on Work"/>
    <tableColumn id="88" name="[CARBON Talent Mapping · Raw] Quarterly Performance Rating"/>
    <tableColumn id="89" name="[CARBON Talent Mapping · Raw] Potential Rating · High/Med/Low"/>
    <tableColumn id="90" name="[CARBON Talent Mapping · Raw] 9-Box Placement"/>
    <tableColumn id="91" name="[CARBON Talent Mapping · Raw] Ready for Promotion"/>
    <tableColumn id="92" name="[CARBON Talent Mapping · Raw] Fast Tracker · Y/N"/>
    <tableColumn id="93" name="[CARBON Talent Mapping · Raw] Critical Role · Y/N"/>
    <tableColumn id="94" name="[CARBON Talent Mapping · Raw] Comments"/>
    <tableColumn id="95" name="[Talent Mapping · iFile / iDEAL / DataTech / Database Content] Emp Id"/>
    <tableColumn id="96" name="[Talent Mapping · iFile / iDEAL / DataTech / Database Content] Employee Category"/>
    <tableColumn id="97" name="[Talent Mapping · iFile / iDEAL / DataTech / Database Content] Employee Status"/>
    <tableColumn id="98" name="[Talent Mapping · iFile / iDEAL / DataTech / Database Content] Employee Name"/>
    <tableColumn id="99" name="[Talent Mapping · iFile / iDEAL / DataTech / Database Content] DoJ"/>
    <tableColumn id="100" name="[Talent Mapping · iFile / iDEAL / DataTech / Database Content] Designation"/>
    <tableColumn id="101" name="[Talent Mapping · iFile / iDEAL / DataTech / Database Content] Role Family"/>
    <tableColumn id="102" name="[Talent Mapping · iFile / iDEAL / DataTech / Database Content] Sub-Family"/>
    <tableColumn id="103" name="[Talent Mapping · iFile / iDEAL / DataTech / Database Content] Job Title"/>
    <tableColumn id="104" name="[Talent Mapping · iFile / iDEAL / DataTech / Database Content] Career Level"/>
    <tableColumn id="105" name="[Talent Mapping · iFile / iDEAL / DataTech / Database Content] Highest Qualifications"/>
    <tableColumn id="106" name="[Talent Mapping · iFile / iDEAL / DataTech / Database Content] Reporting Manager"/>
    <tableColumn id="107" name="[Talent Mapping · iFile / iDEAL / DataTech / Database Content] N levels"/>
    <tableColumn id="108" name="[Talent Mapping · iFile / iDEAL / DataTech / Database Content] Manager or Individual Contributor"/>
    <tableColumn id="109" name="[Talent Mapping · iFile / iDEAL / DataTech / Database Content] EXP Outside IRIS"/>
    <tableColumn id="110" name="[Talent Mapping · iFile / iDEAL / DataTech / Database Content] EXP Current IRIS"/>
    <tableColumn id="111" name="[Talent Mapping · iFile / iDEAL / DataTech / Database Content] Total Experience"/>
    <tableColumn id="112" name="[Talent Mapping · iFile / iDEAL / DataTech / Database Content] Avg Exp in IRIS"/>
    <tableColumn id="113" name="[Talent Mapping · iFile / iDEAL / DataTech / Database Content] Business Line"/>
    <tableColumn id="114" name="[Talent Mapping · iFile / iDEAL / DataTech / Database Content] Product/Others"/>
    <tableColumn id="115" name="[Talent Mapping · iFile / iDEAL / DataTech / Database Content] Department"/>
    <tableColumn id="116" name="[Talent Mapping · iFile / iDEAL / DataTech / Database Content] Sub Functional Categorization"/>
    <tableColumn id="117" name="[Talent Mapping · iFile / iDEAL / DataTech / Database Content] Core Development"/>
    <tableColumn id="118" name="[Talent Mapping · iFile / iDEAL / DataTech / Database Content] Functional Categorization"/>
    <tableColumn id="119" name="[Talent Mapping · iFile / iDEAL / DataTech / Database Content] Skill Sets"/>
    <tableColumn id="120" name="[Talent Mapping · iFile / iDEAL / DataTech / Database Content] Technical/Non-technical"/>
    <tableColumn id="121" name="[Talent Mapping · iFile / iDEAL / DataTech / Database Content] Location"/>
    <tableColumn id="122" name="[Talent Mapping · iFile / iDEAL / DataTech / Database Content] Annual KRAs · objective Measurable Minimum 5 - Self"/>
    <tableColumn id="123" name="[Talent Mapping · iFile / iDEAL / DataTech / Database Content] Annual KRAs · objective Measurable Minimum 5 - set by Manager"/>
    <tableColumn id="124" name="[Talent Mapping · iFile / iDEAL / DataTech / Database Content] Quarterly KRAs"/>
    <tableColumn id="125" name="[Talent Mapping · iFile / iDEAL / DataTech / Database Content] Tentative Rating for Q1 · Scale 1-5"/>
    <tableColumn id="126" name="[Talent Mapping · iFile / iDEAL / DataTech / Database Content] Last Performance Discussion date"/>
    <tableColumn id="127" name="[Talent Mapping · iFile / iDEAL / DataTech / Database Content] Correct Designation"/>
    <tableColumn id="128" name="[Talent Mapping · iFile / iDEAL / DataTech / Database Content] Is a structural Change needed for better future"/>
    <tableColumn id="129" name="[Talent Mapping · iFile / iDEAL / DataTech / Database Content] Quarterly Performance Rating"/>
    <tableColumn id="130" name="[Talent Mapping · iFile / iDEAL / DataTech / Database Content] Potential Rating · High/Med/Low"/>
    <tableColumn id="131" name="[Talent Mapping · iFile / iDEAL / DataTech / Database Content] 9-Box Placement"/>
    <tableColumn id="132" name="[Talent Mapping · iFile / iDEAL / DataTech / Database Content] Ready for Promotion"/>
    <tableColumn id="133" name="[Talent Mapping · iFile / iDEAL / DataTech / Database Content] Fast Tracker · Y/N"/>
    <tableColumn id="134" name="[Talent Mapping · iFile / iDEAL / DataTech / Database Content] Critical Role · Y/N"/>
    <tableColumn id="135" name="[Talent Mapping · iFile / iDEAL / DataTech / Database Content] Name of Successor Identified"/>
    <tableColumn id="136" name="[Talent Mapping · iFile / iDEAL / DataTech / Database Content] Training Needs identified for current Role"/>
    <tableColumn id="137" name="[Talent Mapping · iFile / iDEAL / DataTech / Database Content] Training Needs identified if · If promotion Ready"/>
  </tableColumns>
  <tableStyleInfo name="TableStyleLight1" showRowStripes="1" showColumnStripes="0"/>
</table>
</file>

<file path=xl/tables/table5.xml><?xml version="1.0" encoding="utf-8"?>
<table xmlns="http://schemas.openxmlformats.org/spreadsheetml/2006/main" id="5" name="T_8__Talent__Learning___Mobility" displayName="T_8__Talent__Learning___Mobility" ref="A6:AJ29" headerRowCount="1">
  <autoFilter ref="A6:AJ29"/>
  <tableColumns count="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Track"/>
    <tableColumn id="10" name="Latest rating"/>
    <tableColumn id="11" name="Potential"/>
    <tableColumn id="12" name="9-box"/>
    <tableColumn id="13" name="Readiness"/>
    <tableColumn id="14" name="Top performer"/>
    <tableColumn id="15" name="Critical role · Y/N"/>
    <tableColumn id="16" name="Successor named"/>
    <tableColumn id="17" name="Competency index %"/>
    <tableColumn id="18" name="Fit"/>
    <tableColumn id="19" name="Core %"/>
    <tableColumn id="20" name="Future-ready %"/>
    <tableColumn id="21" name="Functional %"/>
    <tableColumn id="22" name="Leadership %"/>
    <tableColumn id="23" name="Top gaps"/>
    <tableColumn id="24" name="Readiness for next level"/>
    <tableColumn id="25" name="Ratings by competency · rating / required"/>
    <tableColumn id="26" name="Self-identified — topics · survey; not quoted"/>
    <tableColumn id="27" name="Manager-identified"/>
    <tableColumn id="28" name="Role-based priorities"/>
    <tableColumn id="29" name="To move to the next role — topics · survey; not quoted"/>
    <tableColumn id="30" name="Training for next role"/>
    <tableColumn id="31" name="Lateral move options"/>
    <tableColumn id="32" name="Duplication — same business"/>
    <tableColumn id="33" name="Alternate talent pool — other businesses"/>
    <tableColumn id="34" name="Direct reports"/>
    <tableColumn id="35" name="Span status"/>
    <tableColumn id="36" name="Span action"/>
  </tableColumns>
  <tableStyleInfo name="TableStyleLight1" showRowStripes="1" showColumnStripes="0"/>
</table>
</file>

<file path=xl/tables/table6.xml><?xml version="1.0" encoding="utf-8"?>
<table xmlns="http://schemas.openxmlformats.org/spreadsheetml/2006/main" id="6" name="T_12__Org_Health_13" displayName="T_12__Org_Health_13" ref="A13:G17" headerRowCount="1">
  <autoFilter ref="A13:G17"/>
  <tableColumns count="7">
    <tableColumn id="1" name="Sub-family · family"/>
    <tableColumn id="2" name="CARBON"/>
    <tableColumn id="3" name="iFile"/>
    <tableColumn id="4" name="iDEAL"/>
    <tableColumn id="5" name="Datatech"/>
    <tableColumn id="6" name="Consume"/>
    <tableColumn id="7" name="Corporate"/>
  </tableColumns>
  <tableStyleInfo name="TableStyleLight1" showRowStripes="1" showColumnStripes="0"/>
</table>
</file>

<file path=xl/tables/table7.xml><?xml version="1.0" encoding="utf-8"?>
<table xmlns="http://schemas.openxmlformats.org/spreadsheetml/2006/main" id="7" name="T_13__Weight_Sensitivity_40" displayName="T_13__Weight_Sensitivity_40" ref="A40:G42" headerRowCount="1">
  <autoFilter ref="A40:G42"/>
  <tableColumns count="7">
    <tableColumn id="1" name="Person"/>
    <tableColumn id="2" name="Business"/>
    <tableColumn id="3" name="Department"/>
    <tableColumn id="4" name="Level"/>
    <tableColumn id="5" name="Score"/>
    <tableColumn id="6" name="Tests that move it"/>
    <tableColumn id="7" name="Final designation"/>
  </tableColumns>
  <tableStyleInfo name="TableStyleLight1" showRowStripes="1" showColumnStripes="0"/>
</table>
</file>

<file path=xl/tables/table8.xml><?xml version="1.0" encoding="utf-8"?>
<table xmlns="http://schemas.openxmlformats.org/spreadsheetml/2006/main" id="8" name="T_14__A3_Deep_Dive_6" displayName="T_14__A3_Deep_Dive_6" ref="A6:H21" headerRowCount="1">
  <autoFilter ref="A6:H21"/>
  <tableColumns count="8">
    <tableColumn id="1" name="Person"/>
    <tableColumn id="2" name="Business"/>
    <tableColumn id="3" name="Department"/>
    <tableColumn id="4" name="Designation"/>
    <tableColumn id="5" name="Total exp. · yrs"/>
    <tableColumn id="6" name="Score"/>
    <tableColumn id="7" name="Gap to B1"/>
    <tableColumn id="8" name="Group"/>
  </tableColumns>
  <tableStyleInfo name="TableStyleLight1" showRowStripes="1" showColumnStripes="0"/>
</table>
</file>

<file path=xl/tables/table9.xml><?xml version="1.0" encoding="utf-8"?>
<table xmlns="http://schemas.openxmlformats.org/spreadsheetml/2006/main" id="9" name="T_15a__Critical_Roles_at_Risk_5" displayName="T_15a__Critical_Roles_at_Risk_5" ref="A5:L20" headerRowCount="1">
  <autoFilter ref="A5:L20"/>
  <tableColumns count="12">
    <tableColumn id="1" name="Person"/>
    <tableColumn id="2" name="Emp ID"/>
    <tableColumn id="3" name="Business"/>
    <tableColumn id="4" name="Department"/>
    <tableColumn id="5" name="Role"/>
    <tableColumn id="6" name="Level"/>
    <tableColumn id="7" name="Critical role"/>
    <tableColumn id="8" name="Only this person"/>
    <tableColumn id="9" name="Successor named"/>
    <tableColumn id="10" name="Risk"/>
    <tableColumn id="11" name="Possible cover · same sub-family"/>
    <tableColumn id="12" name="Action"/>
  </tableColumns>
  <tableStyleInfo name="TableStyleLight1" showRowStripes="1" showColumnStripes="0"/>
</table>
</file>

<file path=xl/tables/table10.xml><?xml version="1.0" encoding="utf-8"?>
<table xmlns="http://schemas.openxmlformats.org/spreadsheetml/2006/main" id="10" name="T_16__Role_Definitions_6" displayName="T_16__Role_Definitions_6" ref="A6:F7" headerRowCount="1">
  <autoFilter ref="A6:F7"/>
  <tableColumns count="6">
    <tableColumn id="1" name="Job family"/>
    <tableColumn id="2" name="Sub-family"/>
    <tableColumn id="3" name="Level"/>
    <tableColumn id="4" name="Track"/>
    <tableColumn id="5" name="People"/>
    <tableColumn id="6" name="Titles in use"/>
  </tableColumns>
  <tableStyleInfo name="TableStyleLight1" showRowStripes="1" showColumnStripes="0"/>
</table>
</file>

<file path=xl/tables/table11.xml><?xml version="1.0" encoding="utf-8"?>
<table xmlns="http://schemas.openxmlformats.org/spreadsheetml/2006/main" id="11" name="T_16__Role_Definitions_10" displayName="T_16__Role_Definitions_10" ref="A10:F11" headerRowCount="1">
  <autoFilter ref="A10:F11"/>
  <tableColumns count="6">
    <tableColumn id="1" name="Job family"/>
    <tableColumn id="2" name="Sub-family"/>
    <tableColumn id="3" name="Level"/>
    <tableColumn id="4" name="Track"/>
    <tableColumn id="5" name="Roles"/>
    <tableColumn id="6" name="Where · business · department · title · people"/>
  </tableColumns>
  <tableStyleInfo name="TableStyleLight1" showRowStripes="1" showColumnStripes="0"/>
</table>
</file>

<file path=xl/tables/table12.xml><?xml version="1.0" encoding="utf-8"?>
<table xmlns="http://schemas.openxmlformats.org/spreadsheetml/2006/main" id="12" name="T_17__Data_Gaps_5" displayName="T_17__Data_Gaps_5" ref="A5:G10" headerRowCount="1">
  <autoFilter ref="A5:G10"/>
  <tableColumns count="7">
    <tableColumn id="1" name="Emp ID"/>
    <tableColumn id="2" name="Person"/>
    <tableColumn id="3" name="Business"/>
    <tableColumn id="4" name="Department"/>
    <tableColumn id="5" name="Level"/>
    <tableColumn id="6" name="What is missing"/>
    <tableColumn id="7" name="Who supplies it"/>
  </tableColumns>
  <tableStyleInfo name="TableStyleLight1" showRowStripes="1" showColumnStripes="0"/>
</table>
</file>

<file path=xl/tables/table13.xml><?xml version="1.0" encoding="utf-8"?>
<table xmlns="http://schemas.openxmlformats.org/spreadsheetml/2006/main" id="13" name="T_18__Career_Ladder" displayName="T_18__Career_Ladder" ref="A6:P18" headerRowCount="1">
  <autoFilter ref="A6:P18"/>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onsume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Overview'!A1" TargetMode="External" Id="rId2"/><Relationship Type="http://schemas.openxmlformats.org/officeDocument/2006/relationships/hyperlink" Target="#'1a. Placements'!A1" TargetMode="External" Id="rId3"/><Relationship Type="http://schemas.openxmlformats.org/officeDocument/2006/relationships/hyperlink" Target="#'1b. Person Card'!A1" TargetMode="External" Id="rId4"/><Relationship Type="http://schemas.openxmlformats.org/officeDocument/2006/relationships/hyperlink" Target="#'1d. Weightage Matrix'!A1" TargetMode="External" Id="rId5"/><Relationship Type="http://schemas.openxmlformats.org/officeDocument/2006/relationships/hyperlink" Target="#'1e. Weight Benchmark'!A1" TargetMode="External" Id="rId6"/><Relationship Type="http://schemas.openxmlformats.org/officeDocument/2006/relationships/hyperlink" Target="#'2. Talent Mapping'!A1" TargetMode="External" Id="rId7"/><Relationship Type="http://schemas.openxmlformats.org/officeDocument/2006/relationships/hyperlink" Target="#'3. Raw Data &amp; Market Standards'!A1" TargetMode="External" Id="rId8"/><Relationship Type="http://schemas.openxmlformats.org/officeDocument/2006/relationships/hyperlink" Target="#'4. Role Competency Framework'!A1" TargetMode="External" Id="rId9"/><Relationship Type="http://schemas.openxmlformats.org/officeDocument/2006/relationships/hyperlink" Target="#'5. Capability Framework'!A1" TargetMode="External" Id="rId10"/><Relationship Type="http://schemas.openxmlformats.org/officeDocument/2006/relationships/hyperlink" Target="#'6. Role Catalogue'!A1" TargetMode="External" Id="rId11"/><Relationship Type="http://schemas.openxmlformats.org/officeDocument/2006/relationships/hyperlink" Target="#'7. Role Requirements'!A1" TargetMode="External" Id="rId12"/><Relationship Type="http://schemas.openxmlformats.org/officeDocument/2006/relationships/hyperlink" Target="#'8. Talent, Learning &amp; Mobility'!A1" TargetMode="External" Id="rId13"/><Relationship Type="http://schemas.openxmlformats.org/officeDocument/2006/relationships/hyperlink" Target="#'9. Calibration &amp; Decisions'!A1" TargetMode="External" Id="rId14"/><Relationship Type="http://schemas.openxmlformats.org/officeDocument/2006/relationships/hyperlink" Target="#'10. Framework &amp; Logic'!A1" TargetMode="External" Id="rId15"/><Relationship Type="http://schemas.openxmlformats.org/officeDocument/2006/relationships/hyperlink" Target="#'11. References &amp; Benchmarks'!A1" TargetMode="External" Id="rId16"/><Relationship Type="http://schemas.openxmlformats.org/officeDocument/2006/relationships/hyperlink" Target="#'12. Org Health'!A1" TargetMode="External" Id="rId17"/><Relationship Type="http://schemas.openxmlformats.org/officeDocument/2006/relationships/hyperlink" Target="#'13. Weight Sensitivity'!A1" TargetMode="External" Id="rId18"/><Relationship Type="http://schemas.openxmlformats.org/officeDocument/2006/relationships/hyperlink" Target="#'14. A3 Deep-Dive'!A1" TargetMode="External" Id="rId19"/><Relationship Type="http://schemas.openxmlformats.org/officeDocument/2006/relationships/hyperlink" Target="#'15. Succession'!A1" TargetMode="External" Id="rId20"/><Relationship Type="http://schemas.openxmlformats.org/officeDocument/2006/relationships/hyperlink" Target="#'15a. Critical Roles at Risk'!A1" TargetMode="External" Id="rId21"/><Relationship Type="http://schemas.openxmlformats.org/officeDocument/2006/relationships/hyperlink" Target="#'16. Role Definitions'!A1" TargetMode="External" Id="rId22"/><Relationship Type="http://schemas.openxmlformats.org/officeDocument/2006/relationships/hyperlink" Target="#'17. Data Gaps'!A1" TargetMode="External" Id="rId23"/><Relationship Type="http://schemas.openxmlformats.org/officeDocument/2006/relationships/hyperlink" Target="#'18. Career Ladder'!A1" TargetMode="External" Id="rId24"/></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s>
</file>

<file path=xl/worksheets/_rels/sheet1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7.xml" Id="rId2"/></Relationships>
</file>

<file path=xl/worksheets/_rels/sheet2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21.xml.rels><Relationships xmlns="http://schemas.openxmlformats.org/package/2006/relationships"><Relationship Type="http://schemas.openxmlformats.org/officeDocument/2006/relationships/hyperlink" Target="#'Contents'!A1" TargetMode="External" Id="rId1"/></Relationships>
</file>

<file path=xl/worksheets/_rels/sheet2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2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 Type="http://schemas.openxmlformats.org/officeDocument/2006/relationships/table" Target="/xl/tables/table11.xml" Id="rId3"/></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s>
</file>

<file path=xl/worksheets/_rels/sheet2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3.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32"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full master for one product: every person, the reasoning, the role catalogue, insights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12" t="inlineStr">
        <is>
          <t>#</t>
        </is>
      </c>
      <c r="B6" s="12" t="inlineStr">
        <is>
          <t>Step</t>
        </is>
      </c>
      <c r="C6" s="12" t="inlineStr">
        <is>
          <t>What we did</t>
        </is>
      </c>
      <c r="D6" s="12" t="inlineStr">
        <is>
          <t>What came out of it</t>
        </is>
      </c>
    </row>
    <row r="7" ht="54" customHeight="1">
      <c r="A7" s="15" t="n">
        <v>1</v>
      </c>
      <c r="B7" s="16" t="inlineStr">
        <is>
          <t>Created a base framework</t>
        </is>
      </c>
      <c r="C7" s="16" t="inlineStr">
        <is>
          <t>Built IRIS's job architecture from established market methods — Aon Radford / Mercer career levels, Korn Ferry Hay factors, WTW banding and SFIA — with job families anchored to the ILO occupation standard.</t>
        </is>
      </c>
      <c r="D7" s="16" t="inlineStr">
        <is>
          <t>19 job families, 61 sub-families, a 12-level ladder plus two Player-Coach steps · B+, C+, six factors, individual-contributor and manager tracks</t>
        </is>
      </c>
    </row>
    <row r="8" ht="54" customHeight="1">
      <c r="A8" s="15" t="n">
        <v>2</v>
      </c>
      <c r="B8" s="16" t="inlineStr">
        <is>
          <t>Designed a survey around it</t>
        </is>
      </c>
      <c r="C8" s="16"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6" t="inlineStr">
        <is>
          <t>One evidence form for every role, so each rating can be traced to an answer</t>
        </is>
      </c>
    </row>
    <row r="9" ht="41" customHeight="1">
      <c r="A9" s="15" t="n">
        <v>3</v>
      </c>
      <c r="B9" s="16" t="inlineStr">
        <is>
          <t>Conducted 60–65 workshops</t>
        </is>
      </c>
      <c r="C9" s="16" t="inlineStr">
        <is>
          <t>Ran 60–65 workshops with teams across the six products and Corporate: explained the framework, walked through the questions and collected answers in the room.</t>
        </is>
      </c>
      <c r="D9" s="16" t="inlineStr">
        <is>
          <t>Survey responses from 520 people</t>
        </is>
      </c>
    </row>
    <row r="10" ht="41" customHeight="1">
      <c r="A10" s="15" t="n">
        <v>4</v>
      </c>
      <c r="B10" s="16" t="inlineStr">
        <is>
          <t>Gathered the data</t>
        </is>
      </c>
      <c r="C10" s="16" t="inlineStr">
        <is>
          <t>Combined the survey with the HRIS employee master, KRAs · self and manager-set, the managers' talent mapping · rating, potential, 9-box and the reporting lines.</t>
        </is>
      </c>
      <c r="D10" s="16" t="inlineStr">
        <is>
          <t>One record per person — 586 people; KRAs on file for 453</t>
        </is>
      </c>
    </row>
    <row r="11" ht="41" customHeight="1">
      <c r="A11" s="15" t="n">
        <v>5</v>
      </c>
      <c r="B11" s="16" t="inlineStr">
        <is>
          <t>Cleaned and protected it</t>
        </is>
      </c>
      <c r="C11" s="16" t="inlineStr">
        <is>
          <t>Matched responses to people · with consent where needed, removed personal data, and showed survey content only where three or more role-holders answered — never one person's words against a name.</t>
        </is>
      </c>
      <c r="D11" s="16" t="inlineStr">
        <is>
          <t>Privacy-safe evidence</t>
        </is>
      </c>
    </row>
    <row r="12" ht="28" customHeight="1">
      <c r="A12" s="15" t="n">
        <v>6</v>
      </c>
      <c r="B12" s="16" t="inlineStr">
        <is>
          <t>Mapped every role</t>
        </is>
      </c>
      <c r="C12" s="16" t="inlineStr">
        <is>
          <t>Placed each person in a job family, a sub-family · the work they actually do and a track.</t>
        </is>
      </c>
      <c r="D12" s="16" t="inlineStr">
        <is>
          <t>267 distinct employee roles; one IRIS-wide role catalogue</t>
        </is>
      </c>
    </row>
    <row r="13" ht="54" customHeight="1">
      <c r="A13" s="15" t="n">
        <v>7</v>
      </c>
      <c r="B13" s="16" t="inlineStr">
        <is>
          <t>Rated and scored</t>
        </is>
      </c>
      <c r="C13" s="16" t="inlineStr">
        <is>
          <t>Rated six factors — Complexity, Autonomy, Accountability, Leadership, Experience &amp; Qualification, Business Impact — on the ladder scale from the evidence; rating × weight = points; points add up to a score; the score points to a level.</t>
        </is>
      </c>
      <c r="D13" s="16" t="inlineStr">
        <is>
          <t>A score and an indicated level for 540 employees</t>
        </is>
      </c>
    </row>
    <row r="14" ht="41" customHeight="1">
      <c r="A14" s="15" t="n">
        <v>8</v>
      </c>
      <c r="B14" s="16" t="inlineStr">
        <is>
          <t>Applied the rules</t>
        </is>
      </c>
      <c r="C14" s="16" t="inlineStr">
        <is>
          <t>Gates, limits and Player-Coach steps where the evidence calls for them, and leadership decisions for the top bands — each one written down with its numbers.</t>
        </is>
      </c>
      <c r="D14" s="16" t="inlineStr">
        <is>
          <t>A final level and designation for everyone, every move explained</t>
        </is>
      </c>
    </row>
    <row r="15" ht="41" customHeight="1">
      <c r="A15" s="15" t="n">
        <v>9</v>
      </c>
      <c r="B15" s="16" t="inlineStr">
        <is>
          <t>Benchmarked to the market</t>
        </is>
      </c>
      <c r="C15" s="16" t="inlineStr">
        <is>
          <t>Matched every level to Aon Radford / Mercer codes and SFIA, and to competitor, regtech and SaaS ladders; every source re-read and corrected.</t>
        </is>
      </c>
      <c r="D15" s="16" t="inlineStr">
        <is>
          <t>A market code and a typical market title for every level</t>
        </is>
      </c>
    </row>
    <row r="16" ht="54" customHeight="1">
      <c r="A16" s="15" t="n">
        <v>10</v>
      </c>
      <c r="B16" s="16" t="inlineStr">
        <is>
          <t>Built the file set</t>
        </is>
      </c>
      <c r="C16" s="16" t="inlineStr">
        <is>
          <t>One build produces every file from the same data, so they always agree: the HR Super Master, product masters and simplified editions, the framework &amp; model master, the calibration panel pack, the ladder master and draft letters.</t>
        </is>
      </c>
      <c r="D16" s="16" t="inlineStr">
        <is>
          <t>Files by audience, rebuilt and re-checked in minutes</t>
        </is>
      </c>
    </row>
    <row r="17" ht="28" customHeight="1">
      <c r="A17" s="15" t="n">
        <v>11</v>
      </c>
      <c r="B17" s="16" t="inlineStr">
        <is>
          <t>Reviewed and corrected</t>
        </is>
      </c>
      <c r="C17" s="16" t="inlineStr">
        <is>
          <t>Business-head review, independent reviews, and 100+ automated checks on every build · placements, privacy, formulas, links, counts.</t>
        </is>
      </c>
      <c r="D17" s="16" t="inlineStr">
        <is>
          <t>Corrections fed back as validated inputs, never as hand edits</t>
        </is>
      </c>
    </row>
    <row r="18" ht="15" customHeight="1"/>
    <row r="19" ht="20" customHeight="1">
      <c r="A19" s="6" t="inlineStr">
        <is>
          <t>2. What we are doing now</t>
        </is>
      </c>
      <c r="B19" s="2" t="n"/>
      <c r="C19" s="2" t="n"/>
      <c r="D19" s="2" t="n"/>
    </row>
    <row r="20" ht="15" customHeight="1">
      <c r="A20" s="12" t="inlineStr">
        <is>
          <t>Now</t>
        </is>
      </c>
      <c r="B20" s="8" t="n"/>
      <c r="C20" s="12" t="inlineStr">
        <is>
          <t>What happens</t>
        </is>
      </c>
      <c r="D20" s="12" t="inlineStr">
        <is>
          <t>Who</t>
        </is>
      </c>
    </row>
    <row r="21" ht="28" customHeight="1">
      <c r="A21" s="13" t="inlineStr">
        <is>
          <t>Calibration</t>
        </is>
      </c>
      <c r="B21" s="14" t="n"/>
      <c r="C21" s="16" t="inlineStr">
        <is>
          <t>The panel rates anchor roles blind and compares them with the model; close calls and moves down are decided.</t>
        </is>
      </c>
      <c r="D21" s="16" t="inlineStr">
        <is>
          <t>Calibration panel</t>
        </is>
      </c>
    </row>
    <row r="22" ht="28" customHeight="1">
      <c r="A22" s="13" t="inlineStr">
        <is>
          <t>Decisions and data</t>
        </is>
      </c>
      <c r="B22" s="14" t="n"/>
      <c r="C22" s="16" t="inlineStr">
        <is>
          <t>Open decisions and critical data requests are worked in the HR Super Master's tracker.</t>
        </is>
      </c>
      <c r="D22" s="16" t="inlineStr">
        <is>
          <t>HR, managers, business heads</t>
        </is>
      </c>
    </row>
    <row r="23" ht="28" customHeight="1">
      <c r="A23" s="13" t="inlineStr">
        <is>
          <t>Business-head review</t>
        </is>
      </c>
      <c r="B23" s="14" t="n"/>
      <c r="C23" s="16" t="inlineStr">
        <is>
          <t>Each business head marks Agree / Change / Discuss in their simplified edition; responses are imported and tracked.</t>
        </is>
      </c>
      <c r="D23" s="16" t="inlineStr">
        <is>
          <t>Business heads</t>
        </is>
      </c>
    </row>
    <row r="24" ht="28" customHeight="1">
      <c r="A24" s="13" t="inlineStr">
        <is>
          <t>Sign-off</t>
        </is>
      </c>
      <c r="B24" s="14" t="n"/>
      <c r="C24" s="16" t="inlineStr">
        <is>
          <t>The executive sponsor approves the structure; then the draft letters are issued.</t>
        </is>
      </c>
      <c r="D24" s="16" t="inlineStr">
        <is>
          <t>Executive sponsor, HR</t>
        </is>
      </c>
    </row>
    <row r="25" ht="28" customHeight="1">
      <c r="A25" s="13" t="inlineStr">
        <is>
          <t>Pay · later</t>
        </is>
      </c>
      <c r="B25" s="14" t="n"/>
      <c r="C25" s="16" t="inlineStr">
        <is>
          <t>Buy one India pay survey and price each level; pay columns stay blank until then.</t>
        </is>
      </c>
      <c r="D25" s="16" t="inlineStr">
        <is>
          <t>HR, Finance</t>
        </is>
      </c>
    </row>
    <row r="26" ht="15" customHeight="1"/>
    <row r="27" ht="20" customHeight="1">
      <c r="A27" s="6" t="inlineStr">
        <is>
          <t>3. How it works — in one minute</t>
        </is>
      </c>
      <c r="B27" s="2" t="n"/>
      <c r="C27" s="2" t="n"/>
      <c r="D27" s="2" t="n"/>
    </row>
    <row r="28" ht="15" customHeight="1">
      <c r="A28" s="12" t="inlineStr">
        <is>
          <t>Step</t>
        </is>
      </c>
      <c r="B28" s="8" t="n"/>
      <c r="C28" s="12" t="inlineStr">
        <is>
          <t>In plain words</t>
        </is>
      </c>
      <c r="D28" s="8" t="n"/>
    </row>
    <row r="29" ht="28" customHeight="1">
      <c r="A29" s="13" t="inlineStr">
        <is>
          <t>1 · A building with 12 floors</t>
        </is>
      </c>
      <c r="B29" s="14" t="n"/>
      <c r="C29" s="16" t="inlineStr">
        <is>
          <r>
            <rPr>
              <rFont val="Calibri"/>
              <b val="1"/>
              <sz val="10"/>
            </rPr>
            <t>IRIS is a building:</t>
          </r>
          <r>
            <rPr>
              <rFont val="Calibri"/>
              <sz val="10"/>
            </rPr>
            <t xml:space="preserve"> floor 1 = first job, floor 12 = CEO; two half floors · B+, C+ for player-coaches. Every job lives on one floor.</t>
          </r>
        </is>
      </c>
      <c r="D29" s="14" t="n"/>
    </row>
    <row r="30" ht="28" customHeight="1">
      <c r="A30" s="13" t="inlineStr">
        <is>
          <t>2 · Six judges</t>
        </is>
      </c>
      <c r="B30" s="14" t="n"/>
      <c r="C30" s="16" t="inlineStr">
        <is>
          <t>Six judges look at the job — How hard? Decides alone? Answers for? Leads? Experience? Business impact? — and each holds up a floor number · the rating, using the evidence: survey, KRAs, HRIS, reporting line.</t>
        </is>
      </c>
      <c r="D30" s="14" t="n"/>
    </row>
    <row r="31" ht="28" customHeight="1">
      <c r="A31" s="13" t="inlineStr">
        <is>
          <t>3 · Some count more</t>
        </is>
      </c>
      <c r="B31" s="14" t="n"/>
      <c r="C31" s="16" t="inlineStr">
        <is>
          <t>Starting out, the quality of the work counts most; for leaders, results, leading and business impact count most. Experience counts little. All six add to 100%, and leaders can edit them on the Weightage Matrix.</t>
        </is>
      </c>
      <c r="D31" s="14" t="n"/>
    </row>
    <row r="32" ht="28" customHeight="1">
      <c r="A32" s="13" t="inlineStr">
        <is>
          <t>4 · Add up = the floor</t>
        </is>
      </c>
      <c r="B32" s="14" t="n"/>
      <c r="C32" s="16" t="inlineStr">
        <is>
          <t>Card × how much it counts = points; add the points = the score; round it = the floor · 5.05 → 5 → B2. Fair-play checks can hold it — each one written down.</t>
        </is>
      </c>
      <c r="D32" s="14"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12" t="inlineStr">
        <is>
          <t>Output</t>
        </is>
      </c>
      <c r="B36" s="8" t="n"/>
      <c r="C36" s="8" t="n"/>
      <c r="D36" s="12" t="inlineStr">
        <is>
          <t>Count</t>
        </is>
      </c>
    </row>
    <row r="37" ht="15" customHeight="1">
      <c r="A37" s="13" t="inlineStr">
        <is>
          <t>People mapped · employees + consultants</t>
        </is>
      </c>
      <c r="B37" s="14" t="n"/>
      <c r="C37" s="14" t="n"/>
      <c r="D37" s="15" t="inlineStr">
        <is>
          <t>586</t>
        </is>
      </c>
    </row>
    <row r="38" ht="15" customHeight="1">
      <c r="A38" s="13" t="inlineStr">
        <is>
          <t>Job families · sub-families</t>
        </is>
      </c>
      <c r="B38" s="14" t="n"/>
      <c r="C38" s="14" t="n"/>
      <c r="D38" s="15" t="inlineStr">
        <is>
          <t>19 · 61</t>
        </is>
      </c>
    </row>
    <row r="39" ht="15" customHeight="1">
      <c r="A39" s="13" t="inlineStr">
        <is>
          <t>Ladder steps in use · employees</t>
        </is>
      </c>
      <c r="B39" s="14" t="n"/>
      <c r="C39" s="14" t="n"/>
      <c r="D39" s="15" t="n">
        <v>13</v>
      </c>
    </row>
    <row r="40" ht="15" customHeight="1">
      <c r="A40" s="13" t="inlineStr">
        <is>
          <t>Designations on the new ladder · employees</t>
        </is>
      </c>
      <c r="B40" s="14" t="n"/>
      <c r="C40" s="14" t="n"/>
      <c r="D40" s="15" t="n">
        <v>184</v>
      </c>
    </row>
    <row r="41" ht="15" customHeight="1">
      <c r="A41" s="13" t="inlineStr">
        <is>
          <t>Distinct employee roles</t>
        </is>
      </c>
      <c r="B41" s="14" t="n"/>
      <c r="C41" s="14" t="n"/>
      <c r="D41" s="15" t="n">
        <v>267</v>
      </c>
    </row>
    <row r="42" ht="15" customHeight="1">
      <c r="A42" s="13" t="inlineStr">
        <is>
          <t>Products and Corporate</t>
        </is>
      </c>
      <c r="B42" s="14" t="n"/>
      <c r="C42" s="14" t="n"/>
      <c r="D42" s="15" t="n">
        <v>6</v>
      </c>
    </row>
    <row r="43" ht="15" customHeight="1">
      <c r="A43" s="13" t="inlineStr">
        <is>
          <t>People in leadership bands D–E</t>
        </is>
      </c>
      <c r="B43" s="14" t="n"/>
      <c r="C43" s="14" t="n"/>
      <c r="D43" s="15" t="n">
        <v>11</v>
      </c>
    </row>
    <row r="44" ht="15" customHeight="1"/>
    <row r="45" ht="20" customHeight="1">
      <c r="A45" s="6" t="inlineStr">
        <is>
          <t>5. The impact</t>
        </is>
      </c>
      <c r="B45" s="2" t="n"/>
      <c r="C45" s="2" t="n"/>
      <c r="D45" s="2" t="n"/>
    </row>
    <row r="46" ht="15" customHeight="1">
      <c r="A46" s="12" t="inlineStr">
        <is>
          <t>Impact</t>
        </is>
      </c>
      <c r="B46" s="8" t="n"/>
      <c r="C46" s="12" t="inlineStr">
        <is>
          <t>What it means</t>
        </is>
      </c>
      <c r="D46" s="8" t="n"/>
    </row>
    <row r="47" ht="28" customHeight="1">
      <c r="A47" s="13" t="inlineStr">
        <is>
          <t>One architecture for all of IRIS</t>
        </is>
      </c>
      <c r="B47" s="14" t="n"/>
      <c r="C47" s="16" t="inlineStr">
        <is>
          <t>The same families, the same ladder and the same method in every product — titles mean the same thing everywhere.</t>
        </is>
      </c>
      <c r="D47" s="14" t="n"/>
    </row>
    <row r="48" ht="15" customHeight="1">
      <c r="A48" s="13" t="inlineStr">
        <is>
          <t>Transparent, explainable levels</t>
        </is>
      </c>
      <c r="B48" s="14" t="n"/>
      <c r="C48" s="16" t="inlineStr">
        <is>
          <t>Every level traces to evidence, ratings, weights and named rules; anyone can see why a role sits where it does.</t>
        </is>
      </c>
      <c r="D48" s="14" t="n"/>
    </row>
    <row r="49" ht="28" customHeight="1">
      <c r="A49" s="13" t="inlineStr">
        <is>
          <t>Clear career paths</t>
        </is>
      </c>
      <c r="B49" s="14" t="n"/>
      <c r="C49" s="16" t="inlineStr">
        <is>
          <t>Individual-contributor and manager tracks with a ladder in every sub-family, and the competencies needed for the next step.</t>
        </is>
      </c>
      <c r="D49" s="14" t="n"/>
    </row>
    <row r="50" ht="28" customHeight="1">
      <c r="A50" s="13" t="inlineStr">
        <is>
          <t>Duplication made visible</t>
        </is>
      </c>
      <c r="B50" s="14" t="n"/>
      <c r="C50" s="16" t="inlineStr">
        <is>
          <t>53 family × sub-family × level combinations are held in more than one product — candidates for common role definitions and shared pools.</t>
        </is>
      </c>
      <c r="D50" s="14" t="n"/>
    </row>
    <row r="51" ht="28" customHeight="1">
      <c r="A51" s="13" t="inlineStr">
        <is>
          <t>Leadership consistency</t>
        </is>
      </c>
      <c r="B51" s="14" t="n"/>
      <c r="C51" s="16" t="inlineStr">
        <is>
          <t>No one in Bands D–E sits above their reporting manager, anyone in Band D reporting to an E1 / E2 sits at D2, and leadership levels are set by approved decisions.</t>
        </is>
      </c>
      <c r="D51" s="14" t="n"/>
    </row>
    <row r="52" ht="15" customHeight="1">
      <c r="A52" s="13" t="inlineStr">
        <is>
          <t>Ready for pay and planning</t>
        </is>
      </c>
      <c r="B52" s="14" t="n"/>
      <c r="C52" s="16" t="inlineStr">
        <is>
          <t>Each level carries a market code, so pay ranges, succession and workforce planning can be built on it.</t>
        </is>
      </c>
      <c r="D52" s="14" t="n"/>
    </row>
    <row r="53" ht="15" customHeight="1"/>
    <row r="54" ht="20" customHeight="1">
      <c r="A54" s="6" t="inlineStr">
        <is>
          <t>6. Our framework at a glance</t>
        </is>
      </c>
      <c r="B54" s="2" t="n"/>
      <c r="C54" s="2" t="n"/>
      <c r="D54" s="2" t="n"/>
    </row>
    <row r="55" ht="28" customHeight="1">
      <c r="A55" s="12" t="inlineStr">
        <is>
          <t>Element</t>
        </is>
      </c>
      <c r="B55" s="12" t="inlineStr">
        <is>
          <t>What it is</t>
        </is>
      </c>
      <c r="C55" s="8" t="n"/>
      <c r="D55" s="8" t="n"/>
    </row>
    <row r="56" ht="41" customHeight="1">
      <c r="A56" s="13" t="inlineStr">
        <is>
          <t>Job families</t>
        </is>
      </c>
      <c r="B56" s="16" t="inlineStr">
        <is>
          <t>19 families of work, each anchored to the ILO occupation standard — the same in every product.</t>
        </is>
      </c>
      <c r="C56" s="14" t="n"/>
      <c r="D56" s="14" t="n"/>
    </row>
    <row r="57" ht="41" customHeight="1">
      <c r="A57" s="13" t="inlineStr">
        <is>
          <t>Sub-families</t>
        </is>
      </c>
      <c r="B57" s="16" t="inlineStr">
        <is>
          <t>61 sub-families: the work a person actually does inside a family. One definition each, used everywhere.</t>
        </is>
      </c>
      <c r="C57" s="14" t="n"/>
      <c r="D57" s="14" t="n"/>
    </row>
    <row r="58" ht="41" customHeight="1">
      <c r="A58" s="13" t="inlineStr">
        <is>
          <t>Career ladder</t>
        </is>
      </c>
      <c r="B58" s="16"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4" t="n"/>
      <c r="D58" s="14" t="n"/>
    </row>
    <row r="59" ht="28" customHeight="1">
      <c r="A59" s="13" t="inlineStr">
        <is>
          <t>Tracks</t>
        </is>
      </c>
      <c r="B59" s="16" t="inlineStr">
        <is>
          <t>Individual contributor, POD Lead · leads 1–3 while doing the work, Player-Coach · leads and delivers, People Manager, Consultant — experts progress without having to manage.</t>
        </is>
      </c>
      <c r="C59" s="14" t="n"/>
      <c r="D59" s="14" t="n"/>
    </row>
    <row r="60" ht="28" customHeight="1">
      <c r="A60" s="13" t="inlineStr">
        <is>
          <t>Six factors</t>
        </is>
      </c>
      <c r="B60" s="16" t="inlineStr">
        <is>
          <t>Complexity &amp; Expertise · Autonomy &amp; Decision · Accountability &amp; Impact · Leadership &amp; Strategy · Experience &amp; Qualification · Business Impact — each gets a rating: the floor of the ladder that part of the job looks like.</t>
        </is>
      </c>
      <c r="C60" s="14" t="n"/>
      <c r="D60" s="14" t="n"/>
    </row>
    <row r="61" ht="28" customHeight="1">
      <c r="A61" s="13" t="inlineStr">
        <is>
          <t>Weights</t>
        </is>
      </c>
      <c r="B61" s="16" t="inlineStr">
        <is>
          <t>How much each factor counts, by band and track · junior roles: skill and experience; senior roles: accountability and leadership, fine-tuned ±5 by type of work.</t>
        </is>
      </c>
      <c r="C61" s="14" t="n"/>
      <c r="D61" s="14" t="n"/>
    </row>
    <row r="62" ht="28" customHeight="1">
      <c r="A62" s="13" t="inlineStr">
        <is>
          <t>Rules</t>
        </is>
      </c>
      <c r="B62" s="16" t="inlineStr">
        <is>
          <t>R1–R13: category rules, provisional holds, work-substance and structure gates, experience limits, track minimums, Player-Coach steps, leadership decisions and the D–E reporting-line rules — each written on the person's row with its numbers.</t>
        </is>
      </c>
      <c r="C62" s="14" t="n"/>
      <c r="D62" s="14" t="n"/>
    </row>
    <row r="63" ht="28" customHeight="1">
      <c r="A63" s="13" t="inlineStr">
        <is>
          <t>Titles</t>
        </is>
      </c>
      <c r="B63" s="16" t="inlineStr">
        <is>
          <t>Level marker + role noun; market titles where the market has its own ladder · Product Manager, Account Executive.</t>
        </is>
      </c>
      <c r="C63" s="14" t="n"/>
      <c r="D63" s="14" t="n"/>
    </row>
    <row r="64" ht="41" customHeight="1">
      <c r="A64" s="13" t="inlineStr">
        <is>
          <t>Competencies</t>
        </is>
      </c>
      <c r="B64" s="16" t="inlineStr">
        <is>
          <t>6 core and 4 future-ready for everyone, 4 leadership for leaders, and functional competencies for each family — each with a 1–5 skill level required at every career level.</t>
        </is>
      </c>
      <c r="C64" s="14" t="n"/>
      <c r="D64" s="14" t="n"/>
    </row>
    <row r="65" ht="28" customHeight="1">
      <c r="A65" s="13" t="inlineStr">
        <is>
          <t>Market link</t>
        </is>
      </c>
      <c r="B65" s="16" t="inlineStr">
        <is>
          <t>Every level maps to Aon Radford / Mercer codes and SFIA, with competitor, regtech and SaaS equivalents — the base for pay ranges later.</t>
        </is>
      </c>
      <c r="C65" s="14" t="n"/>
      <c r="D65" s="14" t="n"/>
    </row>
    <row r="66" ht="15" customHeight="1"/>
    <row r="67" ht="20" customHeight="1">
      <c r="A67" s="6" t="inlineStr">
        <is>
          <t>7. The Job Architecture process — how the structure was built</t>
        </is>
      </c>
      <c r="B67" s="2" t="n"/>
      <c r="C67" s="2" t="n"/>
      <c r="D67" s="2" t="n"/>
    </row>
    <row r="68" ht="15" customHeight="1">
      <c r="A68" s="12" t="inlineStr">
        <is>
          <t>#</t>
        </is>
      </c>
      <c r="B68" s="12" t="inlineStr">
        <is>
          <t>Step</t>
        </is>
      </c>
      <c r="C68" s="12" t="inlineStr">
        <is>
          <t>What happens</t>
        </is>
      </c>
      <c r="D68" s="8" t="n"/>
    </row>
    <row r="69" ht="15" customHeight="1">
      <c r="A69" s="15" t="n">
        <v>1</v>
      </c>
      <c r="B69" s="16" t="inlineStr">
        <is>
          <t>Define families</t>
        </is>
      </c>
      <c r="C69" s="16" t="inlineStr">
        <is>
          <t>Group all work into job families anchored to ISCO-08, so the same work has the same name everywhere.</t>
        </is>
      </c>
      <c r="D69" s="14" t="n"/>
    </row>
    <row r="70" ht="15" customHeight="1">
      <c r="A70" s="15" t="n">
        <v>2</v>
      </c>
      <c r="B70" s="16" t="inlineStr">
        <is>
          <t>Define sub-families</t>
        </is>
      </c>
      <c r="C70" s="16" t="inlineStr">
        <is>
          <t>Split each family into the distinct kinds of work people do, from the survey and role data.</t>
        </is>
      </c>
      <c r="D70" s="14" t="n"/>
    </row>
    <row r="71" ht="28" customHeight="1">
      <c r="A71" s="15" t="n">
        <v>3</v>
      </c>
      <c r="B71" s="16" t="inlineStr">
        <is>
          <t>Set the ladder and bands</t>
        </is>
      </c>
      <c r="C71" s="16" t="inlineStr">
        <is>
          <t>One 12-level ladder with five bands and two Player-Coach steps; what each level owns, its experience range and span.</t>
        </is>
      </c>
      <c r="D71" s="14" t="n"/>
    </row>
    <row r="72" ht="28" customHeight="1">
      <c r="A72" s="15" t="n">
        <v>4</v>
      </c>
      <c r="B72" s="16" t="inlineStr">
        <is>
          <t>Set the tracks</t>
        </is>
      </c>
      <c r="C72" s="16" t="inlineStr">
        <is>
          <t>IC, POD Lead, Player-Coach, People Manager, Consultant — and the rules for each.</t>
        </is>
      </c>
      <c r="D72" s="14" t="n"/>
    </row>
    <row r="73" ht="15" customHeight="1">
      <c r="A73" s="15" t="n">
        <v>5</v>
      </c>
      <c r="B73" s="16" t="inlineStr">
        <is>
          <t>Level every role</t>
        </is>
      </c>
      <c r="C73" s="16" t="inlineStr">
        <is>
          <t>Six ratings × weights → score → level, then the rules; leadership levels by approved decision.</t>
        </is>
      </c>
      <c r="D73" s="14" t="n"/>
    </row>
    <row r="74" ht="15" customHeight="1">
      <c r="A74" s="15" t="n">
        <v>6</v>
      </c>
      <c r="B74" s="16" t="inlineStr">
        <is>
          <t>Name every role</t>
        </is>
      </c>
      <c r="C74" s="16" t="inlineStr">
        <is>
          <t>Designation = level marker + role noun; title protection for anyone moving down.</t>
        </is>
      </c>
      <c r="D74" s="14" t="n"/>
    </row>
    <row r="75" ht="15" customHeight="1">
      <c r="A75" s="15" t="n">
        <v>7</v>
      </c>
      <c r="B75" s="16" t="inlineStr">
        <is>
          <t>Benchmark</t>
        </is>
      </c>
      <c r="C75" s="16" t="inlineStr">
        <is>
          <t>Crosswalk every level to Radford / Mercer and SFIA; compare with competitor and peer ladders.</t>
        </is>
      </c>
      <c r="D75" s="14" t="n"/>
    </row>
    <row r="76" ht="15" customHeight="1">
      <c r="A76" s="15" t="n">
        <v>8</v>
      </c>
      <c r="B76" s="16" t="inlineStr">
        <is>
          <t>Govern</t>
        </is>
      </c>
      <c r="C76" s="16" t="inlineStr">
        <is>
          <t>Calibration panel, business-head review, a decision tracker and change rules · who can change a level, and how.</t>
        </is>
      </c>
      <c r="D76" s="14" t="n"/>
    </row>
    <row r="77" ht="15" customHeight="1"/>
    <row r="78" ht="20" customHeight="1">
      <c r="A78" s="6" t="inlineStr">
        <is>
          <t>8. The Job Design process — how each role is described</t>
        </is>
      </c>
      <c r="B78" s="2" t="n"/>
      <c r="C78" s="2" t="n"/>
      <c r="D78" s="2" t="n"/>
    </row>
    <row r="79" ht="15" customHeight="1">
      <c r="A79" s="12" t="inlineStr">
        <is>
          <t>#</t>
        </is>
      </c>
      <c r="B79" s="12" t="inlineStr">
        <is>
          <t>Step</t>
        </is>
      </c>
      <c r="C79" s="12" t="inlineStr">
        <is>
          <t>What happens</t>
        </is>
      </c>
      <c r="D79" s="8" t="n"/>
    </row>
    <row r="80" ht="15" customHeight="1">
      <c r="A80" s="15" t="n">
        <v>1</v>
      </c>
      <c r="B80" s="16" t="inlineStr">
        <is>
          <t>Purpose</t>
        </is>
      </c>
      <c r="C80" s="16" t="inlineStr">
        <is>
          <t>Why the role exists — from the sub-family definition and the level standard.</t>
        </is>
      </c>
      <c r="D80" s="14" t="n"/>
    </row>
    <row r="81" ht="28" customHeight="1">
      <c r="A81" s="15" t="n">
        <v>2</v>
      </c>
      <c r="B81" s="16" t="inlineStr">
        <is>
          <t>Responsibilities and deliverables</t>
        </is>
      </c>
      <c r="C81" s="16" t="inlineStr">
        <is>
          <t>What the role does and produces — from role-holders' survey answers · as counted themes and KRAs.</t>
        </is>
      </c>
      <c r="D81" s="14" t="n"/>
    </row>
    <row r="82" ht="28" customHeight="1">
      <c r="A82" s="15" t="n">
        <v>3</v>
      </c>
      <c r="B82" s="16" t="inlineStr">
        <is>
          <t>Accountability and decision rights</t>
        </is>
      </c>
      <c r="C82" s="16" t="inlineStr">
        <is>
          <t>What the role answers for, what it can decide alone, and what happens if the work is missed.</t>
        </is>
      </c>
      <c r="D82" s="14" t="n"/>
    </row>
    <row r="83" ht="15" customHeight="1">
      <c r="A83" s="15" t="n">
        <v>4</v>
      </c>
      <c r="B83" s="16" t="inlineStr">
        <is>
          <t>Measures</t>
        </is>
      </c>
      <c r="C83" s="16" t="inlineStr">
        <is>
          <r>
            <rPr>
              <rFont val="Calibri"/>
              <b val="1"/>
              <sz val="10"/>
            </rPr>
            <t>Manager-set KRAs:</t>
          </r>
          <r>
            <rPr>
              <rFont val="Calibri"/>
              <sz val="10"/>
            </rPr>
            <t xml:space="preserve"> how the role is judged.</t>
          </r>
        </is>
      </c>
      <c r="D83" s="14" t="n"/>
    </row>
    <row r="84" ht="15" customHeight="1">
      <c r="A84" s="15" t="n">
        <v>5</v>
      </c>
      <c r="B84" s="16" t="inlineStr">
        <is>
          <t>Competencies and skill level</t>
        </is>
      </c>
      <c r="C84" s="16" t="inlineStr">
        <is>
          <t>The core, future-ready, functional and leadership competencies the role needs, each at a 1–5 level.</t>
        </is>
      </c>
      <c r="D84" s="14" t="n"/>
    </row>
    <row r="85" ht="15" customHeight="1">
      <c r="A85" s="15" t="n">
        <v>6</v>
      </c>
      <c r="B85" s="16" t="inlineStr">
        <is>
          <t>Role profile and catalogue</t>
        </is>
      </c>
      <c r="C85" s="16" t="inlineStr">
        <is>
          <t>One IRIS-wide catalogue entry per family × sub-family × level × track — the shared description of the job.</t>
        </is>
      </c>
      <c r="D85" s="14" t="n"/>
    </row>
    <row r="86" ht="15" customHeight="1">
      <c r="A86" s="15" t="n">
        <v>7</v>
      </c>
      <c r="B86" s="16" t="inlineStr">
        <is>
          <t>Career ladder</t>
        </is>
      </c>
      <c r="C86" s="16" t="inlineStr">
        <is>
          <t>Where the role sits in its sub-family's ladder, the next step and what it takes.</t>
        </is>
      </c>
      <c r="D86" s="14" t="n"/>
    </row>
    <row r="87" ht="28" customHeight="1">
      <c r="A87" s="15" t="n">
        <v>8</v>
      </c>
      <c r="B87" s="16" t="inlineStr">
        <is>
          <t>Recruitment profile</t>
        </is>
      </c>
      <c r="C87" s="16" t="inlineStr">
        <is>
          <t>The hire equivalent in the market, the competencies to hire for and the interview questions — on every person card.</t>
        </is>
      </c>
      <c r="D87" s="14"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9"/>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Consume Product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92" t="inlineStr">
        <is>
          <t>#</t>
        </is>
      </c>
      <c r="B5" s="92" t="inlineStr">
        <is>
          <t>Sheet</t>
        </is>
      </c>
      <c r="C5" s="92" t="inlineStr">
        <is>
          <t>What it holds</t>
        </is>
      </c>
    </row>
    <row r="6" ht="45" customHeight="1">
      <c r="A6" s="233" t="n">
        <v>1</v>
      </c>
      <c r="B6" s="234" t="inlineStr">
        <is>
          <t>Start — How It Works</t>
        </is>
      </c>
      <c r="C6" s="16"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60" customHeight="1">
      <c r="A7" s="233" t="n">
        <v>2</v>
      </c>
      <c r="B7" s="234" t="inlineStr">
        <is>
          <t>1. Overview</t>
        </is>
      </c>
      <c r="C7" s="16" t="inlineStr">
        <is>
          <r>
            <rPr>
              <rFont val="Calibri"/>
              <b val="1"/>
              <sz val="10"/>
            </rPr>
            <t>The whole picture on one page:</t>
          </r>
          <r>
            <rPr>
              <rFont val="Calibri"/>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8" ht="60" customHeight="1">
      <c r="A8" s="233" t="n">
        <v>3</v>
      </c>
      <c r="B8" s="234" t="inlineStr">
        <is>
          <t>1a. Placements</t>
        </is>
      </c>
      <c r="C8" s="16" t="inlineStr">
        <is>
          <t>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9" ht="30" customHeight="1">
      <c r="A9" s="233" t="n">
        <v>4</v>
      </c>
      <c r="B9" s="234" t="inlineStr">
        <is>
          <t>1b. Person Card</t>
        </is>
      </c>
      <c r="C9" s="16" t="inlineStr">
        <is>
          <r>
            <rPr>
              <rFont val="Calibri"/>
              <b val="1"/>
              <sz val="10"/>
            </rPr>
            <t>Find a person:</t>
          </r>
          <r>
            <rPr>
              <rFont val="Calibri"/>
              <sz val="10"/>
            </rPr>
            <t xml:space="preserve"> paste or type an Emp ID, or pick Department → Name from the yellow drop-downs — type part of a word in the Search box beside a drop-down to shorten its list.</t>
          </r>
        </is>
      </c>
    </row>
    <row r="10" ht="30" customHeight="1">
      <c r="A10" s="233" t="n">
        <v>5</v>
      </c>
      <c r="B10" s="234" t="inlineStr">
        <is>
          <t>1d. Weightage Matrix</t>
        </is>
      </c>
      <c r="C10" s="16" t="inlineStr">
        <is>
          <t>1d · Leaders: change the yellow weights. Sheet 2 recalculates points, score and 'Level the score indicates' at once.</t>
        </is>
      </c>
    </row>
    <row r="11" ht="30" customHeight="1">
      <c r="A11" s="233" t="n">
        <v>6</v>
      </c>
      <c r="B11" s="234" t="inlineStr">
        <is>
          <t>1e. Weight Benchmark</t>
        </is>
      </c>
      <c r="C11" s="16" t="inlineStr">
        <is>
          <t>1e · The published point-factor plans, how weights shift with seniority, the evidence on experience and on business impact, and IRIS's defaults set against them.</t>
        </is>
      </c>
    </row>
    <row r="12" ht="60" customHeight="1">
      <c r="A12" s="233" t="n">
        <v>7</v>
      </c>
      <c r="B12" s="234" t="inlineStr">
        <is>
          <t>2. Talent Mapping</t>
        </is>
      </c>
      <c r="C12" s="16" t="inlineStr">
        <is>
          <r>
            <rPr>
              <rFont val="Calibri"/>
              <b val="1"/>
              <sz val="10"/>
            </rPr>
            <t>Read left to right:</t>
          </r>
          <r>
            <rPr>
              <rFont val="Calibri"/>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t>
          </r>
        </is>
      </c>
    </row>
    <row r="13" ht="45" customHeight="1">
      <c r="A13" s="233" t="n">
        <v>8</v>
      </c>
      <c r="B13" s="234" t="inlineStr">
        <is>
          <t>3. Raw Data &amp; Market Standards</t>
        </is>
      </c>
      <c r="C13" s="16" t="inlineStr">
        <is>
          <r>
            <rPr>
              <rFont val="Calibri"/>
              <b val="1"/>
              <sz val="10"/>
            </rPr>
            <t>Left:</t>
          </r>
          <r>
            <rPr>
              <rFont val="Calibri"/>
              <sz val="10"/>
            </rPr>
            <t xml:space="preserve"> the person and their final role. Middle: the market standard for that role and level.</t>
          </r>
        </is>
      </c>
    </row>
    <row r="14" ht="75" customHeight="1">
      <c r="A14" s="233" t="n">
        <v>9</v>
      </c>
      <c r="B14" s="234" t="inlineStr">
        <is>
          <t>4. Role Competency Framework</t>
        </is>
      </c>
      <c r="C14" s="16" t="inlineStr">
        <is>
          <t>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15" ht="30" customHeight="1">
      <c r="A15" s="233" t="n">
        <v>10</v>
      </c>
      <c r="B15" s="234" t="inlineStr">
        <is>
          <t>5. Capability Framework</t>
        </is>
      </c>
      <c r="C15" s="16" t="inlineStr">
        <is>
          <t>The level sizes the role; the capability framework defines what a person in it must be able to do, and how well · proficiency 1–5, aligned to SFIA 9.</t>
        </is>
      </c>
    </row>
    <row r="16" ht="18" customHeight="1">
      <c r="A16" s="233" t="n">
        <v>11</v>
      </c>
      <c r="B16" s="234" t="inlineStr">
        <is>
          <t>6. Role Catalogue</t>
        </is>
      </c>
      <c r="C16" s="16" t="inlineStr">
        <is>
          <t>One row per catalogue role · job family × sub-family × level × track that someone here holds.</t>
        </is>
      </c>
    </row>
    <row r="17" ht="18" customHeight="1">
      <c r="A17" s="233" t="n">
        <v>12</v>
      </c>
      <c r="B17" s="234" t="inlineStr">
        <is>
          <t>7. Role Requirements</t>
        </is>
      </c>
      <c r="C17" s="16" t="inlineStr">
        <is>
          <t>One row per role · designation × level × track inside each department, lowest level first.</t>
        </is>
      </c>
    </row>
    <row r="18" ht="45" customHeight="1">
      <c r="A18" s="233" t="n">
        <v>13</v>
      </c>
      <c r="B18" s="234" t="inlineStr">
        <is>
          <t>8. Talent, Learning &amp; Mobility</t>
        </is>
      </c>
      <c r="C18" s="16" t="inlineStr">
        <is>
          <t>Manager talent data, competency results against the role's profile, learning needs from three angles · self, manager, role, and mobility signals · lateral options, duplicated work, similar talent elsewhere in IRIS, span.</t>
        </is>
      </c>
    </row>
    <row r="19" ht="60" customHeight="1">
      <c r="A19" s="233" t="n">
        <v>14</v>
      </c>
      <c r="B19" s="234" t="inlineStr">
        <is>
          <t>9. Calibration &amp; Decisions</t>
        </is>
      </c>
      <c r="C19" s="16" t="inlineStr">
        <is>
          <r>
            <rPr>
              <rFont val="Calibri"/>
              <b val="1"/>
              <sz val="10"/>
            </rPr>
            <t>Every placement that needs a human decision, with the reason:</t>
          </r>
          <r>
            <rPr>
              <rFont val="Calibri"/>
              <sz val="10"/>
            </rPr>
            <t xml:space="preserve"> Player-Coach transition steps and candidates, close calls, moves down, changes from the earlier proposal, provisional cases, title checks, long-tenure A3 cases, senior titles without teams — then the open decisions and the quality checks run on this workbook.</t>
          </r>
        </is>
      </c>
    </row>
    <row r="20" ht="45" customHeight="1">
      <c r="A20" s="233" t="n">
        <v>15</v>
      </c>
      <c r="B20" s="234" t="inlineStr">
        <is>
          <t>10. Framework &amp; Logic</t>
        </is>
      </c>
      <c r="C20" s="16" t="inlineStr">
        <is>
          <r>
            <rPr>
              <rFont val="Calibri"/>
              <b val="1"/>
              <sz val="10"/>
            </rPr>
            <t>How the Master Framework is applied to Consume, step by step:</t>
          </r>
          <r>
            <rPr>
              <rFont val="Calibri"/>
              <sz val="10"/>
            </rPr>
            <t xml:space="preserve"> classification, tracks, factors and weights, rules, levels, market benchmarks, capability, validation, data and sources.</t>
          </r>
        </is>
      </c>
    </row>
    <row r="21" ht="45" customHeight="1">
      <c r="A21" s="233" t="n">
        <v>16</v>
      </c>
      <c r="B21" s="234" t="inlineStr">
        <is>
          <t>11. References &amp; Benchmarks</t>
        </is>
      </c>
      <c r="C21" s="16" t="inlineStr">
        <is>
          <r>
            <rPr>
              <rFont val="Calibri"/>
              <b val="1"/>
              <sz val="10"/>
            </rPr>
            <t>Scope:</t>
          </r>
          <r>
            <rPr>
              <rFont val="Calibri"/>
              <sz val="10"/>
            </rPr>
            <t xml:space="preserve"> Consume. Every company, standard, database and website used, and — department by department — what the best standard looks like at each IRIS level · A1 → E2 at IRIS's direct competitors, regtech leaders and SaaS leaders.</t>
          </r>
        </is>
      </c>
    </row>
    <row r="22" ht="30" customHeight="1">
      <c r="A22" s="233" t="n">
        <v>17</v>
      </c>
      <c r="B22" s="234" t="inlineStr">
        <is>
          <t>12. Org Health</t>
        </is>
      </c>
      <c r="C22" s="16" t="inlineStr">
        <is>
          <t>Managers with very small or very large teams, the deepest reporting chains, and the sub-family overlap across businesses.</t>
        </is>
      </c>
    </row>
    <row r="23" ht="30" customHeight="1">
      <c r="A23" s="233" t="n">
        <v>18</v>
      </c>
      <c r="B23" s="234" t="inlineStr">
        <is>
          <t>13. Weight Sensitivity</t>
        </is>
      </c>
      <c r="C23" s="16" t="inlineStr">
        <is>
          <t>Every placement re-run 30 times, each time moving 5 weight points from one factor to another in every weight set.</t>
        </is>
      </c>
    </row>
    <row r="24" ht="30" customHeight="1">
      <c r="A24" s="233" t="n">
        <v>19</v>
      </c>
      <c r="B24" s="234" t="inlineStr">
        <is>
          <t>14. A3 Deep-Dive</t>
        </is>
      </c>
      <c r="C24" s="16" t="inlineStr">
        <is>
          <t>15 employees at A3. 'Gap to B1' = 3.5 minus the person's score on Band B's own weights · B's entry point.</t>
        </is>
      </c>
    </row>
    <row r="25" ht="30" customHeight="1">
      <c r="A25" s="233" t="n">
        <v>20</v>
      </c>
      <c r="B25" s="234" t="inlineStr">
        <is>
          <t>15. Succession</t>
        </is>
      </c>
      <c r="C25" s="16" t="inlineStr">
        <is>
          <r>
            <rPr>
              <rFont val="Calibri"/>
              <b val="1"/>
              <sz val="10"/>
            </rPr>
            <t>For every role at C1 and above:</t>
          </r>
          <r>
            <rPr>
              <rFont val="Calibri"/>
              <sz val="10"/>
            </rPr>
            <t xml:space="preserve"> people in the same job family, up to three steps below, by readiness · from the talent data on sheet 8.</t>
          </r>
        </is>
      </c>
    </row>
    <row r="26" ht="30" customHeight="1">
      <c r="A26" s="233" t="n">
        <v>21</v>
      </c>
      <c r="B26" s="234" t="inlineStr">
        <is>
          <t>15a. Critical Roles at Risk</t>
        </is>
      </c>
      <c r="C26" s="16" t="inlineStr">
        <is>
          <t>15 people whose role is critical, or whose work only they do, with no successor named · 0 high risk.</t>
        </is>
      </c>
    </row>
    <row r="27" ht="18" customHeight="1">
      <c r="A27" s="233" t="n">
        <v>22</v>
      </c>
      <c r="B27" s="234" t="inlineStr">
        <is>
          <t>16. Role Definitions</t>
        </is>
      </c>
      <c r="C27" s="16" t="inlineStr">
        <is>
          <t>12 department-level roles map to 11 role definitions · family · sub-family · level · track.</t>
        </is>
      </c>
    </row>
    <row r="28" ht="30" customHeight="1">
      <c r="A28" s="233" t="n">
        <v>23</v>
      </c>
      <c r="B28" s="234" t="inlineStr">
        <is>
          <t>17. Data Gaps</t>
        </is>
      </c>
      <c r="C28" s="16" t="inlineStr">
        <is>
          <t>4 employees with at least one missing input. The same list, with owner and status columns, is in the HR Super Master's calibration tracker.</t>
        </is>
      </c>
    </row>
    <row r="29" ht="60" customHeight="1">
      <c r="A29" s="233" t="n">
        <v>24</v>
      </c>
      <c r="B29" s="234" t="inlineStr">
        <is>
          <t>18. Career Ladder</t>
        </is>
      </c>
      <c r="C29" s="16" t="inlineStr">
        <is>
          <t>23 people in 3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O142"/>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Overview — Consume</t>
        </is>
      </c>
      <c r="O1" s="232" t="inlineStr">
        <is>
          <t>◂ Contents</t>
        </is>
      </c>
    </row>
    <row r="2" ht="32" customHeight="1">
      <c r="A2" s="3" t="inlineStr">
        <is>
          <r>
            <rPr>
              <rFont val="Calibri"/>
              <b val="1"/>
              <i val="1"/>
              <color rgb="00404040"/>
              <sz val="10"/>
            </rPr>
            <t>Sheet 1 · The whole picture on one page:</t>
          </r>
          <r>
            <rPr>
              <rFont val="Calibri"/>
              <i val="1"/>
              <color rgb="00404040"/>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3">
      <c r="A3" s="4" t="inlineStr">
        <is>
          <t>IRIS · Job Architecture &amp; Job Design · Final v1.12 · October 2026 · Internal — Confidential</t>
        </is>
      </c>
    </row>
    <row r="4" ht="15" customHeight="1"/>
    <row r="5" ht="20" customHeight="1">
      <c r="A5" s="6" t="inlineStr">
        <is>
          <t>1. Headline numbers</t>
        </is>
      </c>
    </row>
    <row r="6" ht="15" customHeight="1">
      <c r="A6" s="7" t="inlineStr">
        <is>
          <t>People</t>
        </is>
      </c>
      <c r="B6" s="201" t="n"/>
      <c r="C6" s="7" t="inlineStr">
        <is>
          <t>Departments</t>
        </is>
      </c>
      <c r="D6" s="201" t="n"/>
      <c r="E6" s="7" t="inlineStr">
        <is>
          <t>Job families</t>
        </is>
      </c>
      <c r="F6" s="201" t="n"/>
      <c r="G6" s="7" t="inlineStr">
        <is>
          <t>Sub-families</t>
        </is>
      </c>
      <c r="H6" s="201" t="n"/>
      <c r="I6" s="7" t="inlineStr">
        <is>
          <t>Roles</t>
        </is>
      </c>
      <c r="J6" s="201" t="n"/>
      <c r="K6" s="7" t="inlineStr">
        <is>
          <t>Ladder steps in use</t>
        </is>
      </c>
      <c r="L6" s="201" t="n"/>
      <c r="M6" s="7" t="inlineStr">
        <is>
          <t>Player-Coaches</t>
        </is>
      </c>
      <c r="N6" s="201" t="n"/>
    </row>
    <row r="7" ht="30" customHeight="1">
      <c r="A7" s="9" t="n">
        <v>23</v>
      </c>
      <c r="B7" s="201" t="n"/>
      <c r="C7" s="9" t="n">
        <v>3</v>
      </c>
      <c r="D7" s="201" t="n"/>
      <c r="E7" s="9" t="n">
        <v>4</v>
      </c>
      <c r="F7" s="201" t="n"/>
      <c r="G7" s="9" t="n">
        <v>4</v>
      </c>
      <c r="H7" s="201" t="n"/>
      <c r="I7" s="9" t="n">
        <v>12</v>
      </c>
      <c r="J7" s="201" t="n"/>
      <c r="K7" s="9" t="n">
        <v>5</v>
      </c>
      <c r="L7" s="201" t="n"/>
      <c r="M7" s="9" t="n">
        <v>0</v>
      </c>
      <c r="N7" s="201" t="n"/>
    </row>
    <row r="8" ht="28" customHeight="1">
      <c r="A8" s="7" t="inlineStr">
        <is>
          <t>Level up vs current</t>
        </is>
      </c>
      <c r="B8" s="201" t="n"/>
      <c r="C8" s="7" t="inlineStr">
        <is>
          <t>Level down · protected</t>
        </is>
      </c>
      <c r="D8" s="201" t="n"/>
      <c r="E8" s="7" t="inlineStr">
        <is>
          <t>Same level</t>
        </is>
      </c>
      <c r="F8" s="201" t="n"/>
      <c r="G8" s="7" t="inlineStr">
        <is>
          <t>Newly mapped</t>
        </is>
      </c>
      <c r="H8" s="201" t="n"/>
      <c r="I8" s="7" t="inlineStr">
        <is>
          <t>Close calls / near a gate</t>
        </is>
      </c>
      <c r="J8" s="201" t="n"/>
      <c r="K8" s="7" t="inlineStr">
        <is>
          <t>Consultants</t>
        </is>
      </c>
      <c r="L8" s="201" t="n"/>
    </row>
    <row r="9" ht="30" customHeight="1">
      <c r="A9" s="9" t="n">
        <v>17</v>
      </c>
      <c r="B9" s="201" t="n"/>
      <c r="C9" s="9" t="n">
        <v>1</v>
      </c>
      <c r="D9" s="201" t="n"/>
      <c r="E9" s="9" t="n">
        <v>5</v>
      </c>
      <c r="F9" s="201" t="n"/>
      <c r="G9" s="9" t="n">
        <v>0</v>
      </c>
      <c r="H9" s="201" t="n"/>
      <c r="I9" s="9" t="inlineStr">
        <is>
          <t>2 / 1</t>
        </is>
      </c>
      <c r="J9" s="201" t="n"/>
      <c r="K9" s="9" t="n">
        <v>0</v>
      </c>
      <c r="L9" s="201" t="n"/>
    </row>
    <row r="10" ht="28" customHeight="1">
      <c r="A10" s="11" t="inlineStr">
        <is>
          <t>Job families and sub-families exclude 'Unassigned' · consultants with no role on record. Career levels: 12 levels A1–E2 plus 2 Player-Coach Player-Coach transition steps · B+, C+ = 14; consultants sit outside the ladder at X1–X3. Departments are counted per business line.</t>
        </is>
      </c>
    </row>
    <row r="11" ht="15" customHeight="1"/>
    <row r="12" ht="20" customHeight="1">
      <c r="A12" s="6" t="inlineStr">
        <is>
          <t>2. What changed — old structure → new structure</t>
        </is>
      </c>
    </row>
    <row r="13" ht="28" customHeight="1">
      <c r="A13" s="12" t="inlineStr">
        <is>
          <t>Measure</t>
        </is>
      </c>
      <c r="B13" s="202" t="n"/>
      <c r="C13" s="201" t="n"/>
      <c r="D13" s="12" t="inlineStr">
        <is>
          <t>Old · count</t>
        </is>
      </c>
      <c r="E13" s="201" t="n"/>
      <c r="F13" s="12" t="inlineStr">
        <is>
          <t>New · count</t>
        </is>
      </c>
      <c r="G13" s="201" t="n"/>
      <c r="H13" s="12" t="inlineStr">
        <is>
          <t>People whose value changed</t>
        </is>
      </c>
      <c r="I13" s="201" t="n"/>
      <c r="J13" s="12" t="inlineStr">
        <is>
          <t>People unchanged</t>
        </is>
      </c>
      <c r="K13" s="201" t="n"/>
      <c r="L13" s="12" t="inlineStr">
        <is>
          <t>What it means</t>
        </is>
      </c>
      <c r="M13" s="202" t="n"/>
      <c r="N13" s="201" t="n"/>
    </row>
    <row r="14" ht="41" customHeight="1">
      <c r="A14" s="13" t="inlineStr">
        <is>
          <t>Job families</t>
        </is>
      </c>
      <c r="B14" s="202" t="n"/>
      <c r="C14" s="201" t="n"/>
      <c r="D14" s="15" t="n">
        <v>5</v>
      </c>
      <c r="E14" s="201" t="n"/>
      <c r="F14" s="15" t="n">
        <v>4</v>
      </c>
      <c r="G14" s="201" t="n"/>
      <c r="H14" s="15" t="n">
        <v>17</v>
      </c>
      <c r="I14" s="201" t="n"/>
      <c r="J14" s="15" t="n">
        <v>6</v>
      </c>
      <c r="K14" s="201" t="n"/>
      <c r="L14" s="16" t="inlineStr">
        <is>
          <t>Families are now disciplines, the same across businesses</t>
        </is>
      </c>
      <c r="M14" s="202" t="n"/>
      <c r="N14" s="201" t="n"/>
    </row>
    <row r="15" ht="28" customHeight="1">
      <c r="A15" s="13" t="inlineStr">
        <is>
          <t>Sub-families</t>
        </is>
      </c>
      <c r="B15" s="202" t="n"/>
      <c r="C15" s="201" t="n"/>
      <c r="D15" s="15" t="n">
        <v>6</v>
      </c>
      <c r="E15" s="201" t="n"/>
      <c r="F15" s="15" t="n">
        <v>4</v>
      </c>
      <c r="G15" s="201" t="n"/>
      <c r="H15" s="15" t="n">
        <v>23</v>
      </c>
      <c r="I15" s="201" t="n"/>
      <c r="J15" s="15" t="n">
        <v>0</v>
      </c>
      <c r="K15" s="201" t="n"/>
      <c r="L15" s="16" t="inlineStr">
        <is>
          <t>Sub-families now name the actual work done</t>
        </is>
      </c>
      <c r="M15" s="202" t="n"/>
      <c r="N15" s="201" t="n"/>
    </row>
    <row r="16" ht="28" customHeight="1">
      <c r="A16" s="13" t="inlineStr">
        <is>
          <t>Designations</t>
        </is>
      </c>
      <c r="B16" s="202" t="n"/>
      <c r="C16" s="201" t="n"/>
      <c r="D16" s="15" t="n">
        <v>8</v>
      </c>
      <c r="E16" s="201" t="n"/>
      <c r="F16" s="15" t="n">
        <v>11</v>
      </c>
      <c r="G16" s="201" t="n"/>
      <c r="H16" s="15" t="n">
        <v>20</v>
      </c>
      <c r="I16" s="201" t="n"/>
      <c r="J16" s="15" t="n">
        <v>3</v>
      </c>
      <c r="K16" s="201" t="n"/>
      <c r="L16" s="16" t="inlineStr">
        <is>
          <t>Title = level marker + role noun</t>
        </is>
      </c>
      <c r="M16" s="202" t="n"/>
      <c r="N16" s="201" t="n"/>
    </row>
    <row r="17" ht="41" customHeight="1">
      <c r="A17" s="13" t="inlineStr">
        <is>
          <t>Career levels</t>
        </is>
      </c>
      <c r="B17" s="202" t="n"/>
      <c r="C17" s="201" t="n"/>
      <c r="D17" s="15" t="n">
        <v>4</v>
      </c>
      <c r="E17" s="201" t="n"/>
      <c r="F17" s="15" t="n">
        <v>5</v>
      </c>
      <c r="G17" s="201" t="n"/>
      <c r="H17" s="15" t="n">
        <v>18</v>
      </c>
      <c r="I17" s="201" t="n"/>
      <c r="J17" s="15" t="n">
        <v>5</v>
      </c>
      <c r="K17" s="201" t="n"/>
      <c r="L17" s="16" t="inlineStr">
        <is>
          <r>
            <rPr>
              <rFont val="Calibri"/>
              <b val="1"/>
              <sz val="10"/>
            </rPr>
            <t>New ladder:</t>
          </r>
          <r>
            <rPr>
              <rFont val="Calibri"/>
              <sz val="10"/>
            </rPr>
            <t xml:space="preserve"> 12 levels + 2 Player-Coach transition steps; consultants counted separately</t>
          </r>
        </is>
      </c>
      <c r="M17" s="202" t="n"/>
      <c r="N17" s="201" t="n"/>
    </row>
    <row r="18" ht="15" customHeight="1"/>
    <row r="19" ht="15" customHeight="1">
      <c r="A19" s="17" t="inlineStr">
        <is>
          <t>2a. Job families — old → new</t>
        </is>
      </c>
    </row>
    <row r="20" ht="15" customHeight="1">
      <c r="A20" s="12" t="inlineStr">
        <is>
          <t>Old job family</t>
        </is>
      </c>
      <c r="B20" s="202" t="n"/>
      <c r="C20" s="202" t="n"/>
      <c r="D20" s="202" t="n"/>
      <c r="E20" s="201" t="n"/>
      <c r="F20" s="12" t="inlineStr">
        <is>
          <t>New job family</t>
        </is>
      </c>
      <c r="G20" s="202" t="n"/>
      <c r="H20" s="202" t="n"/>
      <c r="I20" s="202" t="n"/>
      <c r="J20" s="201" t="n"/>
      <c r="K20" s="12" t="inlineStr">
        <is>
          <t>People</t>
        </is>
      </c>
      <c r="L20" s="12" t="inlineStr">
        <is>
          <t>What happened</t>
        </is>
      </c>
      <c r="M20" s="202" t="n"/>
      <c r="N20" s="201" t="n"/>
    </row>
    <row r="21" ht="15" customHeight="1">
      <c r="A21" s="18" t="inlineStr">
        <is>
          <t>Professional Services</t>
        </is>
      </c>
      <c r="B21" s="202" t="n"/>
      <c r="C21" s="202" t="n"/>
      <c r="D21" s="202" t="n"/>
      <c r="E21" s="201" t="n"/>
      <c r="F21" s="18" t="inlineStr">
        <is>
          <t>Data Operations &amp; Digitization</t>
        </is>
      </c>
      <c r="G21" s="202" t="n"/>
      <c r="H21" s="202" t="n"/>
      <c r="I21" s="202" t="n"/>
      <c r="J21" s="201" t="n"/>
      <c r="K21" s="20" t="n">
        <v>9</v>
      </c>
      <c r="L21" s="18" t="inlineStr">
        <is>
          <t>Renamed</t>
        </is>
      </c>
      <c r="M21" s="202" t="n"/>
      <c r="N21" s="201" t="n"/>
    </row>
    <row r="22" ht="15" customHeight="1">
      <c r="A22" s="18" t="inlineStr">
        <is>
          <t>Consulting &amp; Professional Services</t>
        </is>
      </c>
      <c r="B22" s="202" t="n"/>
      <c r="C22" s="202" t="n"/>
      <c r="D22" s="202" t="n"/>
      <c r="E22" s="201" t="n"/>
      <c r="F22" s="18" t="inlineStr">
        <is>
          <t>Data &amp; Analytics</t>
        </is>
      </c>
      <c r="G22" s="202" t="n"/>
      <c r="H22" s="202" t="n"/>
      <c r="I22" s="202" t="n"/>
      <c r="J22" s="201" t="n"/>
      <c r="K22" s="20" t="n">
        <v>8</v>
      </c>
      <c r="L22" s="18" t="inlineStr">
        <is>
          <t>Merged with others</t>
        </is>
      </c>
      <c r="M22" s="202" t="n"/>
      <c r="N22" s="201" t="n"/>
    </row>
    <row r="23" ht="15" customHeight="1">
      <c r="A23" s="21" t="inlineStr">
        <is>
          <t>Engineering &amp; Development</t>
        </is>
      </c>
      <c r="B23" s="202" t="n"/>
      <c r="C23" s="202" t="n"/>
      <c r="D23" s="202" t="n"/>
      <c r="E23" s="201" t="n"/>
      <c r="F23" s="21" t="inlineStr">
        <is>
          <t>Engineering &amp; Development</t>
        </is>
      </c>
      <c r="G23" s="202" t="n"/>
      <c r="H23" s="202" t="n"/>
      <c r="I23" s="202" t="n"/>
      <c r="J23" s="201" t="n"/>
      <c r="K23" s="23" t="n">
        <v>4</v>
      </c>
      <c r="L23" s="21" t="inlineStr">
        <is>
          <t>Unchanged</t>
        </is>
      </c>
      <c r="M23" s="202" t="n"/>
      <c r="N23" s="201" t="n"/>
    </row>
    <row r="24" ht="15" customHeight="1">
      <c r="A24" s="21" t="inlineStr">
        <is>
          <t>Data &amp; Analytics</t>
        </is>
      </c>
      <c r="B24" s="202" t="n"/>
      <c r="C24" s="202" t="n"/>
      <c r="D24" s="202" t="n"/>
      <c r="E24" s="201" t="n"/>
      <c r="F24" s="21" t="inlineStr">
        <is>
          <t>Data &amp; Analytics</t>
        </is>
      </c>
      <c r="G24" s="202" t="n"/>
      <c r="H24" s="202" t="n"/>
      <c r="I24" s="202" t="n"/>
      <c r="J24" s="201" t="n"/>
      <c r="K24" s="23" t="n">
        <v>1</v>
      </c>
      <c r="L24" s="21" t="inlineStr">
        <is>
          <t>Unchanged; others joined it</t>
        </is>
      </c>
      <c r="M24" s="202" t="n"/>
      <c r="N24" s="201" t="n"/>
    </row>
    <row r="25" ht="15" customHeight="1">
      <c r="A25" s="21" t="inlineStr">
        <is>
          <t>Project &amp; Program Management</t>
        </is>
      </c>
      <c r="B25" s="202" t="n"/>
      <c r="C25" s="202" t="n"/>
      <c r="D25" s="202" t="n"/>
      <c r="E25" s="201" t="n"/>
      <c r="F25" s="21" t="inlineStr">
        <is>
          <t>Project &amp; Program Management</t>
        </is>
      </c>
      <c r="G25" s="202" t="n"/>
      <c r="H25" s="202" t="n"/>
      <c r="I25" s="202" t="n"/>
      <c r="J25" s="201" t="n"/>
      <c r="K25" s="23" t="n">
        <v>1</v>
      </c>
      <c r="L25" s="21" t="inlineStr">
        <is>
          <t>Unchanged</t>
        </is>
      </c>
      <c r="M25" s="202" t="n"/>
      <c r="N25" s="201" t="n"/>
    </row>
    <row r="26" ht="15" customHeight="1"/>
    <row r="27" ht="15" customHeight="1">
      <c r="A27" s="17" t="inlineStr">
        <is>
          <t>2b. Sub-families — old → new · the 30 largest moves; sheet 10 §2 lists every sub-family</t>
        </is>
      </c>
    </row>
    <row r="28" ht="15" customHeight="1">
      <c r="A28" s="12" t="inlineStr">
        <is>
          <t>Old sub-family</t>
        </is>
      </c>
      <c r="B28" s="202" t="n"/>
      <c r="C28" s="202" t="n"/>
      <c r="D28" s="202" t="n"/>
      <c r="E28" s="201" t="n"/>
      <c r="F28" s="12" t="inlineStr">
        <is>
          <t>New sub-family</t>
        </is>
      </c>
      <c r="G28" s="202" t="n"/>
      <c r="H28" s="202" t="n"/>
      <c r="I28" s="202" t="n"/>
      <c r="J28" s="201" t="n"/>
      <c r="K28" s="12" t="inlineStr">
        <is>
          <t>People</t>
        </is>
      </c>
      <c r="L28" s="12" t="inlineStr">
        <is>
          <t>What happened</t>
        </is>
      </c>
      <c r="M28" s="202" t="n"/>
      <c r="N28" s="201" t="n"/>
    </row>
    <row r="29" ht="15" customHeight="1">
      <c r="A29" s="16" t="inlineStr">
        <is>
          <t>Regulatory Content</t>
        </is>
      </c>
      <c r="B29" s="202" t="n"/>
      <c r="C29" s="202" t="n"/>
      <c r="D29" s="202" t="n"/>
      <c r="E29" s="201" t="n"/>
      <c r="F29" s="16" t="inlineStr">
        <is>
          <t>Financial Data Processing</t>
        </is>
      </c>
      <c r="G29" s="202" t="n"/>
      <c r="H29" s="202" t="n"/>
      <c r="I29" s="202" t="n"/>
      <c r="J29" s="201" t="n"/>
      <c r="K29" s="15" t="n">
        <v>8</v>
      </c>
      <c r="L29" s="16" t="inlineStr">
        <is>
          <t>Merged with others</t>
        </is>
      </c>
      <c r="M29" s="202" t="n"/>
      <c r="N29" s="201" t="n"/>
    </row>
    <row r="30" ht="15" customHeight="1">
      <c r="A30" s="16" t="inlineStr">
        <is>
          <t>Regulatory Portal Operations</t>
        </is>
      </c>
      <c r="B30" s="202" t="n"/>
      <c r="C30" s="202" t="n"/>
      <c r="D30" s="202" t="n"/>
      <c r="E30" s="201" t="n"/>
      <c r="F30" s="16" t="inlineStr">
        <is>
          <t>Document Conversion, Formatting &amp; Web Publishing</t>
        </is>
      </c>
      <c r="G30" s="202" t="n"/>
      <c r="H30" s="202" t="n"/>
      <c r="I30" s="202" t="n"/>
      <c r="J30" s="201" t="n"/>
      <c r="K30" s="15" t="n">
        <v>8</v>
      </c>
      <c r="L30" s="16" t="inlineStr">
        <is>
          <t>Merged with others</t>
        </is>
      </c>
      <c r="M30" s="202" t="n"/>
      <c r="N30" s="201" t="n"/>
    </row>
    <row r="31" ht="15" customHeight="1">
      <c r="A31" s="16" t="inlineStr">
        <is>
          <t>Backend Engineering ·.NET</t>
        </is>
      </c>
      <c r="B31" s="202" t="n"/>
      <c r="C31" s="202" t="n"/>
      <c r="D31" s="202" t="n"/>
      <c r="E31" s="201" t="n"/>
      <c r="F31" s="16" t="inlineStr">
        <is>
          <t>Application Maintenance &amp; Production Support</t>
        </is>
      </c>
      <c r="G31" s="202" t="n"/>
      <c r="H31" s="202" t="n"/>
      <c r="I31" s="202" t="n"/>
      <c r="J31" s="201" t="n"/>
      <c r="K31" s="15" t="n">
        <v>4</v>
      </c>
      <c r="L31" s="16" t="inlineStr">
        <is>
          <t>Renamed</t>
        </is>
      </c>
      <c r="M31" s="202" t="n"/>
      <c r="N31" s="201" t="n"/>
    </row>
    <row r="32" ht="15" customHeight="1">
      <c r="A32" s="16" t="inlineStr">
        <is>
          <t>Data &amp; Analytics</t>
        </is>
      </c>
      <c r="B32" s="202" t="n"/>
      <c r="C32" s="202" t="n"/>
      <c r="D32" s="202" t="n"/>
      <c r="E32" s="201" t="n"/>
      <c r="F32" s="16" t="inlineStr">
        <is>
          <t>Financial Data Processing</t>
        </is>
      </c>
      <c r="G32" s="202" t="n"/>
      <c r="H32" s="202" t="n"/>
      <c r="I32" s="202" t="n"/>
      <c r="J32" s="201" t="n"/>
      <c r="K32" s="15" t="n">
        <v>1</v>
      </c>
      <c r="L32" s="16" t="inlineStr">
        <is>
          <t>Merged with others</t>
        </is>
      </c>
      <c r="M32" s="202" t="n"/>
      <c r="N32" s="201" t="n"/>
    </row>
    <row r="33" ht="15" customHeight="1">
      <c r="A33" s="16" t="inlineStr">
        <is>
          <t>Digitization &amp; Image Processing</t>
        </is>
      </c>
      <c r="B33" s="202" t="n"/>
      <c r="C33" s="202" t="n"/>
      <c r="D33" s="202" t="n"/>
      <c r="E33" s="201" t="n"/>
      <c r="F33" s="16" t="inlineStr">
        <is>
          <t>Document Conversion, Formatting &amp; Web Publishing</t>
        </is>
      </c>
      <c r="G33" s="202" t="n"/>
      <c r="H33" s="202" t="n"/>
      <c r="I33" s="202" t="n"/>
      <c r="J33" s="201" t="n"/>
      <c r="K33" s="15" t="n">
        <v>1</v>
      </c>
      <c r="L33" s="16" t="inlineStr">
        <is>
          <t>Merged with others</t>
        </is>
      </c>
      <c r="M33" s="202" t="n"/>
      <c r="N33" s="201" t="n"/>
    </row>
    <row r="34" ht="15" customHeight="1">
      <c r="A34" s="16" t="inlineStr">
        <is>
          <t>Project Management</t>
        </is>
      </c>
      <c r="B34" s="202" t="n"/>
      <c r="C34" s="202" t="n"/>
      <c r="D34" s="202" t="n"/>
      <c r="E34" s="201" t="n"/>
      <c r="F34" s="16" t="inlineStr">
        <is>
          <t>Project &amp; Program Delivery</t>
        </is>
      </c>
      <c r="G34" s="202" t="n"/>
      <c r="H34" s="202" t="n"/>
      <c r="I34" s="202" t="n"/>
      <c r="J34" s="201" t="n"/>
      <c r="K34" s="15" t="n">
        <v>1</v>
      </c>
      <c r="L34" s="16" t="inlineStr">
        <is>
          <t>Renamed</t>
        </is>
      </c>
      <c r="M34" s="202" t="n"/>
      <c r="N34" s="201" t="n"/>
    </row>
    <row r="35" ht="15" customHeight="1"/>
    <row r="36" ht="20" customHeight="1">
      <c r="A36" s="6" t="inlineStr">
        <is>
          <t>3. Where people sit — band × track</t>
        </is>
      </c>
    </row>
    <row r="37" ht="15" customHeight="1">
      <c r="A37" s="12" t="inlineStr">
        <is>
          <t>Band</t>
        </is>
      </c>
      <c r="B37" s="202" t="n"/>
      <c r="C37" s="201" t="n"/>
      <c r="D37" s="12" t="inlineStr">
        <is>
          <t>IC</t>
        </is>
      </c>
      <c r="E37" s="201" t="n"/>
      <c r="F37" s="12" t="inlineStr">
        <is>
          <t>POD Lead</t>
        </is>
      </c>
      <c r="G37" s="201" t="n"/>
      <c r="H37" s="12" t="inlineStr">
        <is>
          <t>Player-Coach</t>
        </is>
      </c>
      <c r="I37" s="201" t="n"/>
      <c r="J37" s="12" t="inlineStr">
        <is>
          <t>People Manager</t>
        </is>
      </c>
      <c r="K37" s="201" t="n"/>
      <c r="L37" s="12" t="inlineStr">
        <is>
          <t>Consultant</t>
        </is>
      </c>
      <c r="M37" s="201" t="n"/>
      <c r="N37" s="12" t="inlineStr">
        <is>
          <t>Total</t>
        </is>
      </c>
    </row>
    <row r="38" ht="15" customHeight="1">
      <c r="A38" s="24" t="inlineStr">
        <is>
          <t>A</t>
        </is>
      </c>
      <c r="B38" s="202" t="n"/>
      <c r="C38" s="201" t="n"/>
      <c r="D38" s="26" t="n">
        <v>16</v>
      </c>
      <c r="E38" s="201" t="n"/>
      <c r="F38" s="26" t="inlineStr"/>
      <c r="G38" s="201" t="n"/>
      <c r="H38" s="26" t="inlineStr"/>
      <c r="I38" s="201" t="n"/>
      <c r="J38" s="26" t="inlineStr"/>
      <c r="K38" s="201" t="n"/>
      <c r="L38" s="26" t="inlineStr"/>
      <c r="M38" s="201" t="n"/>
      <c r="N38" s="26" t="n">
        <v>16</v>
      </c>
    </row>
    <row r="39" ht="15" customHeight="1">
      <c r="A39" s="27" t="inlineStr">
        <is>
          <t>B</t>
        </is>
      </c>
      <c r="B39" s="202" t="n"/>
      <c r="C39" s="201" t="n"/>
      <c r="D39" s="23" t="n">
        <v>4</v>
      </c>
      <c r="E39" s="201" t="n"/>
      <c r="F39" s="23" t="inlineStr"/>
      <c r="G39" s="201" t="n"/>
      <c r="H39" s="23" t="inlineStr"/>
      <c r="I39" s="201" t="n"/>
      <c r="J39" s="23" t="n">
        <v>3</v>
      </c>
      <c r="K39" s="201" t="n"/>
      <c r="L39" s="23" t="inlineStr"/>
      <c r="M39" s="201" t="n"/>
      <c r="N39" s="23" t="n">
        <v>7</v>
      </c>
    </row>
    <row r="40" ht="15" customHeight="1">
      <c r="A40" s="28" t="inlineStr">
        <is>
          <t>B+</t>
        </is>
      </c>
      <c r="B40" s="202" t="n"/>
      <c r="C40" s="201" t="n"/>
      <c r="D40" s="30" t="inlineStr"/>
      <c r="E40" s="201" t="n"/>
      <c r="F40" s="30" t="inlineStr"/>
      <c r="G40" s="201" t="n"/>
      <c r="H40" s="30" t="inlineStr"/>
      <c r="I40" s="201" t="n"/>
      <c r="J40" s="30" t="inlineStr"/>
      <c r="K40" s="201" t="n"/>
      <c r="L40" s="30" t="inlineStr"/>
      <c r="M40" s="201" t="n"/>
      <c r="N40" s="30" t="n">
        <v>0</v>
      </c>
    </row>
    <row r="41" ht="15" customHeight="1">
      <c r="A41" s="31" t="inlineStr">
        <is>
          <t>C</t>
        </is>
      </c>
      <c r="B41" s="202" t="n"/>
      <c r="C41" s="201" t="n"/>
      <c r="D41" s="33" t="inlineStr"/>
      <c r="E41" s="201" t="n"/>
      <c r="F41" s="33" t="inlineStr"/>
      <c r="G41" s="201" t="n"/>
      <c r="H41" s="33" t="inlineStr"/>
      <c r="I41" s="201" t="n"/>
      <c r="J41" s="33" t="inlineStr"/>
      <c r="K41" s="201" t="n"/>
      <c r="L41" s="33" t="inlineStr"/>
      <c r="M41" s="201" t="n"/>
      <c r="N41" s="33" t="n">
        <v>0</v>
      </c>
    </row>
    <row r="42" ht="15" customHeight="1">
      <c r="A42" s="34" t="inlineStr">
        <is>
          <t>C+</t>
        </is>
      </c>
      <c r="B42" s="202" t="n"/>
      <c r="C42" s="201" t="n"/>
      <c r="D42" s="36" t="inlineStr"/>
      <c r="E42" s="201" t="n"/>
      <c r="F42" s="36" t="inlineStr"/>
      <c r="G42" s="201" t="n"/>
      <c r="H42" s="36" t="inlineStr"/>
      <c r="I42" s="201" t="n"/>
      <c r="J42" s="36" t="inlineStr"/>
      <c r="K42" s="201" t="n"/>
      <c r="L42" s="36" t="inlineStr"/>
      <c r="M42" s="201" t="n"/>
      <c r="N42" s="36" t="n">
        <v>0</v>
      </c>
    </row>
    <row r="43" ht="15" customHeight="1">
      <c r="A43" s="37" t="inlineStr">
        <is>
          <t>D</t>
        </is>
      </c>
      <c r="B43" s="202" t="n"/>
      <c r="C43" s="201" t="n"/>
      <c r="D43" s="39" t="inlineStr"/>
      <c r="E43" s="201" t="n"/>
      <c r="F43" s="39" t="inlineStr"/>
      <c r="G43" s="201" t="n"/>
      <c r="H43" s="39" t="inlineStr"/>
      <c r="I43" s="201" t="n"/>
      <c r="J43" s="39" t="inlineStr"/>
      <c r="K43" s="201" t="n"/>
      <c r="L43" s="39" t="inlineStr"/>
      <c r="M43" s="201" t="n"/>
      <c r="N43" s="39" t="n">
        <v>0</v>
      </c>
    </row>
    <row r="44" ht="15" customHeight="1">
      <c r="A44" s="40" t="inlineStr">
        <is>
          <t>E</t>
        </is>
      </c>
      <c r="B44" s="202" t="n"/>
      <c r="C44" s="201" t="n"/>
      <c r="D44" s="42" t="inlineStr"/>
      <c r="E44" s="201" t="n"/>
      <c r="F44" s="42" t="inlineStr"/>
      <c r="G44" s="201" t="n"/>
      <c r="H44" s="42" t="inlineStr"/>
      <c r="I44" s="201" t="n"/>
      <c r="J44" s="42" t="inlineStr"/>
      <c r="K44" s="201" t="n"/>
      <c r="L44" s="42" t="inlineStr"/>
      <c r="M44" s="201" t="n"/>
      <c r="N44" s="42" t="n">
        <v>0</v>
      </c>
    </row>
    <row r="45" ht="15" customHeight="1">
      <c r="A45" s="43" t="inlineStr">
        <is>
          <t>X</t>
        </is>
      </c>
      <c r="B45" s="202" t="n"/>
      <c r="C45" s="201" t="n"/>
      <c r="D45" s="45" t="inlineStr"/>
      <c r="E45" s="201" t="n"/>
      <c r="F45" s="45" t="inlineStr"/>
      <c r="G45" s="201" t="n"/>
      <c r="H45" s="45" t="inlineStr"/>
      <c r="I45" s="201" t="n"/>
      <c r="J45" s="45" t="inlineStr"/>
      <c r="K45" s="201" t="n"/>
      <c r="L45" s="45" t="inlineStr"/>
      <c r="M45" s="201" t="n"/>
      <c r="N45" s="45" t="n">
        <v>0</v>
      </c>
    </row>
    <row r="46" ht="15" customHeight="1">
      <c r="A46" s="46" t="inlineStr">
        <is>
          <t>Total</t>
        </is>
      </c>
      <c r="B46" s="202" t="n"/>
      <c r="C46" s="201" t="n"/>
      <c r="D46" s="47" t="n">
        <v>20</v>
      </c>
      <c r="E46" s="201" t="n"/>
      <c r="F46" s="47" t="n">
        <v>0</v>
      </c>
      <c r="G46" s="201" t="n"/>
      <c r="H46" s="47" t="n">
        <v>0</v>
      </c>
      <c r="I46" s="201" t="n"/>
      <c r="J46" s="47" t="n">
        <v>3</v>
      </c>
      <c r="K46" s="201" t="n"/>
      <c r="L46" s="47" t="n">
        <v>0</v>
      </c>
      <c r="M46" s="201" t="n"/>
      <c r="N46" s="47" t="n">
        <v>23</v>
      </c>
    </row>
    <row r="47" ht="15" customHeight="1"/>
    <row r="48" ht="20" customHeight="1">
      <c r="A48" s="6" t="inlineStr">
        <is>
          <t>4. Levels by department · bottom to top, left to right</t>
        </is>
      </c>
    </row>
    <row r="49" ht="15" customHeight="1">
      <c r="A49" s="12" t="inlineStr">
        <is>
          <t>Department</t>
        </is>
      </c>
      <c r="B49" s="202" t="n"/>
      <c r="C49" s="202" t="n"/>
      <c r="D49" s="202" t="n"/>
      <c r="E49" s="202" t="n"/>
      <c r="F49" s="202" t="n"/>
      <c r="G49" s="202" t="n"/>
      <c r="H49" s="201" t="n"/>
      <c r="I49" s="12" t="inlineStr">
        <is>
          <t>A2</t>
        </is>
      </c>
      <c r="J49" s="12" t="inlineStr">
        <is>
          <t>A3</t>
        </is>
      </c>
      <c r="K49" s="12" t="inlineStr">
        <is>
          <t>B1</t>
        </is>
      </c>
      <c r="L49" s="12" t="inlineStr">
        <is>
          <t>B2</t>
        </is>
      </c>
      <c r="M49" s="12" t="inlineStr">
        <is>
          <t>B3</t>
        </is>
      </c>
      <c r="N49" s="12" t="inlineStr">
        <is>
          <t>Total</t>
        </is>
      </c>
    </row>
    <row r="50" ht="15" customHeight="1">
      <c r="A50" s="13" t="inlineStr">
        <is>
          <t>Digitizing</t>
        </is>
      </c>
      <c r="B50" s="202" t="n"/>
      <c r="C50" s="202" t="n"/>
      <c r="D50" s="202" t="n"/>
      <c r="E50" s="202" t="n"/>
      <c r="F50" s="202" t="n"/>
      <c r="G50" s="202" t="n"/>
      <c r="H50" s="201" t="n"/>
      <c r="I50" s="15" t="n">
        <v>1</v>
      </c>
      <c r="J50" s="15" t="n">
        <v>6</v>
      </c>
      <c r="K50" s="15" t="n">
        <v>1</v>
      </c>
      <c r="L50" s="15" t="n">
        <v>1</v>
      </c>
      <c r="M50" s="15" t="inlineStr"/>
      <c r="N50" s="15" t="n">
        <v>9</v>
      </c>
    </row>
    <row r="51" ht="15" customHeight="1">
      <c r="A51" s="13" t="inlineStr">
        <is>
          <t>India Content</t>
        </is>
      </c>
      <c r="B51" s="202" t="n"/>
      <c r="C51" s="202" t="n"/>
      <c r="D51" s="202" t="n"/>
      <c r="E51" s="202" t="n"/>
      <c r="F51" s="202" t="n"/>
      <c r="G51" s="202" t="n"/>
      <c r="H51" s="201" t="n"/>
      <c r="I51" s="15" t="inlineStr"/>
      <c r="J51" s="15" t="n">
        <v>7</v>
      </c>
      <c r="K51" s="15" t="n">
        <v>1</v>
      </c>
      <c r="L51" s="15" t="n">
        <v>1</v>
      </c>
      <c r="M51" s="15" t="inlineStr"/>
      <c r="N51" s="15" t="n">
        <v>9</v>
      </c>
    </row>
    <row r="52" ht="15" customHeight="1">
      <c r="A52" s="13" t="inlineStr">
        <is>
          <t>Technology</t>
        </is>
      </c>
      <c r="B52" s="202" t="n"/>
      <c r="C52" s="202" t="n"/>
      <c r="D52" s="202" t="n"/>
      <c r="E52" s="202" t="n"/>
      <c r="F52" s="202" t="n"/>
      <c r="G52" s="202" t="n"/>
      <c r="H52" s="201" t="n"/>
      <c r="I52" s="15" t="inlineStr"/>
      <c r="J52" s="15" t="n">
        <v>2</v>
      </c>
      <c r="K52" s="15" t="n">
        <v>1</v>
      </c>
      <c r="L52" s="15" t="n">
        <v>1</v>
      </c>
      <c r="M52" s="15" t="n">
        <v>1</v>
      </c>
      <c r="N52" s="15" t="n">
        <v>5</v>
      </c>
    </row>
    <row r="53" ht="15" customHeight="1">
      <c r="A53" s="13" t="inlineStr">
        <is>
          <t>Total</t>
        </is>
      </c>
      <c r="B53" s="202" t="n"/>
      <c r="C53" s="202" t="n"/>
      <c r="D53" s="202" t="n"/>
      <c r="E53" s="202" t="n"/>
      <c r="F53" s="202" t="n"/>
      <c r="G53" s="202" t="n"/>
      <c r="H53" s="201" t="n"/>
      <c r="I53" s="15" t="n">
        <v>1</v>
      </c>
      <c r="J53" s="15" t="n">
        <v>15</v>
      </c>
      <c r="K53" s="15" t="n">
        <v>3</v>
      </c>
      <c r="L53" s="15" t="n">
        <v>3</v>
      </c>
      <c r="M53" s="15" t="n">
        <v>1</v>
      </c>
      <c r="N53" s="15" t="n">
        <v>23</v>
      </c>
    </row>
    <row r="54" ht="15" customHeight="1"/>
    <row r="55" ht="20" customHeight="1">
      <c r="A55" s="6" t="inlineStr">
        <is>
          <t>5. Job families × band</t>
        </is>
      </c>
    </row>
    <row r="56" ht="28" customHeight="1">
      <c r="A56" s="12" t="inlineStr">
        <is>
          <t>Job family</t>
        </is>
      </c>
      <c r="B56" s="202" t="n"/>
      <c r="C56" s="202" t="n"/>
      <c r="D56" s="201" t="n"/>
      <c r="E56" s="12" t="inlineStr">
        <is>
          <t>A</t>
        </is>
      </c>
      <c r="F56" s="12" t="inlineStr">
        <is>
          <t>B</t>
        </is>
      </c>
      <c r="G56" s="12" t="inlineStr">
        <is>
          <t>B+</t>
        </is>
      </c>
      <c r="H56" s="12" t="inlineStr">
        <is>
          <t>C</t>
        </is>
      </c>
      <c r="I56" s="12" t="inlineStr">
        <is>
          <t>C+</t>
        </is>
      </c>
      <c r="J56" s="12" t="inlineStr">
        <is>
          <t>D</t>
        </is>
      </c>
      <c r="K56" s="12" t="inlineStr">
        <is>
          <t>E</t>
        </is>
      </c>
      <c r="L56" s="12" t="inlineStr">
        <is>
          <t>X</t>
        </is>
      </c>
      <c r="M56" s="12" t="inlineStr">
        <is>
          <t>Total</t>
        </is>
      </c>
      <c r="N56" s="12" t="inlineStr">
        <is>
          <t>Sub-families</t>
        </is>
      </c>
    </row>
    <row r="57" ht="15" customHeight="1">
      <c r="A57" s="13" t="inlineStr">
        <is>
          <t>Data Operations &amp; Digitization</t>
        </is>
      </c>
      <c r="B57" s="202" t="n"/>
      <c r="C57" s="202" t="n"/>
      <c r="D57" s="201" t="n"/>
      <c r="E57" s="15" t="n">
        <v>7</v>
      </c>
      <c r="F57" s="15" t="n">
        <v>2</v>
      </c>
      <c r="G57" s="15" t="inlineStr"/>
      <c r="H57" s="15" t="inlineStr"/>
      <c r="I57" s="15" t="inlineStr"/>
      <c r="J57" s="15" t="inlineStr"/>
      <c r="K57" s="15" t="inlineStr"/>
      <c r="L57" s="15" t="inlineStr"/>
      <c r="M57" s="15" t="n">
        <v>9</v>
      </c>
      <c r="N57" s="15" t="n">
        <v>1</v>
      </c>
    </row>
    <row r="58" ht="15" customHeight="1">
      <c r="A58" s="13" t="inlineStr">
        <is>
          <t>Data &amp; Analytics</t>
        </is>
      </c>
      <c r="B58" s="202" t="n"/>
      <c r="C58" s="202" t="n"/>
      <c r="D58" s="201" t="n"/>
      <c r="E58" s="15" t="n">
        <v>7</v>
      </c>
      <c r="F58" s="15" t="n">
        <v>2</v>
      </c>
      <c r="G58" s="15" t="inlineStr"/>
      <c r="H58" s="15" t="inlineStr"/>
      <c r="I58" s="15" t="inlineStr"/>
      <c r="J58" s="15" t="inlineStr"/>
      <c r="K58" s="15" t="inlineStr"/>
      <c r="L58" s="15" t="inlineStr"/>
      <c r="M58" s="15" t="n">
        <v>9</v>
      </c>
      <c r="N58" s="15" t="n">
        <v>1</v>
      </c>
    </row>
    <row r="59" ht="15" customHeight="1">
      <c r="A59" s="13" t="inlineStr">
        <is>
          <t>Engineering &amp; Development</t>
        </is>
      </c>
      <c r="B59" s="202" t="n"/>
      <c r="C59" s="202" t="n"/>
      <c r="D59" s="201" t="n"/>
      <c r="E59" s="15" t="n">
        <v>2</v>
      </c>
      <c r="F59" s="15" t="n">
        <v>2</v>
      </c>
      <c r="G59" s="15" t="inlineStr"/>
      <c r="H59" s="15" t="inlineStr"/>
      <c r="I59" s="15" t="inlineStr"/>
      <c r="J59" s="15" t="inlineStr"/>
      <c r="K59" s="15" t="inlineStr"/>
      <c r="L59" s="15" t="inlineStr"/>
      <c r="M59" s="15" t="n">
        <v>4</v>
      </c>
      <c r="N59" s="15" t="n">
        <v>1</v>
      </c>
    </row>
    <row r="60" ht="15" customHeight="1">
      <c r="A60" s="13" t="inlineStr">
        <is>
          <t>Project &amp; Program Management</t>
        </is>
      </c>
      <c r="B60" s="202" t="n"/>
      <c r="C60" s="202" t="n"/>
      <c r="D60" s="201" t="n"/>
      <c r="E60" s="15" t="inlineStr"/>
      <c r="F60" s="15" t="n">
        <v>1</v>
      </c>
      <c r="G60" s="15" t="inlineStr"/>
      <c r="H60" s="15" t="inlineStr"/>
      <c r="I60" s="15" t="inlineStr"/>
      <c r="J60" s="15" t="inlineStr"/>
      <c r="K60" s="15" t="inlineStr"/>
      <c r="L60" s="15" t="inlineStr"/>
      <c r="M60" s="15" t="n">
        <v>1</v>
      </c>
      <c r="N60" s="15" t="n">
        <v>1</v>
      </c>
    </row>
    <row r="61" ht="15" customHeight="1"/>
    <row r="62" ht="20" customHeight="1">
      <c r="A62" s="6" t="inlineStr">
        <is>
          <t>6. Player-Coach transition steps · new — between Bands B and C, and C and D</t>
        </is>
      </c>
    </row>
    <row r="63" ht="15" customHeight="1">
      <c r="A63" s="11" t="inlineStr">
        <is>
          <t>A Player-Coach leads people AND still delivers hands-on expert work. Placed on evidence only; candidates go to the manager and the calibration panel.</t>
        </is>
      </c>
    </row>
    <row r="64" ht="15" customHeight="1">
      <c r="A64" s="11" t="inlineStr">
        <is>
          <t>No one in this business meets the Player-Coach evidence today; the Player-Coach transition steps are available as roles grow.</t>
        </is>
      </c>
    </row>
    <row r="65" ht="20" customHeight="1">
      <c r="A65" s="6" t="inlineStr">
        <is>
          <t>7. Critical inputs needed — who must supply what · red cells across the workbook</t>
        </is>
      </c>
    </row>
    <row r="66" ht="15" customHeight="1">
      <c r="A66" s="12" t="inlineStr">
        <is>
          <t>Input needed</t>
        </is>
      </c>
      <c r="B66" s="202" t="n"/>
      <c r="C66" s="202" t="n"/>
      <c r="D66" s="202" t="n"/>
      <c r="E66" s="202" t="n"/>
      <c r="F66" s="202" t="n"/>
      <c r="G66" s="201" t="n"/>
      <c r="H66" s="12" t="inlineStr">
        <is>
          <t>Who provides it</t>
        </is>
      </c>
      <c r="I66" s="202" t="n"/>
      <c r="J66" s="202" t="n"/>
      <c r="K66" s="201" t="n"/>
      <c r="L66" s="12" t="inlineStr">
        <is>
          <t>People</t>
        </is>
      </c>
      <c r="M66" s="202" t="n"/>
      <c r="N66" s="201" t="n"/>
    </row>
    <row r="67" ht="15" customHeight="1">
      <c r="A67" s="48" t="inlineStr">
        <is>
          <t>Confirm the reporting line</t>
        </is>
      </c>
      <c r="B67" s="202" t="n"/>
      <c r="C67" s="202" t="n"/>
      <c r="D67" s="202" t="n"/>
      <c r="E67" s="202" t="n"/>
      <c r="F67" s="202" t="n"/>
      <c r="G67" s="201" t="n"/>
      <c r="H67" s="16" t="inlineStr">
        <is>
          <t>Manager</t>
        </is>
      </c>
      <c r="I67" s="202" t="n"/>
      <c r="J67" s="202" t="n"/>
      <c r="K67" s="201" t="n"/>
      <c r="L67" s="15" t="n">
        <v>2</v>
      </c>
      <c r="M67" s="202" t="n"/>
      <c r="N67" s="201" t="n"/>
    </row>
    <row r="68" ht="15" customHeight="1">
      <c r="A68" s="48" t="inlineStr">
        <is>
          <t>Correct the experience record</t>
        </is>
      </c>
      <c r="B68" s="202" t="n"/>
      <c r="C68" s="202" t="n"/>
      <c r="D68" s="202" t="n"/>
      <c r="E68" s="202" t="n"/>
      <c r="F68" s="202" t="n"/>
      <c r="G68" s="201" t="n"/>
      <c r="H68" s="16" t="inlineStr">
        <is>
          <t>HR</t>
        </is>
      </c>
      <c r="I68" s="202" t="n"/>
      <c r="J68" s="202" t="n"/>
      <c r="K68" s="201" t="n"/>
      <c r="L68" s="15" t="n">
        <v>2</v>
      </c>
      <c r="M68" s="202" t="n"/>
      <c r="N68" s="201" t="n"/>
    </row>
    <row r="69" ht="15" customHeight="1">
      <c r="A69" s="48" t="inlineStr">
        <is>
          <t>Confirm structure behind the senior title · org chart</t>
        </is>
      </c>
      <c r="B69" s="202" t="n"/>
      <c r="C69" s="202" t="n"/>
      <c r="D69" s="202" t="n"/>
      <c r="E69" s="202" t="n"/>
      <c r="F69" s="202" t="n"/>
      <c r="G69" s="201" t="n"/>
      <c r="H69" s="16" t="inlineStr">
        <is>
          <t>Business head</t>
        </is>
      </c>
      <c r="I69" s="202" t="n"/>
      <c r="J69" s="202" t="n"/>
      <c r="K69" s="201" t="n"/>
      <c r="L69" s="15" t="n">
        <v>1</v>
      </c>
      <c r="M69" s="202" t="n"/>
      <c r="N69" s="201" t="n"/>
    </row>
    <row r="70" ht="15" customHeight="1"/>
    <row r="71" ht="15" customHeight="1">
      <c r="A71" s="11" t="inlineStr">
        <is>
          <t>4 of 23 people need at least one critical input · one that could change or confirm the placement; pay is set later. The full list by person is on sheet 9, section J.</t>
        </is>
      </c>
    </row>
    <row r="72" ht="20" customHeight="1">
      <c r="A72" s="6" t="inlineStr">
        <is>
          <t>8. What the colours mean</t>
        </is>
      </c>
    </row>
    <row r="73" ht="15" customHeight="1">
      <c r="A73" s="49" t="inlineStr">
        <is>
          <t>Section colours: each column group has its own header colour and a matching light tint</t>
        </is>
      </c>
      <c r="B73" s="202" t="n"/>
      <c r="C73" s="202" t="n"/>
      <c r="D73" s="202" t="n"/>
      <c r="E73" s="202" t="n"/>
      <c r="F73" s="202" t="n"/>
      <c r="G73" s="202" t="n"/>
      <c r="H73" s="202" t="n"/>
      <c r="I73" s="202" t="n"/>
      <c r="J73" s="202" t="n"/>
      <c r="K73" s="202" t="n"/>
      <c r="L73" s="202" t="n"/>
      <c r="M73" s="202" t="n"/>
      <c r="N73" s="201" t="n"/>
    </row>
    <row r="74" ht="15" customHeight="1">
      <c r="A74" s="51" t="inlineStr">
        <is>
          <t>Changed vs current · designation or level</t>
        </is>
      </c>
      <c r="B74" s="202" t="n"/>
      <c r="C74" s="202" t="n"/>
      <c r="D74" s="202" t="n"/>
      <c r="E74" s="202" t="n"/>
      <c r="F74" s="202" t="n"/>
      <c r="G74" s="202" t="n"/>
      <c r="H74" s="202" t="n"/>
      <c r="I74" s="202" t="n"/>
      <c r="J74" s="202" t="n"/>
      <c r="K74" s="202" t="n"/>
      <c r="L74" s="202" t="n"/>
      <c r="M74" s="202" t="n"/>
      <c r="N74" s="201" t="n"/>
    </row>
    <row r="75" ht="15" customHeight="1">
      <c r="A75" s="52" t="inlineStr">
        <is>
          <t>Level up</t>
        </is>
      </c>
      <c r="B75" s="202" t="n"/>
      <c r="C75" s="202" t="n"/>
      <c r="D75" s="202" t="n"/>
      <c r="E75" s="202" t="n"/>
      <c r="F75" s="202" t="n"/>
      <c r="G75" s="202" t="n"/>
      <c r="H75" s="202" t="n"/>
      <c r="I75" s="202" t="n"/>
      <c r="J75" s="202" t="n"/>
      <c r="K75" s="202" t="n"/>
      <c r="L75" s="202" t="n"/>
      <c r="M75" s="202" t="n"/>
      <c r="N75" s="201" t="n"/>
    </row>
    <row r="76" ht="15" customHeight="1">
      <c r="A76" s="54" t="inlineStr">
        <is>
          <t>Level down — pay &amp; title protected</t>
        </is>
      </c>
      <c r="B76" s="202" t="n"/>
      <c r="C76" s="202" t="n"/>
      <c r="D76" s="202" t="n"/>
      <c r="E76" s="202" t="n"/>
      <c r="F76" s="202" t="n"/>
      <c r="G76" s="202" t="n"/>
      <c r="H76" s="202" t="n"/>
      <c r="I76" s="202" t="n"/>
      <c r="J76" s="202" t="n"/>
      <c r="K76" s="202" t="n"/>
      <c r="L76" s="202" t="n"/>
      <c r="M76" s="202" t="n"/>
      <c r="N76" s="201" t="n"/>
    </row>
    <row r="77" ht="15" customHeight="1">
      <c r="A77" s="56" t="inlineStr">
        <is>
          <t>Newly mapped</t>
        </is>
      </c>
      <c r="B77" s="202" t="n"/>
      <c r="C77" s="202" t="n"/>
      <c r="D77" s="202" t="n"/>
      <c r="E77" s="202" t="n"/>
      <c r="F77" s="202" t="n"/>
      <c r="G77" s="202" t="n"/>
      <c r="H77" s="202" t="n"/>
      <c r="I77" s="202" t="n"/>
      <c r="J77" s="202" t="n"/>
      <c r="K77" s="202" t="n"/>
      <c r="L77" s="202" t="n"/>
      <c r="M77" s="202" t="n"/>
      <c r="N77" s="201" t="n"/>
    </row>
    <row r="78" ht="15" customHeight="1">
      <c r="A78" s="57" t="inlineStr">
        <is>
          <t>Player-Coach · B+ · C+</t>
        </is>
      </c>
      <c r="B78" s="202" t="n"/>
      <c r="C78" s="202" t="n"/>
      <c r="D78" s="202" t="n"/>
      <c r="E78" s="202" t="n"/>
      <c r="F78" s="202" t="n"/>
      <c r="G78" s="202" t="n"/>
      <c r="H78" s="202" t="n"/>
      <c r="I78" s="202" t="n"/>
      <c r="J78" s="202" t="n"/>
      <c r="K78" s="202" t="n"/>
      <c r="L78" s="202" t="n"/>
      <c r="M78" s="202" t="n"/>
      <c r="N78" s="201" t="n"/>
    </row>
    <row r="79" ht="15" customHeight="1">
      <c r="A79" s="58" t="inlineStr">
        <is>
          <t>RED = critical input needed · could change or confirm the level</t>
        </is>
      </c>
      <c r="B79" s="202" t="n"/>
      <c r="C79" s="202" t="n"/>
      <c r="D79" s="202" t="n"/>
      <c r="E79" s="202" t="n"/>
      <c r="F79" s="202" t="n"/>
      <c r="G79" s="202" t="n"/>
      <c r="H79" s="202" t="n"/>
      <c r="I79" s="202" t="n"/>
      <c r="J79" s="202" t="n"/>
      <c r="K79" s="202" t="n"/>
      <c r="L79" s="202" t="n"/>
      <c r="M79" s="202" t="n"/>
      <c r="N79" s="201" t="n"/>
    </row>
    <row r="80" ht="15" customHeight="1">
      <c r="A80" s="60" t="inlineStr">
        <is>
          <t>YELLOW = to complete in validation</t>
        </is>
      </c>
      <c r="B80" s="202" t="n"/>
      <c r="C80" s="202" t="n"/>
      <c r="D80" s="202" t="n"/>
      <c r="E80" s="202" t="n"/>
      <c r="F80" s="202" t="n"/>
      <c r="G80" s="202" t="n"/>
      <c r="H80" s="202" t="n"/>
      <c r="I80" s="202" t="n"/>
      <c r="J80" s="202" t="n"/>
      <c r="K80" s="202" t="n"/>
      <c r="L80" s="202" t="n"/>
      <c r="M80" s="202" t="n"/>
      <c r="N80" s="201" t="n"/>
    </row>
    <row r="81" ht="15" customHeight="1"/>
    <row r="82" ht="20" customHeight="1">
      <c r="A82" s="6" t="inlineStr">
        <is>
          <t>9. What is in this workbook</t>
        </is>
      </c>
    </row>
    <row r="83" ht="28" customHeight="1">
      <c r="A83" s="11" t="inlineStr">
        <is>
          <t xml:space="preserve">Every sheet in this workbook, with what it holds and a link to it, is listed on the Contents sheet · the first tab. Read sheet 2 for any one person; sheets 3–11 give the detail behind it; the insight sheets and, in the HR Super Master, the calibration tracker follow. </t>
        </is>
      </c>
    </row>
    <row r="84" ht="20" customHeight="1">
      <c r="A84" s="6" t="inlineStr">
        <is>
          <t>10. Data used</t>
        </is>
      </c>
    </row>
    <row r="85" ht="15" customHeight="1">
      <c r="A85" s="12" t="inlineStr">
        <is>
          <t>Source</t>
        </is>
      </c>
      <c r="B85" s="202" t="n"/>
      <c r="C85" s="202" t="n"/>
      <c r="D85" s="201" t="n"/>
      <c r="E85" s="12" t="inlineStr">
        <is>
          <t>People covered</t>
        </is>
      </c>
      <c r="F85" s="202" t="n"/>
      <c r="G85" s="201" t="n"/>
      <c r="H85" s="12" t="inlineStr">
        <is>
          <t>Used for</t>
        </is>
      </c>
      <c r="I85" s="202" t="n"/>
      <c r="J85" s="202" t="n"/>
      <c r="K85" s="202" t="n"/>
      <c r="L85" s="202" t="n"/>
      <c r="M85" s="202" t="n"/>
      <c r="N85" s="201" t="n"/>
    </row>
    <row r="86" ht="15" customHeight="1">
      <c r="A86" s="13" t="inlineStr">
        <is>
          <t>Employee Master · HRIS</t>
        </is>
      </c>
      <c r="B86" s="202" t="n"/>
      <c r="C86" s="202" t="n"/>
      <c r="D86" s="201" t="n"/>
      <c r="E86" s="16" t="inlineStr">
        <is>
          <t>23 of 23</t>
        </is>
      </c>
      <c r="F86" s="202" t="n"/>
      <c r="G86" s="201" t="n"/>
      <c r="H86" s="16" t="inlineStr">
        <is>
          <t>Identity, department, manager, experience, qualification, reports</t>
        </is>
      </c>
      <c r="I86" s="202" t="n"/>
      <c r="J86" s="202" t="n"/>
      <c r="K86" s="202" t="n"/>
      <c r="L86" s="202" t="n"/>
      <c r="M86" s="202" t="n"/>
      <c r="N86" s="201" t="n"/>
    </row>
    <row r="87" ht="15" customHeight="1">
      <c r="A87" s="13" t="inlineStr">
        <is>
          <t>How We Grow survey · 20 questions</t>
        </is>
      </c>
      <c r="B87" s="202" t="n"/>
      <c r="C87" s="202" t="n"/>
      <c r="D87" s="201" t="n"/>
      <c r="E87" s="16" t="inlineStr">
        <is>
          <t>23 of 23</t>
        </is>
      </c>
      <c r="F87" s="202" t="n"/>
      <c r="G87" s="201" t="n"/>
      <c r="H87" s="16" t="inlineStr">
        <is>
          <t>Evidence for the six factors; role profiles; learning needs</t>
        </is>
      </c>
      <c r="I87" s="202" t="n"/>
      <c r="J87" s="202" t="n"/>
      <c r="K87" s="202" t="n"/>
      <c r="L87" s="202" t="n"/>
      <c r="M87" s="202" t="n"/>
      <c r="N87" s="201" t="n"/>
    </row>
    <row r="88" ht="15" customHeight="1">
      <c r="A88" s="13" t="inlineStr">
        <is>
          <t>KRAs · self / manager-set / submitted</t>
        </is>
      </c>
      <c r="B88" s="202" t="n"/>
      <c r="C88" s="202" t="n"/>
      <c r="D88" s="201" t="n"/>
      <c r="E88" s="16" t="inlineStr">
        <is>
          <t>23 of 23</t>
        </is>
      </c>
      <c r="F88" s="202" t="n"/>
      <c r="G88" s="201" t="n"/>
      <c r="H88" s="16" t="inlineStr">
        <is>
          <t>Evidence for Complexity and Accountability; performance measures</t>
        </is>
      </c>
      <c r="I88" s="202" t="n"/>
      <c r="J88" s="202" t="n"/>
      <c r="K88" s="202" t="n"/>
      <c r="L88" s="202" t="n"/>
      <c r="M88" s="202" t="n"/>
      <c r="N88" s="201" t="n"/>
    </row>
    <row r="89" ht="15" customHeight="1">
      <c r="A89" s="13" t="inlineStr">
        <is>
          <t>Manager talent mapping</t>
        </is>
      </c>
      <c r="B89" s="202" t="n"/>
      <c r="C89" s="202" t="n"/>
      <c r="D89" s="201" t="n"/>
      <c r="E89" s="16" t="inlineStr">
        <is>
          <t>23 of 23</t>
        </is>
      </c>
      <c r="F89" s="202" t="n"/>
      <c r="G89" s="201" t="n"/>
      <c r="H89" s="16" t="inlineStr">
        <is>
          <t>Rating, potential, 9-box, player-coach flag, training needs</t>
        </is>
      </c>
      <c r="I89" s="202" t="n"/>
      <c r="J89" s="202" t="n"/>
      <c r="K89" s="202" t="n"/>
      <c r="L89" s="202" t="n"/>
      <c r="M89" s="202" t="n"/>
      <c r="N89" s="201" t="n"/>
    </row>
    <row r="90" ht="28" customHeight="1">
      <c r="A90" s="13" t="inlineStr">
        <is>
          <t>Market standards</t>
        </is>
      </c>
      <c r="B90" s="202" t="n"/>
      <c r="C90" s="202" t="n"/>
      <c r="D90" s="201" t="n"/>
      <c r="E90" s="16" t="inlineStr">
        <is>
          <t>All levels and families</t>
        </is>
      </c>
      <c r="F90" s="202" t="n"/>
      <c r="G90" s="201" t="n"/>
      <c r="H90" s="16" t="inlineStr">
        <is>
          <t>Radford / Mercer codes, SFIA, peer and competitor ladders, professional standards</t>
        </is>
      </c>
      <c r="I90" s="202" t="n"/>
      <c r="J90" s="202" t="n"/>
      <c r="K90" s="202" t="n"/>
      <c r="L90" s="202" t="n"/>
      <c r="M90" s="202" t="n"/>
      <c r="N90" s="201" t="n"/>
    </row>
    <row r="91" ht="28" customHeight="1">
      <c r="A91" s="13" t="inlineStr">
        <is>
          <t>Validated inputs · build/inputs/overrides.csv</t>
        </is>
      </c>
      <c r="B91" s="202" t="n"/>
      <c r="C91" s="202" t="n"/>
      <c r="D91" s="201" t="n"/>
      <c r="E91" s="16" t="inlineStr">
        <is>
          <t>0 people · 0 changes</t>
        </is>
      </c>
      <c r="F91" s="202" t="n"/>
      <c r="G91" s="201" t="n"/>
      <c r="H91" s="16" t="inlineStr">
        <is>
          <t>Corrections confirmed in validation, applied before the engine runs; each is printed on the person's row</t>
        </is>
      </c>
      <c r="I91" s="202" t="n"/>
      <c r="J91" s="202" t="n"/>
      <c r="K91" s="202" t="n"/>
      <c r="L91" s="202" t="n"/>
      <c r="M91" s="202" t="n"/>
      <c r="N91" s="201" t="n"/>
    </row>
    <row r="92" ht="28" customHeight="1">
      <c r="A92" s="13" t="inlineStr">
        <is>
          <t>Pay</t>
        </is>
      </c>
      <c r="B92" s="202" t="n"/>
      <c r="C92" s="202" t="n"/>
      <c r="D92" s="201" t="n"/>
      <c r="E92" s="16" t="inlineStr">
        <is>
          <t>—</t>
        </is>
      </c>
      <c r="F92" s="202" t="n"/>
      <c r="G92" s="201" t="n"/>
      <c r="H92" s="16" t="inlineStr">
        <is>
          <t>Not supplied — every pay column is left blank · grey until the pay survey is bought; not flagged as a missing input</t>
        </is>
      </c>
      <c r="I92" s="202" t="n"/>
      <c r="J92" s="202" t="n"/>
      <c r="K92" s="202" t="n"/>
      <c r="L92" s="202" t="n"/>
      <c r="M92" s="202" t="n"/>
      <c r="N92" s="201" t="n"/>
    </row>
    <row r="93" ht="15" customHeight="1"/>
    <row r="94" ht="20" customHeight="1">
      <c r="A94" s="6" t="inlineStr">
        <is>
          <t>11. How a role's level is worked out — in four steps</t>
        </is>
      </c>
    </row>
    <row r="95" ht="28" customHeight="1">
      <c r="A95" s="11" t="inlineStr">
        <is>
          <t>The score measures the size of the role, not how well the person performs, and it is not linked to pay. It uses the same scale as the ladder · A1 = 1, A2 = 2 … B1 = 4 … E2 = 12, so a score reads as a level.</t>
        </is>
      </c>
    </row>
    <row r="96" ht="15" customHeight="1">
      <c r="A96" s="12" t="inlineStr">
        <is>
          <t>Step</t>
        </is>
      </c>
      <c r="B96" s="12" t="inlineStr">
        <is>
          <t>What happens</t>
        </is>
      </c>
      <c r="C96" s="202" t="n"/>
      <c r="D96" s="202" t="n"/>
      <c r="E96" s="202" t="n"/>
      <c r="F96" s="202" t="n"/>
      <c r="G96" s="201" t="n"/>
      <c r="H96" s="12" t="inlineStr">
        <is>
          <t>In plain words</t>
        </is>
      </c>
      <c r="I96" s="202" t="n"/>
      <c r="J96" s="202" t="n"/>
      <c r="K96" s="202" t="n"/>
      <c r="L96" s="202" t="n"/>
      <c r="M96" s="202" t="n"/>
      <c r="N96" s="201" t="n"/>
    </row>
    <row r="97" ht="54" customHeight="1">
      <c r="A97" s="13" t="inlineStr">
        <is>
          <t>1 · Rate</t>
        </is>
      </c>
      <c r="B97" s="16"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97" s="202" t="n"/>
      <c r="D97" s="202" t="n"/>
      <c r="E97" s="202" t="n"/>
      <c r="F97" s="202" t="n"/>
      <c r="G97" s="201" t="n"/>
      <c r="H97" s="16" t="inlineStr">
        <is>
          <t>How hard the work is, how freely the person decides, what the role answers for, how much it leads others, the experience it needs and its impact on the business.</t>
        </is>
      </c>
      <c r="I97" s="202" t="n"/>
      <c r="J97" s="202" t="n"/>
      <c r="K97" s="202" t="n"/>
      <c r="L97" s="202" t="n"/>
      <c r="M97" s="202" t="n"/>
      <c r="N97" s="201" t="n"/>
    </row>
    <row r="98" ht="41" customHeight="1">
      <c r="A98" s="13" t="inlineStr">
        <is>
          <t>2 · Weigh</t>
        </is>
      </c>
      <c r="B98" s="16" t="inlineStr">
        <is>
          <t>Each factor has a weight; the six weights add to 100%. They depend on the band and track and the department's type of work, and leaders can edit them on the Weightage Matrix.</t>
        </is>
      </c>
      <c r="C98" s="202" t="n"/>
      <c r="D98" s="202" t="n"/>
      <c r="E98" s="202" t="n"/>
      <c r="F98" s="202" t="n"/>
      <c r="G98" s="201" t="n"/>
      <c r="H98" s="16" t="inlineStr">
        <is>
          <t>Junior roles count the work itself most · Leadership counts 0% in Band A. Senior roles count accountability, leadership and business impact most. Experience counts little.</t>
        </is>
      </c>
      <c r="I98" s="202" t="n"/>
      <c r="J98" s="202" t="n"/>
      <c r="K98" s="202" t="n"/>
      <c r="L98" s="202" t="n"/>
      <c r="M98" s="202" t="n"/>
      <c r="N98" s="201" t="n"/>
    </row>
    <row r="99" ht="41" customHeight="1">
      <c r="A99" s="13" t="inlineStr">
        <is>
          <t>3 · Score</t>
        </is>
      </c>
      <c r="B99" s="16" t="inlineStr">
        <is>
          <t>Score = the six ratings × their weights, added up. Rounded to the nearest whole number ·.5 rounds up, it gives the indicated level.</t>
        </is>
      </c>
      <c r="C99" s="202" t="n"/>
      <c r="D99" s="202" t="n"/>
      <c r="E99" s="202" t="n"/>
      <c r="F99" s="202" t="n"/>
      <c r="G99" s="201" t="n"/>
      <c r="H99" s="16" t="inlineStr">
        <is>
          <t>A weighted average rating — so 4.73 means 'between B1 and B2, nearer B2', which rounds to B2.</t>
        </is>
      </c>
      <c r="I99" s="202" t="n"/>
      <c r="J99" s="202" t="n"/>
      <c r="K99" s="202" t="n"/>
      <c r="L99" s="202" t="n"/>
      <c r="M99" s="202" t="n"/>
      <c r="N99" s="201" t="n"/>
    </row>
    <row r="100" ht="67" customHeight="1">
      <c r="A100" s="13" t="inlineStr">
        <is>
          <t>4 · Check</t>
        </is>
      </c>
      <c r="B100" s="16"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100" s="202" t="n"/>
      <c r="D100" s="202" t="n"/>
      <c r="E100" s="202" t="n"/>
      <c r="F100" s="202" t="n"/>
      <c r="G100" s="201" t="n"/>
      <c r="H100" s="16" t="inlineStr">
        <is>
          <t>The score proposes; the rules make sure the role really carries that level. Any change is named, with its numbers, on sheet 2 of this workbook.</t>
        </is>
      </c>
      <c r="I100" s="202" t="n"/>
      <c r="J100" s="202" t="n"/>
      <c r="K100" s="202" t="n"/>
      <c r="L100" s="202" t="n"/>
      <c r="M100" s="202" t="n"/>
      <c r="N100" s="201" t="n"/>
    </row>
    <row r="101" ht="15" customHeight="1"/>
    <row r="102" ht="15" customHeight="1">
      <c r="A102" s="17" t="inlineStr">
        <is>
          <t>Worked example · invented numbers — a Band B individual contributor doing technology work:</t>
        </is>
      </c>
    </row>
    <row r="103" ht="15" customHeight="1">
      <c r="A103" s="12" t="inlineStr">
        <is>
          <t>Factor</t>
        </is>
      </c>
      <c r="B103" s="12" t="inlineStr">
        <is>
          <t>Complexity</t>
        </is>
      </c>
      <c r="C103" s="201" t="n"/>
      <c r="D103" s="12" t="inlineStr">
        <is>
          <t>Autonomy</t>
        </is>
      </c>
      <c r="E103" s="201" t="n"/>
      <c r="F103" s="12" t="inlineStr">
        <is>
          <t>Accountability</t>
        </is>
      </c>
      <c r="G103" s="201" t="n"/>
      <c r="H103" s="12" t="inlineStr">
        <is>
          <t>Leadership</t>
        </is>
      </c>
      <c r="I103" s="201" t="n"/>
      <c r="J103" s="12" t="inlineStr">
        <is>
          <t>Experience</t>
        </is>
      </c>
      <c r="K103" s="201" t="n"/>
      <c r="L103" s="12" t="inlineStr">
        <is>
          <t>Bus. Impact</t>
        </is>
      </c>
      <c r="M103" s="201" t="n"/>
      <c r="N103" s="12" t="inlineStr">
        <is>
          <t>Score</t>
        </is>
      </c>
    </row>
    <row r="104" ht="15" customHeight="1">
      <c r="A104" s="13" t="inlineStr">
        <is>
          <t>Rating</t>
        </is>
      </c>
      <c r="B104" s="15" t="inlineStr">
        <is>
          <t>5</t>
        </is>
      </c>
      <c r="C104" s="201" t="n"/>
      <c r="D104" s="15" t="inlineStr">
        <is>
          <t>4</t>
        </is>
      </c>
      <c r="E104" s="201" t="n"/>
      <c r="F104" s="15" t="inlineStr">
        <is>
          <t>5</t>
        </is>
      </c>
      <c r="G104" s="201" t="n"/>
      <c r="H104" s="15" t="inlineStr">
        <is>
          <t>3</t>
        </is>
      </c>
      <c r="I104" s="201" t="n"/>
      <c r="J104" s="15" t="inlineStr">
        <is>
          <t>5</t>
        </is>
      </c>
      <c r="K104" s="201" t="n"/>
      <c r="L104" s="15" t="inlineStr">
        <is>
          <t>5</t>
        </is>
      </c>
      <c r="M104" s="201" t="n"/>
      <c r="N104" s="15" t="inlineStr"/>
    </row>
    <row r="105" ht="15" customHeight="1">
      <c r="A105" s="13" t="inlineStr">
        <is>
          <t>Weight</t>
        </is>
      </c>
      <c r="B105" s="15" t="inlineStr">
        <is>
          <t>56%</t>
        </is>
      </c>
      <c r="C105" s="201" t="n"/>
      <c r="D105" s="15" t="inlineStr">
        <is>
          <t>17%</t>
        </is>
      </c>
      <c r="E105" s="201" t="n"/>
      <c r="F105" s="15" t="inlineStr">
        <is>
          <t>5%</t>
        </is>
      </c>
      <c r="G105" s="201" t="n"/>
      <c r="H105" s="15" t="inlineStr">
        <is>
          <t>5%</t>
        </is>
      </c>
      <c r="I105" s="201" t="n"/>
      <c r="J105" s="15" t="inlineStr">
        <is>
          <t>10%</t>
        </is>
      </c>
      <c r="K105" s="201" t="n"/>
      <c r="L105" s="15" t="inlineStr">
        <is>
          <t>7%</t>
        </is>
      </c>
      <c r="M105" s="201" t="n"/>
      <c r="N105" s="15" t="inlineStr">
        <is>
          <t>100%</t>
        </is>
      </c>
    </row>
    <row r="106" ht="15" customHeight="1">
      <c r="A106" s="13" t="inlineStr">
        <is>
          <t>Rating × weight</t>
        </is>
      </c>
      <c r="B106" s="15" t="inlineStr">
        <is>
          <t>2.80</t>
        </is>
      </c>
      <c r="C106" s="201" t="n"/>
      <c r="D106" s="15" t="inlineStr">
        <is>
          <t>0.68</t>
        </is>
      </c>
      <c r="E106" s="201" t="n"/>
      <c r="F106" s="15" t="inlineStr">
        <is>
          <t>0.25</t>
        </is>
      </c>
      <c r="G106" s="201" t="n"/>
      <c r="H106" s="15" t="inlineStr">
        <is>
          <t>0.15</t>
        </is>
      </c>
      <c r="I106" s="201" t="n"/>
      <c r="J106" s="15" t="inlineStr">
        <is>
          <t>0.50</t>
        </is>
      </c>
      <c r="K106" s="201" t="n"/>
      <c r="L106" s="15" t="inlineStr">
        <is>
          <t>0.35</t>
        </is>
      </c>
      <c r="M106" s="201" t="n"/>
      <c r="N106" s="15" t="inlineStr">
        <is>
          <t>4.73 → B2</t>
        </is>
      </c>
    </row>
    <row r="107" ht="15" customHeight="1"/>
    <row r="108" ht="15" customHeight="1">
      <c r="A108" s="17" t="inlineStr">
        <is>
          <t>What the numbers mean — Consume</t>
        </is>
      </c>
    </row>
    <row r="109" ht="15" customHeight="1">
      <c r="A109" s="12" t="inlineStr">
        <is>
          <t>Term</t>
        </is>
      </c>
      <c r="B109" s="12" t="inlineStr">
        <is>
          <t>Meaning</t>
        </is>
      </c>
      <c r="C109" s="202" t="n"/>
      <c r="D109" s="202" t="n"/>
      <c r="E109" s="202" t="n"/>
      <c r="F109" s="202" t="n"/>
      <c r="G109" s="202" t="n"/>
      <c r="H109" s="202" t="n"/>
      <c r="I109" s="202" t="n"/>
      <c r="J109" s="202" t="n"/>
      <c r="K109" s="202" t="n"/>
      <c r="L109" s="201" t="n"/>
      <c r="M109" s="12" t="inlineStr">
        <is>
          <t>People</t>
        </is>
      </c>
      <c r="N109" s="201" t="n"/>
    </row>
    <row r="110" ht="15" customHeight="1">
      <c r="A110" s="13" t="inlineStr">
        <is>
          <t>Score</t>
        </is>
      </c>
      <c r="B110" s="16" t="inlineStr">
        <is>
          <t>The size of the role in level units. Not performance, not pay.</t>
        </is>
      </c>
      <c r="C110" s="202" t="n"/>
      <c r="D110" s="202" t="n"/>
      <c r="E110" s="202" t="n"/>
      <c r="F110" s="202" t="n"/>
      <c r="G110" s="202" t="n"/>
      <c r="H110" s="202" t="n"/>
      <c r="I110" s="202" t="n"/>
      <c r="J110" s="202" t="n"/>
      <c r="K110" s="202" t="n"/>
      <c r="L110" s="201" t="n"/>
      <c r="M110" s="15" t="n">
        <v>23</v>
      </c>
      <c r="N110" s="201" t="n"/>
    </row>
    <row r="111" ht="15" customHeight="1">
      <c r="A111" s="13" t="inlineStr">
        <is>
          <t>Indicated level</t>
        </is>
      </c>
      <c r="B111" s="16" t="inlineStr">
        <is>
          <t>The score rounded to the nearest level.</t>
        </is>
      </c>
      <c r="C111" s="202" t="n"/>
      <c r="D111" s="202" t="n"/>
      <c r="E111" s="202" t="n"/>
      <c r="F111" s="202" t="n"/>
      <c r="G111" s="202" t="n"/>
      <c r="H111" s="202" t="n"/>
      <c r="I111" s="202" t="n"/>
      <c r="J111" s="202" t="n"/>
      <c r="K111" s="202" t="n"/>
      <c r="L111" s="201" t="n"/>
      <c r="M111" s="15" t="n">
        <v>23</v>
      </c>
      <c r="N111" s="201" t="n"/>
    </row>
    <row r="112" ht="15" customHeight="1">
      <c r="A112" s="13" t="inlineStr">
        <is>
          <t>Final level</t>
        </is>
      </c>
      <c r="B112" s="16" t="inlineStr">
        <is>
          <t>The level after the rules. Where it differs from the indicated level, a rule moved it and the reason is recorded.</t>
        </is>
      </c>
      <c r="C112" s="202" t="n"/>
      <c r="D112" s="202" t="n"/>
      <c r="E112" s="202" t="n"/>
      <c r="F112" s="202" t="n"/>
      <c r="G112" s="202" t="n"/>
      <c r="H112" s="202" t="n"/>
      <c r="I112" s="202" t="n"/>
      <c r="J112" s="202" t="n"/>
      <c r="K112" s="202" t="n"/>
      <c r="L112" s="201" t="n"/>
      <c r="M112" s="15" t="inlineStr">
        <is>
          <t>5 differ</t>
        </is>
      </c>
      <c r="N112" s="201" t="n"/>
    </row>
    <row r="113" ht="15" customHeight="1">
      <c r="A113" s="13" t="inlineStr">
        <is>
          <t>Close call</t>
        </is>
      </c>
      <c r="B113" s="16" t="inlineStr">
        <is>
          <t>The score decided the level and sits within ±0.05 of a rounding point. Sent to the calibration panel.</t>
        </is>
      </c>
      <c r="C113" s="202" t="n"/>
      <c r="D113" s="202" t="n"/>
      <c r="E113" s="202" t="n"/>
      <c r="F113" s="202" t="n"/>
      <c r="G113" s="202" t="n"/>
      <c r="H113" s="202" t="n"/>
      <c r="I113" s="202" t="n"/>
      <c r="J113" s="202" t="n"/>
      <c r="K113" s="202" t="n"/>
      <c r="L113" s="201" t="n"/>
      <c r="M113" s="15" t="n">
        <v>2</v>
      </c>
      <c r="N113" s="201" t="n"/>
    </row>
    <row r="114" ht="28" customHeight="1">
      <c r="A114" s="13" t="inlineStr">
        <is>
          <t>Near a gate</t>
        </is>
      </c>
      <c r="B114" s="16" t="inlineStr">
        <is>
          <t>A rule set the level, and the number behind that rule is within a quarter-point of flipping it. Sent to the calibration panel.</t>
        </is>
      </c>
      <c r="C114" s="202" t="n"/>
      <c r="D114" s="202" t="n"/>
      <c r="E114" s="202" t="n"/>
      <c r="F114" s="202" t="n"/>
      <c r="G114" s="202" t="n"/>
      <c r="H114" s="202" t="n"/>
      <c r="I114" s="202" t="n"/>
      <c r="J114" s="202" t="n"/>
      <c r="K114" s="202" t="n"/>
      <c r="L114" s="201" t="n"/>
      <c r="M114" s="15" t="n">
        <v>1</v>
      </c>
      <c r="N114" s="201" t="n"/>
    </row>
    <row r="115" ht="15" customHeight="1">
      <c r="A115" s="13" t="inlineStr">
        <is>
          <t>Not scored</t>
        </is>
      </c>
      <c r="B115" s="16" t="inlineStr">
        <is>
          <t>Interns and first-year trainees, consultants and anyone with incomplete ratings are placed by rule.</t>
        </is>
      </c>
      <c r="C115" s="202" t="n"/>
      <c r="D115" s="202" t="n"/>
      <c r="E115" s="202" t="n"/>
      <c r="F115" s="202" t="n"/>
      <c r="G115" s="202" t="n"/>
      <c r="H115" s="202" t="n"/>
      <c r="I115" s="202" t="n"/>
      <c r="J115" s="202" t="n"/>
      <c r="K115" s="202" t="n"/>
      <c r="L115" s="201" t="n"/>
      <c r="M115" s="15" t="n">
        <v>0</v>
      </c>
      <c r="N115" s="201" t="n"/>
    </row>
    <row r="116"/>
    <row r="117" ht="20" customHeight="1">
      <c r="A117" s="6" t="inlineStr">
        <is>
          <t>Charts — the shape of this population</t>
        </is>
      </c>
    </row>
    <row r="118">
      <c r="A118" s="11" t="inlineStr">
        <is>
          <t>People at each level, and how levels moved from the current structure. Built from the tables beside them.</t>
        </is>
      </c>
    </row>
    <row r="119">
      <c r="A119" s="12" t="inlineStr">
        <is>
          <t>Level</t>
        </is>
      </c>
      <c r="B119" s="12" t="inlineStr">
        <is>
          <t>People</t>
        </is>
      </c>
    </row>
    <row r="120">
      <c r="A120" s="13" t="inlineStr">
        <is>
          <t>A2</t>
        </is>
      </c>
      <c r="B120" s="15" t="n">
        <v>1</v>
      </c>
    </row>
    <row r="121">
      <c r="A121" s="13" t="inlineStr">
        <is>
          <t>A3</t>
        </is>
      </c>
      <c r="B121" s="15" t="n">
        <v>15</v>
      </c>
    </row>
    <row r="122">
      <c r="A122" s="13" t="inlineStr">
        <is>
          <t>B1</t>
        </is>
      </c>
      <c r="B122" s="15" t="n">
        <v>3</v>
      </c>
    </row>
    <row r="123">
      <c r="A123" s="13" t="inlineStr">
        <is>
          <t>B2</t>
        </is>
      </c>
      <c r="B123" s="15" t="n">
        <v>3</v>
      </c>
    </row>
    <row r="124">
      <c r="A124" s="13" t="inlineStr">
        <is>
          <t>B3</t>
        </is>
      </c>
      <c r="B124" s="15" t="n">
        <v>1</v>
      </c>
    </row>
    <row r="125"/>
    <row r="126"/>
    <row r="127"/>
    <row r="128"/>
    <row r="129"/>
    <row r="130"/>
    <row r="131"/>
    <row r="132"/>
    <row r="133"/>
    <row r="134"/>
    <row r="135"/>
    <row r="136"/>
    <row r="137"/>
    <row r="138">
      <c r="A138" s="12" t="inlineStr">
        <is>
          <t>Current ↓ / New →</t>
        </is>
      </c>
      <c r="B138" s="12" t="inlineStr">
        <is>
          <t>A2</t>
        </is>
      </c>
      <c r="C138" s="12" t="inlineStr">
        <is>
          <t>A3</t>
        </is>
      </c>
      <c r="D138" s="12" t="inlineStr">
        <is>
          <t>B1</t>
        </is>
      </c>
      <c r="E138" s="12" t="inlineStr">
        <is>
          <t>B2</t>
        </is>
      </c>
      <c r="F138" s="12" t="inlineStr">
        <is>
          <t>B3</t>
        </is>
      </c>
      <c r="G138" s="12" t="inlineStr">
        <is>
          <t>Total</t>
        </is>
      </c>
    </row>
    <row r="139">
      <c r="A139" s="13" t="inlineStr">
        <is>
          <t>L3</t>
        </is>
      </c>
      <c r="B139" s="15" t="n">
        <v>1</v>
      </c>
      <c r="C139" s="15" t="n">
        <v>13</v>
      </c>
      <c r="D139" s="15" t="n">
        <v>1</v>
      </c>
      <c r="E139" s="15" t="n">
        <v>1</v>
      </c>
      <c r="F139" s="15" t="n"/>
      <c r="G139" s="15" t="n">
        <v>16</v>
      </c>
    </row>
    <row r="140">
      <c r="A140" s="13" t="inlineStr">
        <is>
          <t>L4</t>
        </is>
      </c>
      <c r="B140" s="15" t="n"/>
      <c r="C140" s="15" t="n">
        <v>2</v>
      </c>
      <c r="D140" s="15" t="n">
        <v>1</v>
      </c>
      <c r="E140" s="15" t="n"/>
      <c r="F140" s="15" t="n"/>
      <c r="G140" s="15" t="n">
        <v>3</v>
      </c>
    </row>
    <row r="141">
      <c r="A141" s="13" t="inlineStr">
        <is>
          <t>L5</t>
        </is>
      </c>
      <c r="B141" s="15" t="n"/>
      <c r="C141" s="15" t="n"/>
      <c r="D141" s="15" t="n">
        <v>1</v>
      </c>
      <c r="E141" s="15" t="n">
        <v>2</v>
      </c>
      <c r="F141" s="15" t="n">
        <v>1</v>
      </c>
      <c r="G141" s="15" t="n">
        <v>4</v>
      </c>
    </row>
    <row r="142">
      <c r="A142" s="200" t="inlineStr">
        <is>
          <t>Total</t>
        </is>
      </c>
      <c r="B142" s="203" t="n">
        <v>1</v>
      </c>
      <c r="C142" s="203" t="n">
        <v>15</v>
      </c>
      <c r="D142" s="203" t="n">
        <v>3</v>
      </c>
      <c r="E142" s="203" t="n">
        <v>3</v>
      </c>
      <c r="F142" s="203" t="n">
        <v>1</v>
      </c>
      <c r="G142" s="203" t="n">
        <v>23</v>
      </c>
    </row>
  </sheetData>
  <mergeCells count="283">
    <mergeCell ref="L33:N33"/>
    <mergeCell ref="B113:L113"/>
    <mergeCell ref="C6:D6"/>
    <mergeCell ref="M114:N114"/>
    <mergeCell ref="F16:G16"/>
    <mergeCell ref="A37:C37"/>
    <mergeCell ref="A46:C46"/>
    <mergeCell ref="A48:N48"/>
    <mergeCell ref="H96:N96"/>
    <mergeCell ref="B98:G98"/>
    <mergeCell ref="F103:G103"/>
    <mergeCell ref="B109:L109"/>
    <mergeCell ref="M111:N111"/>
    <mergeCell ref="H87:N87"/>
    <mergeCell ref="A49:H49"/>
    <mergeCell ref="B115:L115"/>
    <mergeCell ref="A68:G68"/>
    <mergeCell ref="E8:F8"/>
    <mergeCell ref="D45:E45"/>
    <mergeCell ref="H39:I39"/>
    <mergeCell ref="A79:N79"/>
    <mergeCell ref="E89:G89"/>
    <mergeCell ref="L25:N25"/>
    <mergeCell ref="A7:B7"/>
    <mergeCell ref="F15:G15"/>
    <mergeCell ref="A58:D58"/>
    <mergeCell ref="D13:E13"/>
    <mergeCell ref="H91:N91"/>
    <mergeCell ref="L69:N69"/>
    <mergeCell ref="F33:J33"/>
    <mergeCell ref="H67:K67"/>
    <mergeCell ref="J45:K45"/>
    <mergeCell ref="L39:M39"/>
    <mergeCell ref="L45:M45"/>
    <mergeCell ref="A43:C43"/>
    <mergeCell ref="A60:D60"/>
    <mergeCell ref="A21:E21"/>
    <mergeCell ref="A50:H50"/>
    <mergeCell ref="L38:M38"/>
    <mergeCell ref="H45:I45"/>
    <mergeCell ref="B112:L112"/>
    <mergeCell ref="A23:E23"/>
    <mergeCell ref="F31:J31"/>
    <mergeCell ref="H37:I37"/>
    <mergeCell ref="F13:G13"/>
    <mergeCell ref="A71:N71"/>
    <mergeCell ref="H13:I13"/>
    <mergeCell ref="B100:G100"/>
    <mergeCell ref="L40:M40"/>
    <mergeCell ref="F105:G105"/>
    <mergeCell ref="F43:G43"/>
    <mergeCell ref="H105:I105"/>
    <mergeCell ref="A56:D56"/>
    <mergeCell ref="L32:N32"/>
    <mergeCell ref="H85:N85"/>
    <mergeCell ref="B104:C104"/>
    <mergeCell ref="L13:N13"/>
    <mergeCell ref="H15:I15"/>
    <mergeCell ref="E92:G92"/>
    <mergeCell ref="A63:N63"/>
    <mergeCell ref="A10:N10"/>
    <mergeCell ref="A9:B9"/>
    <mergeCell ref="A85:D85"/>
    <mergeCell ref="B114:L114"/>
    <mergeCell ref="B106:C106"/>
    <mergeCell ref="A102:N102"/>
    <mergeCell ref="L15:N15"/>
    <mergeCell ref="A34:E34"/>
    <mergeCell ref="I6:J6"/>
    <mergeCell ref="A77:N77"/>
    <mergeCell ref="L24:N24"/>
    <mergeCell ref="A83:N83"/>
    <mergeCell ref="A51:H51"/>
    <mergeCell ref="H41:I41"/>
    <mergeCell ref="A36:N36"/>
    <mergeCell ref="A1:N1"/>
    <mergeCell ref="A94:N94"/>
    <mergeCell ref="E86:G86"/>
    <mergeCell ref="F21:J21"/>
    <mergeCell ref="L106:M106"/>
    <mergeCell ref="G7:H7"/>
    <mergeCell ref="H97:N97"/>
    <mergeCell ref="I7:J7"/>
    <mergeCell ref="A14:C14"/>
    <mergeCell ref="A78:N78"/>
    <mergeCell ref="L42:M42"/>
    <mergeCell ref="F45:G45"/>
    <mergeCell ref="A59:D59"/>
    <mergeCell ref="A65:N65"/>
    <mergeCell ref="F42:G42"/>
    <mergeCell ref="L34:N34"/>
    <mergeCell ref="A75:N75"/>
    <mergeCell ref="F17:G17"/>
    <mergeCell ref="A38:C38"/>
    <mergeCell ref="H17:I17"/>
    <mergeCell ref="A80:N80"/>
    <mergeCell ref="M7:N7"/>
    <mergeCell ref="A3:N3"/>
    <mergeCell ref="A13:C13"/>
    <mergeCell ref="A44:C44"/>
    <mergeCell ref="A55:N55"/>
    <mergeCell ref="A12:N12"/>
    <mergeCell ref="A88:D88"/>
    <mergeCell ref="J103:K103"/>
    <mergeCell ref="B103:C103"/>
    <mergeCell ref="A69:G69"/>
    <mergeCell ref="D103:E103"/>
    <mergeCell ref="D37:E37"/>
    <mergeCell ref="A40:C40"/>
    <mergeCell ref="F46:G46"/>
    <mergeCell ref="A32:E32"/>
    <mergeCell ref="I8:J8"/>
    <mergeCell ref="A5:N5"/>
    <mergeCell ref="A15:C15"/>
    <mergeCell ref="A8:B8"/>
    <mergeCell ref="F22:J22"/>
    <mergeCell ref="L44:M44"/>
    <mergeCell ref="C8:D8"/>
    <mergeCell ref="A90:D90"/>
    <mergeCell ref="D39:E39"/>
    <mergeCell ref="F39:G39"/>
    <mergeCell ref="A29:E29"/>
    <mergeCell ref="L67:N67"/>
    <mergeCell ref="D15:E15"/>
    <mergeCell ref="J46:K46"/>
    <mergeCell ref="L28:N28"/>
    <mergeCell ref="L46:M46"/>
    <mergeCell ref="H69:K69"/>
    <mergeCell ref="H104:I104"/>
    <mergeCell ref="D38:E38"/>
    <mergeCell ref="E88:G88"/>
    <mergeCell ref="F44:G44"/>
    <mergeCell ref="H14:I14"/>
    <mergeCell ref="K6:L6"/>
    <mergeCell ref="G9:H9"/>
    <mergeCell ref="A31:E31"/>
    <mergeCell ref="H100:N100"/>
    <mergeCell ref="I9:J9"/>
    <mergeCell ref="A16:C16"/>
    <mergeCell ref="H106:I106"/>
    <mergeCell ref="M115:N115"/>
    <mergeCell ref="F29:J29"/>
    <mergeCell ref="A24:E24"/>
    <mergeCell ref="H38:I38"/>
    <mergeCell ref="A91:D91"/>
    <mergeCell ref="J38:K38"/>
    <mergeCell ref="L14:N14"/>
    <mergeCell ref="H43:I43"/>
    <mergeCell ref="L103:M103"/>
    <mergeCell ref="L23:N23"/>
    <mergeCell ref="K9:L9"/>
    <mergeCell ref="A82:N82"/>
    <mergeCell ref="H86:N86"/>
    <mergeCell ref="H40:I40"/>
    <mergeCell ref="B105:C105"/>
    <mergeCell ref="J40:K40"/>
    <mergeCell ref="D105:E105"/>
    <mergeCell ref="A42:C42"/>
    <mergeCell ref="L43:M43"/>
    <mergeCell ref="A67:G67"/>
    <mergeCell ref="F24:J24"/>
    <mergeCell ref="H92:N92"/>
    <mergeCell ref="M109:N109"/>
    <mergeCell ref="A25:E25"/>
    <mergeCell ref="A92:D92"/>
    <mergeCell ref="A108:N108"/>
    <mergeCell ref="D17:E17"/>
    <mergeCell ref="F32:J32"/>
    <mergeCell ref="A84:N84"/>
    <mergeCell ref="A118:N118"/>
    <mergeCell ref="E6:F6"/>
    <mergeCell ref="H16:I16"/>
    <mergeCell ref="K8:L8"/>
    <mergeCell ref="J16:K16"/>
    <mergeCell ref="F23:J23"/>
    <mergeCell ref="A2:N2"/>
    <mergeCell ref="D106:E106"/>
    <mergeCell ref="A87:D87"/>
    <mergeCell ref="A95:N95"/>
    <mergeCell ref="H68:K68"/>
    <mergeCell ref="B97:G97"/>
    <mergeCell ref="L17:N17"/>
    <mergeCell ref="A22:E22"/>
    <mergeCell ref="H89:N89"/>
    <mergeCell ref="H98:N98"/>
    <mergeCell ref="A66:G66"/>
    <mergeCell ref="K7:L7"/>
    <mergeCell ref="A53:H53"/>
    <mergeCell ref="C7:D7"/>
    <mergeCell ref="A20:E20"/>
    <mergeCell ref="A89:D89"/>
    <mergeCell ref="E7:F7"/>
    <mergeCell ref="H88:N88"/>
    <mergeCell ref="L66:N66"/>
    <mergeCell ref="A28:E28"/>
    <mergeCell ref="H42:I42"/>
    <mergeCell ref="A72:N72"/>
    <mergeCell ref="J42:K42"/>
    <mergeCell ref="J106:K106"/>
    <mergeCell ref="D14:E14"/>
    <mergeCell ref="A57:D57"/>
    <mergeCell ref="F14:G14"/>
    <mergeCell ref="E87:G87"/>
    <mergeCell ref="H90:N90"/>
    <mergeCell ref="L68:N68"/>
    <mergeCell ref="A30:E30"/>
    <mergeCell ref="J39:K39"/>
    <mergeCell ref="H66:K66"/>
    <mergeCell ref="A41:C41"/>
    <mergeCell ref="J44:K44"/>
    <mergeCell ref="H99:N99"/>
    <mergeCell ref="H103:I103"/>
    <mergeCell ref="F34:J34"/>
    <mergeCell ref="J14:K14"/>
    <mergeCell ref="A64:N64"/>
    <mergeCell ref="M113:N113"/>
    <mergeCell ref="F25:J25"/>
    <mergeCell ref="L30:N30"/>
    <mergeCell ref="J37:K37"/>
    <mergeCell ref="D46:E46"/>
    <mergeCell ref="A73:N73"/>
    <mergeCell ref="L37:M37"/>
    <mergeCell ref="D40:E40"/>
    <mergeCell ref="G8:H8"/>
    <mergeCell ref="J13:K13"/>
    <mergeCell ref="L20:N20"/>
    <mergeCell ref="F40:G40"/>
    <mergeCell ref="A6:B6"/>
    <mergeCell ref="H44:I44"/>
    <mergeCell ref="L29:N29"/>
    <mergeCell ref="E90:G90"/>
    <mergeCell ref="M110:N110"/>
    <mergeCell ref="F30:J30"/>
    <mergeCell ref="B99:G99"/>
    <mergeCell ref="D104:E104"/>
    <mergeCell ref="H46:I46"/>
    <mergeCell ref="F20:J20"/>
    <mergeCell ref="F104:G104"/>
    <mergeCell ref="J15:K15"/>
    <mergeCell ref="L22:N22"/>
    <mergeCell ref="A17:C17"/>
    <mergeCell ref="L31:N31"/>
    <mergeCell ref="B111:L111"/>
    <mergeCell ref="G6:H6"/>
    <mergeCell ref="C9:D9"/>
    <mergeCell ref="D41:E41"/>
    <mergeCell ref="E9:F9"/>
    <mergeCell ref="F41:G41"/>
    <mergeCell ref="E91:G91"/>
    <mergeCell ref="E85:G85"/>
    <mergeCell ref="L21:N21"/>
    <mergeCell ref="A74:N74"/>
    <mergeCell ref="F106:G106"/>
    <mergeCell ref="A27:N27"/>
    <mergeCell ref="D16:E16"/>
    <mergeCell ref="J104:K104"/>
    <mergeCell ref="L104:M104"/>
    <mergeCell ref="M6:N6"/>
    <mergeCell ref="F38:G38"/>
    <mergeCell ref="D43:E43"/>
    <mergeCell ref="A33:E33"/>
    <mergeCell ref="F28:J28"/>
    <mergeCell ref="J41:K41"/>
    <mergeCell ref="A76:N76"/>
    <mergeCell ref="L41:M41"/>
    <mergeCell ref="A39:C39"/>
    <mergeCell ref="F37:G37"/>
    <mergeCell ref="L16:N16"/>
    <mergeCell ref="J105:K105"/>
    <mergeCell ref="J43:K43"/>
    <mergeCell ref="L105:M105"/>
    <mergeCell ref="D42:E42"/>
    <mergeCell ref="A45:C45"/>
    <mergeCell ref="A62:N62"/>
    <mergeCell ref="A52:H52"/>
    <mergeCell ref="A86:D86"/>
    <mergeCell ref="M112:N112"/>
    <mergeCell ref="A19:N19"/>
    <mergeCell ref="B96:G96"/>
    <mergeCell ref="A117:N117"/>
    <mergeCell ref="D44:E44"/>
    <mergeCell ref="B110:L110"/>
    <mergeCell ref="J17:K17"/>
  </mergeCells>
  <conditionalFormatting sqref="B139:F141">
    <cfRule type="colorScale" priority="1">
      <colorScale>
        <cfvo type="num" val="0"/>
        <cfvo type="max"/>
        <color rgb="00FFFFFF"/>
        <color rgb="002E75B6"/>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1F3864"/>
    <outlinePr summaryBelow="1" summaryRight="1"/>
    <pageSetUpPr fitToPage="1"/>
  </sheetPr>
  <dimension ref="A1:W29"/>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0" customWidth="1" min="3" max="3"/>
    <col width="18" customWidth="1" min="4" max="4"/>
    <col width="22" customWidth="1" min="5" max="5"/>
    <col width="24" customWidth="1" min="6" max="6"/>
    <col width="24" customWidth="1" min="7" max="7"/>
    <col width="26" customWidth="1" min="8" max="8"/>
    <col width="14" customWidth="1" min="9" max="9"/>
    <col width="9" customWidth="1" min="10" max="10"/>
    <col width="13" customWidth="1" min="11" max="11"/>
    <col width="12" customWidth="1" min="12" max="12"/>
    <col width="8" customWidth="1" min="13" max="13"/>
    <col width="9" customWidth="1" min="14" max="14"/>
    <col width="9" customWidth="1" min="15" max="15"/>
    <col width="10" customWidth="1" min="16" max="16"/>
    <col width="9" customWidth="1" min="17" max="17"/>
    <col width="9" customWidth="1" min="18" max="18"/>
    <col width="9" customWidth="1" min="19" max="19"/>
    <col width="44" customWidth="1" min="20" max="20"/>
    <col width="24" customWidth="1" min="21" max="21"/>
    <col width="10" customWidth="1" min="22" max="22"/>
    <col width="13" customWidth="1" min="23" max="23"/>
  </cols>
  <sheetData>
    <row r="1" ht="34" customHeight="1">
      <c r="A1" s="1" t="inlineStr">
        <is>
          <t>Placements — one line per person · the slim view</t>
        </is>
      </c>
      <c r="W1" s="232" t="inlineStr">
        <is>
          <t>◂ Contents</t>
        </is>
      </c>
    </row>
    <row r="2" ht="32" customHeight="1">
      <c r="A2" s="3" t="inlineStr">
        <is>
          <t>Sheet 1a · 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3">
      <c r="A3" s="4" t="inlineStr">
        <is>
          <t>IRIS · Job Architecture &amp; Job Design · Final v1.12 · October 2026 · Internal — Confidential</t>
        </is>
      </c>
    </row>
    <row r="4"/>
    <row r="5"/>
    <row r="6" ht="30" customHeight="1">
      <c r="A6" s="92" t="inlineStr">
        <is>
          <t>Emp ID</t>
        </is>
      </c>
      <c r="B6" s="92" t="inlineStr">
        <is>
          <t>Employee name</t>
        </is>
      </c>
      <c r="C6" s="92" t="inlineStr">
        <is>
          <t>Business</t>
        </is>
      </c>
      <c r="D6" s="92" t="inlineStr">
        <is>
          <t>Department</t>
        </is>
      </c>
      <c r="E6" s="92" t="inlineStr">
        <is>
          <t>Job family</t>
        </is>
      </c>
      <c r="F6" s="92" t="inlineStr">
        <is>
          <t>Sub-family</t>
        </is>
      </c>
      <c r="G6" s="92" t="inlineStr">
        <is>
          <t>Current designation</t>
        </is>
      </c>
      <c r="H6" s="92" t="inlineStr">
        <is>
          <t>Final designation</t>
        </is>
      </c>
      <c r="I6" s="92" t="inlineStr">
        <is>
          <t>Current level</t>
        </is>
      </c>
      <c r="J6" s="92" t="inlineStr">
        <is>
          <t>FINAL LEVEL</t>
        </is>
      </c>
      <c r="K6" s="92" t="inlineStr">
        <is>
          <t>Track</t>
        </is>
      </c>
      <c r="L6" s="92" t="inlineStr">
        <is>
          <t>Change</t>
        </is>
      </c>
      <c r="M6" s="92" t="inlineStr">
        <is>
          <t>Score</t>
        </is>
      </c>
      <c r="N6" s="92" t="inlineStr">
        <is>
          <t>Complexity</t>
        </is>
      </c>
      <c r="O6" s="92" t="inlineStr">
        <is>
          <t>Autonomy</t>
        </is>
      </c>
      <c r="P6" s="92" t="inlineStr">
        <is>
          <t>Accountability</t>
        </is>
      </c>
      <c r="Q6" s="92" t="inlineStr">
        <is>
          <t>Leadership</t>
        </is>
      </c>
      <c r="R6" s="92" t="inlineStr">
        <is>
          <t>Exp &amp; Qual</t>
        </is>
      </c>
      <c r="S6" s="92" t="inlineStr">
        <is>
          <t>Bus. Impact</t>
        </is>
      </c>
      <c r="T6" s="92" t="inlineStr">
        <is>
          <t>What set the level</t>
        </is>
      </c>
      <c r="U6" s="92" t="inlineStr">
        <is>
          <t>Flags</t>
        </is>
      </c>
      <c r="V6" s="92" t="inlineStr">
        <is>
          <t>Confidence</t>
        </is>
      </c>
    </row>
    <row r="7">
      <c r="A7" s="15" t="inlineStr">
        <is>
          <t>IRIS0114</t>
        </is>
      </c>
      <c r="B7" s="204" t="inlineStr">
        <is>
          <t>Shraddha Patil</t>
        </is>
      </c>
      <c r="C7" s="204" t="inlineStr">
        <is>
          <t>Consume</t>
        </is>
      </c>
      <c r="D7" s="204" t="inlineStr">
        <is>
          <t>Digitizing</t>
        </is>
      </c>
      <c r="E7" s="204" t="inlineStr">
        <is>
          <t>Data Operations &amp; Digitization</t>
        </is>
      </c>
      <c r="F7" s="204" t="inlineStr">
        <is>
          <t>Document Conversion, Formatting &amp; Web Publishing</t>
        </is>
      </c>
      <c r="G7" s="204" t="inlineStr">
        <is>
          <t>Image Processing Specialist</t>
        </is>
      </c>
      <c r="H7" s="204" t="inlineStr">
        <is>
          <t>Digitization Manager</t>
        </is>
      </c>
      <c r="I7" s="15" t="inlineStr">
        <is>
          <t>L3</t>
        </is>
      </c>
      <c r="J7" s="143" t="inlineStr">
        <is>
          <t>B2</t>
        </is>
      </c>
      <c r="K7" s="15" t="inlineStr">
        <is>
          <t>People Manager</t>
        </is>
      </c>
      <c r="L7" s="205" t="inlineStr">
        <is>
          <t>Up</t>
        </is>
      </c>
      <c r="M7" s="15" t="n">
        <v>4.92</v>
      </c>
      <c r="N7" s="15" t="n">
        <v>3.5</v>
      </c>
      <c r="O7" s="15" t="n">
        <v>4.5</v>
      </c>
      <c r="P7" s="15" t="n">
        <v>5</v>
      </c>
      <c r="Q7" s="15" t="n">
        <v>5</v>
      </c>
      <c r="R7" s="15" t="n">
        <v>9.5</v>
      </c>
      <c r="S7" s="15" t="n">
        <v>5.5</v>
      </c>
      <c r="T7" s="204" t="inlineStr">
        <is>
          <t>The score decided the level</t>
        </is>
      </c>
      <c r="U7" s="206" t="inlineStr">
        <is>
          <t>Input needed</t>
        </is>
      </c>
      <c r="V7" s="15" t="inlineStr">
        <is>
          <t>Medium</t>
        </is>
      </c>
    </row>
    <row r="8">
      <c r="A8" s="15" t="inlineStr">
        <is>
          <t>IRIS0167</t>
        </is>
      </c>
      <c r="B8" s="204" t="inlineStr">
        <is>
          <t>Nitin Bhoir</t>
        </is>
      </c>
      <c r="C8" s="204" t="inlineStr">
        <is>
          <t>Consume</t>
        </is>
      </c>
      <c r="D8" s="204" t="inlineStr">
        <is>
          <t>Digitizing</t>
        </is>
      </c>
      <c r="E8" s="204" t="inlineStr">
        <is>
          <t>Data Operations &amp; Digitization</t>
        </is>
      </c>
      <c r="F8" s="204" t="inlineStr">
        <is>
          <t>Document Conversion, Formatting &amp; Web Publishing</t>
        </is>
      </c>
      <c r="G8" s="204" t="inlineStr">
        <is>
          <t>Image Processing Specialist</t>
        </is>
      </c>
      <c r="H8" s="204" t="inlineStr">
        <is>
          <t>Digitization Specialist</t>
        </is>
      </c>
      <c r="I8" s="15" t="inlineStr">
        <is>
          <t>L3</t>
        </is>
      </c>
      <c r="J8" s="143" t="inlineStr">
        <is>
          <t>B1</t>
        </is>
      </c>
      <c r="K8" s="15" t="inlineStr">
        <is>
          <t>IC</t>
        </is>
      </c>
      <c r="L8" s="205" t="inlineStr">
        <is>
          <t>Up</t>
        </is>
      </c>
      <c r="M8" s="15" t="n">
        <v>3.55</v>
      </c>
      <c r="N8" s="15" t="n">
        <v>3</v>
      </c>
      <c r="O8" s="15" t="n">
        <v>2.5</v>
      </c>
      <c r="P8" s="15" t="n">
        <v>3</v>
      </c>
      <c r="Q8" s="15" t="n">
        <v>2</v>
      </c>
      <c r="R8" s="15" t="n">
        <v>9.5</v>
      </c>
      <c r="S8" s="15" t="n">
        <v>3.5</v>
      </c>
      <c r="T8" s="204" t="inlineStr">
        <is>
          <t>The score decided the level</t>
        </is>
      </c>
      <c r="U8" s="204" t="inlineStr">
        <is>
          <t>—</t>
        </is>
      </c>
      <c r="V8" s="15" t="inlineStr">
        <is>
          <t>High</t>
        </is>
      </c>
    </row>
    <row r="9">
      <c r="A9" s="15" t="inlineStr">
        <is>
          <t>IRIS0110</t>
        </is>
      </c>
      <c r="B9" s="204" t="inlineStr">
        <is>
          <t>Aniket Manval</t>
        </is>
      </c>
      <c r="C9" s="204" t="inlineStr">
        <is>
          <t>Consume</t>
        </is>
      </c>
      <c r="D9" s="204" t="inlineStr">
        <is>
          <t>Digitizing</t>
        </is>
      </c>
      <c r="E9" s="204" t="inlineStr">
        <is>
          <t>Data Operations &amp; Digitization</t>
        </is>
      </c>
      <c r="F9" s="204" t="inlineStr">
        <is>
          <t>Document Conversion, Formatting &amp; Web Publishing</t>
        </is>
      </c>
      <c r="G9" s="204" t="inlineStr">
        <is>
          <t>Image Processing Specialist</t>
        </is>
      </c>
      <c r="H9" s="204" t="inlineStr">
        <is>
          <t>Senior Digitization Associate</t>
        </is>
      </c>
      <c r="I9" s="15" t="inlineStr">
        <is>
          <t>L3</t>
        </is>
      </c>
      <c r="J9" s="141" t="inlineStr">
        <is>
          <t>A3</t>
        </is>
      </c>
      <c r="K9" s="15" t="inlineStr">
        <is>
          <t>IC</t>
        </is>
      </c>
      <c r="L9" s="205" t="inlineStr">
        <is>
          <t>Up</t>
        </is>
      </c>
      <c r="M9" s="15" t="n">
        <v>3.18</v>
      </c>
      <c r="N9" s="15" t="n">
        <v>2.5</v>
      </c>
      <c r="O9" s="15" t="n">
        <v>2.5</v>
      </c>
      <c r="P9" s="15" t="n">
        <v>2.5</v>
      </c>
      <c r="Q9" s="15" t="n">
        <v>1.5</v>
      </c>
      <c r="R9" s="15" t="n">
        <v>9</v>
      </c>
      <c r="S9" s="15" t="n">
        <v>3</v>
      </c>
      <c r="T9" s="204" t="inlineStr">
        <is>
          <t>The score decided the level</t>
        </is>
      </c>
      <c r="U9" s="204" t="inlineStr">
        <is>
          <t>—</t>
        </is>
      </c>
      <c r="V9" s="15" t="inlineStr">
        <is>
          <t>Medium</t>
        </is>
      </c>
    </row>
    <row r="10">
      <c r="A10" s="15" t="inlineStr">
        <is>
          <t>IRIS0170</t>
        </is>
      </c>
      <c r="B10" s="204" t="inlineStr">
        <is>
          <t>Manish Paithankar</t>
        </is>
      </c>
      <c r="C10" s="204" t="inlineStr">
        <is>
          <t>Consume</t>
        </is>
      </c>
      <c r="D10" s="204" t="inlineStr">
        <is>
          <t>Digitizing</t>
        </is>
      </c>
      <c r="E10" s="204" t="inlineStr">
        <is>
          <t>Data Operations &amp; Digitization</t>
        </is>
      </c>
      <c r="F10" s="204" t="inlineStr">
        <is>
          <t>Document Conversion, Formatting &amp; Web Publishing</t>
        </is>
      </c>
      <c r="G10" s="204" t="inlineStr">
        <is>
          <t>Image Processing Specialist</t>
        </is>
      </c>
      <c r="H10" s="204" t="inlineStr">
        <is>
          <t>Senior Digitization Associate</t>
        </is>
      </c>
      <c r="I10" s="15" t="inlineStr">
        <is>
          <t>L3</t>
        </is>
      </c>
      <c r="J10" s="141" t="inlineStr">
        <is>
          <t>A3</t>
        </is>
      </c>
      <c r="K10" s="15" t="inlineStr">
        <is>
          <t>IC</t>
        </is>
      </c>
      <c r="L10" s="205" t="inlineStr">
        <is>
          <t>Up</t>
        </is>
      </c>
      <c r="M10" s="15" t="n">
        <v>3.58</v>
      </c>
      <c r="N10" s="15" t="n">
        <v>3</v>
      </c>
      <c r="O10" s="15" t="n">
        <v>3</v>
      </c>
      <c r="P10" s="15" t="n">
        <v>2.5</v>
      </c>
      <c r="Q10" s="15" t="n">
        <v>1.5</v>
      </c>
      <c r="R10" s="15" t="n">
        <v>9.5</v>
      </c>
      <c r="S10" s="15" t="n">
        <v>3</v>
      </c>
      <c r="T10" s="204" t="inlineStr">
        <is>
          <r>
            <rPr>
              <rFont val="Calibri"/>
              <b val="1"/>
              <sz val="10"/>
            </rPr>
            <t>Rule:</t>
          </r>
          <r>
            <rPr>
              <rFont val="Calibri"/>
              <sz val="10"/>
            </rPr>
            <t xml:space="preserve"> R4 work-substance cap</t>
          </r>
        </is>
      </c>
      <c r="U10" s="206" t="inlineStr">
        <is>
          <t>Near a gate</t>
        </is>
      </c>
      <c r="V10" s="15" t="inlineStr">
        <is>
          <t>Low</t>
        </is>
      </c>
    </row>
    <row r="11">
      <c r="A11" s="15" t="inlineStr">
        <is>
          <t>IRIS1211</t>
        </is>
      </c>
      <c r="B11" s="204" t="inlineStr">
        <is>
          <t>Manoj Ravidas</t>
        </is>
      </c>
      <c r="C11" s="204" t="inlineStr">
        <is>
          <t>Consume</t>
        </is>
      </c>
      <c r="D11" s="204" t="inlineStr">
        <is>
          <t>Digitizing</t>
        </is>
      </c>
      <c r="E11" s="204" t="inlineStr">
        <is>
          <t>Data Operations &amp; Digitization</t>
        </is>
      </c>
      <c r="F11" s="204" t="inlineStr">
        <is>
          <t>Document Conversion, Formatting &amp; Web Publishing</t>
        </is>
      </c>
      <c r="G11" s="204" t="inlineStr">
        <is>
          <t>Image Processing Specialist</t>
        </is>
      </c>
      <c r="H11" s="204" t="inlineStr">
        <is>
          <t>Senior Digitization Associate</t>
        </is>
      </c>
      <c r="I11" s="15" t="inlineStr">
        <is>
          <t>L3</t>
        </is>
      </c>
      <c r="J11" s="141" t="inlineStr">
        <is>
          <t>A3</t>
        </is>
      </c>
      <c r="K11" s="15" t="inlineStr">
        <is>
          <t>IC</t>
        </is>
      </c>
      <c r="L11" s="205" t="inlineStr">
        <is>
          <t>Up</t>
        </is>
      </c>
      <c r="M11" s="15" t="n">
        <v>3.48</v>
      </c>
      <c r="N11" s="15" t="n">
        <v>3</v>
      </c>
      <c r="O11" s="15" t="n">
        <v>3</v>
      </c>
      <c r="P11" s="15" t="n">
        <v>2.5</v>
      </c>
      <c r="Q11" s="15" t="n">
        <v>1.5</v>
      </c>
      <c r="R11" s="15" t="n">
        <v>8.5</v>
      </c>
      <c r="S11" s="15" t="n">
        <v>3</v>
      </c>
      <c r="T11" s="204" t="inlineStr">
        <is>
          <t>The score decided the level</t>
        </is>
      </c>
      <c r="U11" s="206" t="inlineStr">
        <is>
          <t>Close call</t>
        </is>
      </c>
      <c r="V11" s="15" t="inlineStr">
        <is>
          <t>Low</t>
        </is>
      </c>
    </row>
    <row r="12">
      <c r="A12" s="15" t="inlineStr">
        <is>
          <t>IRIS1213</t>
        </is>
      </c>
      <c r="B12" s="204" t="inlineStr">
        <is>
          <t>Manoj Tiwari</t>
        </is>
      </c>
      <c r="C12" s="204" t="inlineStr">
        <is>
          <t>Consume</t>
        </is>
      </c>
      <c r="D12" s="204" t="inlineStr">
        <is>
          <t>Digitizing</t>
        </is>
      </c>
      <c r="E12" s="204" t="inlineStr">
        <is>
          <t>Data Operations &amp; Digitization</t>
        </is>
      </c>
      <c r="F12" s="204" t="inlineStr">
        <is>
          <t>Document Conversion, Formatting &amp; Web Publishing</t>
        </is>
      </c>
      <c r="G12" s="204" t="inlineStr">
        <is>
          <t>Image Processing Specialist</t>
        </is>
      </c>
      <c r="H12" s="204" t="inlineStr">
        <is>
          <t>Senior Digitization Associate</t>
        </is>
      </c>
      <c r="I12" s="15" t="inlineStr">
        <is>
          <t>L3</t>
        </is>
      </c>
      <c r="J12" s="141" t="inlineStr">
        <is>
          <t>A3</t>
        </is>
      </c>
      <c r="K12" s="15" t="inlineStr">
        <is>
          <t>IC</t>
        </is>
      </c>
      <c r="L12" s="205" t="inlineStr">
        <is>
          <t>Up</t>
        </is>
      </c>
      <c r="M12" s="15" t="n">
        <v>3.23</v>
      </c>
      <c r="N12" s="15" t="n">
        <v>2.5</v>
      </c>
      <c r="O12" s="15" t="n">
        <v>2.5</v>
      </c>
      <c r="P12" s="15" t="n">
        <v>3</v>
      </c>
      <c r="Q12" s="15" t="n">
        <v>1.5</v>
      </c>
      <c r="R12" s="15" t="n">
        <v>8.5</v>
      </c>
      <c r="S12" s="15" t="n">
        <v>3.5</v>
      </c>
      <c r="T12" s="204" t="inlineStr">
        <is>
          <t>The score decided the level</t>
        </is>
      </c>
      <c r="U12" s="204" t="inlineStr">
        <is>
          <t>—</t>
        </is>
      </c>
      <c r="V12" s="15" t="inlineStr">
        <is>
          <t>Medium</t>
        </is>
      </c>
    </row>
    <row r="13">
      <c r="A13" s="15" t="inlineStr">
        <is>
          <t>IRISC283</t>
        </is>
      </c>
      <c r="B13" s="204" t="inlineStr">
        <is>
          <t>Saurav Kamtekar</t>
        </is>
      </c>
      <c r="C13" s="204" t="inlineStr">
        <is>
          <t>Consume</t>
        </is>
      </c>
      <c r="D13" s="204" t="inlineStr">
        <is>
          <t>Digitizing</t>
        </is>
      </c>
      <c r="E13" s="204" t="inlineStr">
        <is>
          <t>Data Operations &amp; Digitization</t>
        </is>
      </c>
      <c r="F13" s="204" t="inlineStr">
        <is>
          <t>Document Conversion, Formatting &amp; Web Publishing</t>
        </is>
      </c>
      <c r="G13" s="204" t="inlineStr">
        <is>
          <t>Consultant</t>
        </is>
      </c>
      <c r="H13" s="204" t="inlineStr">
        <is>
          <t>Senior Digitization Associate</t>
        </is>
      </c>
      <c r="I13" s="15" t="inlineStr">
        <is>
          <t>L3</t>
        </is>
      </c>
      <c r="J13" s="141" t="inlineStr">
        <is>
          <t>A3</t>
        </is>
      </c>
      <c r="K13" s="15" t="inlineStr">
        <is>
          <t>IC</t>
        </is>
      </c>
      <c r="L13" s="205" t="inlineStr">
        <is>
          <t>Up</t>
        </is>
      </c>
      <c r="M13" s="15" t="n">
        <v>2.08</v>
      </c>
      <c r="N13" s="15" t="n">
        <v>2</v>
      </c>
      <c r="O13" s="15" t="n">
        <v>2</v>
      </c>
      <c r="P13" s="15" t="n">
        <v>2</v>
      </c>
      <c r="Q13" s="15" t="n">
        <v>1</v>
      </c>
      <c r="R13" s="15" t="n">
        <v>2.5</v>
      </c>
      <c r="S13" s="15" t="n">
        <v>2.5</v>
      </c>
      <c r="T13" s="204" t="inlineStr">
        <is>
          <r>
            <rPr>
              <rFont val="Calibri"/>
              <b val="1"/>
              <sz val="10"/>
            </rPr>
            <t>Rule:</t>
          </r>
          <r>
            <rPr>
              <rFont val="Calibri"/>
              <sz val="10"/>
            </rPr>
            <t xml:space="preserve"> R7 Band A experience</t>
          </r>
        </is>
      </c>
      <c r="U13" s="204" t="inlineStr">
        <is>
          <t>—</t>
        </is>
      </c>
      <c r="V13" s="15" t="inlineStr">
        <is>
          <t>Medium</t>
        </is>
      </c>
    </row>
    <row r="14">
      <c r="A14" s="15" t="inlineStr">
        <is>
          <t>IRISC338</t>
        </is>
      </c>
      <c r="B14" s="204" t="inlineStr">
        <is>
          <t>Snehal Bhavesh Farad</t>
        </is>
      </c>
      <c r="C14" s="204" t="inlineStr">
        <is>
          <t>Consume</t>
        </is>
      </c>
      <c r="D14" s="204" t="inlineStr">
        <is>
          <t>Digitizing</t>
        </is>
      </c>
      <c r="E14" s="204" t="inlineStr">
        <is>
          <t>Data Operations &amp; Digitization</t>
        </is>
      </c>
      <c r="F14" s="204" t="inlineStr">
        <is>
          <t>Document Conversion, Formatting &amp; Web Publishing</t>
        </is>
      </c>
      <c r="G14" s="204" t="inlineStr">
        <is>
          <t>Consultant</t>
        </is>
      </c>
      <c r="H14" s="204" t="inlineStr">
        <is>
          <t>Senior Digitization Associate</t>
        </is>
      </c>
      <c r="I14" s="15" t="inlineStr">
        <is>
          <t>L3</t>
        </is>
      </c>
      <c r="J14" s="141" t="inlineStr">
        <is>
          <t>A3</t>
        </is>
      </c>
      <c r="K14" s="15" t="inlineStr">
        <is>
          <t>IC</t>
        </is>
      </c>
      <c r="L14" s="205" t="inlineStr">
        <is>
          <t>Up</t>
        </is>
      </c>
      <c r="M14" s="15" t="n">
        <v>2.15</v>
      </c>
      <c r="N14" s="15" t="n">
        <v>2</v>
      </c>
      <c r="O14" s="15" t="n">
        <v>1.5</v>
      </c>
      <c r="P14" s="15" t="n">
        <v>2</v>
      </c>
      <c r="Q14" s="15" t="n">
        <v>1</v>
      </c>
      <c r="R14" s="15" t="n">
        <v>4</v>
      </c>
      <c r="S14" s="15" t="n">
        <v>2.5</v>
      </c>
      <c r="T14" s="204" t="inlineStr">
        <is>
          <r>
            <rPr>
              <rFont val="Calibri"/>
              <b val="1"/>
              <sz val="10"/>
            </rPr>
            <t>Rule:</t>
          </r>
          <r>
            <rPr>
              <rFont val="Calibri"/>
              <sz val="10"/>
            </rPr>
            <t xml:space="preserve"> R7 Band A experience</t>
          </r>
        </is>
      </c>
      <c r="U14" s="206" t="inlineStr">
        <is>
          <t>Input needed</t>
        </is>
      </c>
      <c r="V14" s="15" t="inlineStr">
        <is>
          <t>Low</t>
        </is>
      </c>
    </row>
    <row r="15">
      <c r="A15" s="15" t="inlineStr">
        <is>
          <t>IRISC337</t>
        </is>
      </c>
      <c r="B15" s="204" t="inlineStr">
        <is>
          <t>Siddhesh Harishchandra Mali</t>
        </is>
      </c>
      <c r="C15" s="204" t="inlineStr">
        <is>
          <t>Consume</t>
        </is>
      </c>
      <c r="D15" s="204" t="inlineStr">
        <is>
          <t>Digitizing</t>
        </is>
      </c>
      <c r="E15" s="204" t="inlineStr">
        <is>
          <t>Data Operations &amp; Digitization</t>
        </is>
      </c>
      <c r="F15" s="204" t="inlineStr">
        <is>
          <t>Document Conversion, Formatting &amp; Web Publishing</t>
        </is>
      </c>
      <c r="G15" s="204" t="inlineStr">
        <is>
          <t>Consultant</t>
        </is>
      </c>
      <c r="H15" s="204" t="inlineStr">
        <is>
          <t>Digitization Associate</t>
        </is>
      </c>
      <c r="I15" s="15" t="inlineStr">
        <is>
          <t>L3</t>
        </is>
      </c>
      <c r="J15" s="141" t="inlineStr">
        <is>
          <t>A2</t>
        </is>
      </c>
      <c r="K15" s="15" t="inlineStr">
        <is>
          <t>IC</t>
        </is>
      </c>
      <c r="L15" s="15" t="inlineStr">
        <is>
          <t>Same level</t>
        </is>
      </c>
      <c r="M15" s="15" t="n">
        <v>2.03</v>
      </c>
      <c r="N15" s="15" t="n">
        <v>2</v>
      </c>
      <c r="O15" s="15" t="n">
        <v>2</v>
      </c>
      <c r="P15" s="15" t="n">
        <v>2</v>
      </c>
      <c r="Q15" s="15" t="n">
        <v>1</v>
      </c>
      <c r="R15" s="15" t="n">
        <v>2</v>
      </c>
      <c r="S15" s="15" t="n">
        <v>2.5</v>
      </c>
      <c r="T15" s="204" t="inlineStr">
        <is>
          <t>The score decided the level</t>
        </is>
      </c>
      <c r="U15" s="204" t="inlineStr">
        <is>
          <t>—</t>
        </is>
      </c>
      <c r="V15" s="15" t="inlineStr">
        <is>
          <t>High</t>
        </is>
      </c>
    </row>
    <row r="16">
      <c r="A16" s="15" t="inlineStr">
        <is>
          <t>IRIS0007</t>
        </is>
      </c>
      <c r="B16" s="204" t="inlineStr">
        <is>
          <t>Gopal Krishna Sahu</t>
        </is>
      </c>
      <c r="C16" s="204" t="inlineStr">
        <is>
          <t>Consume</t>
        </is>
      </c>
      <c r="D16" s="204" t="inlineStr">
        <is>
          <t>India Content</t>
        </is>
      </c>
      <c r="E16" s="204" t="inlineStr">
        <is>
          <t>Data &amp; Analytics</t>
        </is>
      </c>
      <c r="F16" s="204" t="inlineStr">
        <is>
          <t>Financial Data Processing</t>
        </is>
      </c>
      <c r="G16" s="204" t="inlineStr">
        <is>
          <t>Data Analyst Manager</t>
        </is>
      </c>
      <c r="H16" s="204" t="inlineStr">
        <is>
          <t>Data Operations Manager</t>
        </is>
      </c>
      <c r="I16" s="15" t="inlineStr">
        <is>
          <t>L5</t>
        </is>
      </c>
      <c r="J16" s="143" t="inlineStr">
        <is>
          <t>B2</t>
        </is>
      </c>
      <c r="K16" s="15" t="inlineStr">
        <is>
          <t>People Manager</t>
        </is>
      </c>
      <c r="L16" s="15" t="inlineStr">
        <is>
          <t>Same level</t>
        </is>
      </c>
      <c r="M16" s="15" t="n">
        <v>5.7</v>
      </c>
      <c r="N16" s="15" t="n">
        <v>5</v>
      </c>
      <c r="O16" s="15" t="n">
        <v>5</v>
      </c>
      <c r="P16" s="15" t="n">
        <v>5</v>
      </c>
      <c r="Q16" s="15" t="n">
        <v>5</v>
      </c>
      <c r="R16" s="15" t="n">
        <v>12</v>
      </c>
      <c r="S16" s="15" t="n">
        <v>5</v>
      </c>
      <c r="T16" s="204" t="inlineStr">
        <is>
          <r>
            <rPr>
              <rFont val="Calibri"/>
              <b val="1"/>
              <sz val="10"/>
            </rPr>
            <t>Rule:</t>
          </r>
          <r>
            <rPr>
              <rFont val="Calibri"/>
              <sz val="10"/>
            </rPr>
            <t xml:space="preserve"> R5 structural gate</t>
          </r>
        </is>
      </c>
      <c r="U16" s="206" t="inlineStr">
        <is>
          <t>Input needed</t>
        </is>
      </c>
      <c r="V16" s="15" t="inlineStr">
        <is>
          <t>Low</t>
        </is>
      </c>
    </row>
    <row r="17">
      <c r="A17" s="15" t="inlineStr">
        <is>
          <t>IRIS0015</t>
        </is>
      </c>
      <c r="B17" s="204" t="inlineStr">
        <is>
          <t>Virendra Borkar</t>
        </is>
      </c>
      <c r="C17" s="204" t="inlineStr">
        <is>
          <t>Consume</t>
        </is>
      </c>
      <c r="D17" s="204" t="inlineStr">
        <is>
          <t>India Content</t>
        </is>
      </c>
      <c r="E17" s="204" t="inlineStr">
        <is>
          <t>Data &amp; Analytics</t>
        </is>
      </c>
      <c r="F17" s="204" t="inlineStr">
        <is>
          <t>Financial Data Processing</t>
        </is>
      </c>
      <c r="G17" s="204" t="inlineStr">
        <is>
          <t>Data Analyst Lead</t>
        </is>
      </c>
      <c r="H17" s="204" t="inlineStr">
        <is>
          <t>Data Specialist</t>
        </is>
      </c>
      <c r="I17" s="15" t="inlineStr">
        <is>
          <t>L5</t>
        </is>
      </c>
      <c r="J17" s="143" t="inlineStr">
        <is>
          <t>B1</t>
        </is>
      </c>
      <c r="K17" s="15" t="inlineStr">
        <is>
          <t>IC</t>
        </is>
      </c>
      <c r="L17" s="207" t="inlineStr">
        <is>
          <t>Down</t>
        </is>
      </c>
      <c r="M17" s="15" t="n">
        <v>4.19</v>
      </c>
      <c r="N17" s="15" t="n">
        <v>3.5</v>
      </c>
      <c r="O17" s="15" t="n">
        <v>3.5</v>
      </c>
      <c r="P17" s="15" t="n">
        <v>3.5</v>
      </c>
      <c r="Q17" s="15" t="n">
        <v>2.5</v>
      </c>
      <c r="R17" s="15" t="n">
        <v>10.5</v>
      </c>
      <c r="S17" s="15" t="n">
        <v>4</v>
      </c>
      <c r="T17" s="204" t="inlineStr">
        <is>
          <t>The score decided the level</t>
        </is>
      </c>
      <c r="U17" s="206" t="inlineStr">
        <is>
          <t>Down — protected</t>
        </is>
      </c>
      <c r="V17" s="15" t="inlineStr">
        <is>
          <t>Medium</t>
        </is>
      </c>
    </row>
    <row r="18">
      <c r="A18" s="15" t="inlineStr">
        <is>
          <t>IRIS1743</t>
        </is>
      </c>
      <c r="B18" s="204" t="inlineStr">
        <is>
          <t>Akash Dubey</t>
        </is>
      </c>
      <c r="C18" s="204" t="inlineStr">
        <is>
          <t>Consume</t>
        </is>
      </c>
      <c r="D18" s="204" t="inlineStr">
        <is>
          <t>India Content</t>
        </is>
      </c>
      <c r="E18" s="204" t="inlineStr">
        <is>
          <t>Data &amp; Analytics</t>
        </is>
      </c>
      <c r="F18" s="204" t="inlineStr">
        <is>
          <t>Financial Data Processing</t>
        </is>
      </c>
      <c r="G18" s="204" t="inlineStr">
        <is>
          <t>Data Analyst</t>
        </is>
      </c>
      <c r="H18" s="204" t="inlineStr">
        <is>
          <t>Senior Data Analyst</t>
        </is>
      </c>
      <c r="I18" s="15" t="inlineStr">
        <is>
          <t>L3</t>
        </is>
      </c>
      <c r="J18" s="141" t="inlineStr">
        <is>
          <t>A3</t>
        </is>
      </c>
      <c r="K18" s="15" t="inlineStr">
        <is>
          <t>IC</t>
        </is>
      </c>
      <c r="L18" s="205" t="inlineStr">
        <is>
          <t>Up</t>
        </is>
      </c>
      <c r="M18" s="15" t="n">
        <v>2.38</v>
      </c>
      <c r="N18" s="15" t="n">
        <v>2</v>
      </c>
      <c r="O18" s="15" t="n">
        <v>2</v>
      </c>
      <c r="P18" s="15" t="n">
        <v>2</v>
      </c>
      <c r="Q18" s="15" t="n">
        <v>1</v>
      </c>
      <c r="R18" s="15" t="n">
        <v>5.5</v>
      </c>
      <c r="S18" s="15" t="n">
        <v>2.5</v>
      </c>
      <c r="T18" s="204" t="inlineStr">
        <is>
          <r>
            <rPr>
              <rFont val="Calibri"/>
              <b val="1"/>
              <sz val="10"/>
            </rPr>
            <t>Rule:</t>
          </r>
          <r>
            <rPr>
              <rFont val="Calibri"/>
              <sz val="10"/>
            </rPr>
            <t xml:space="preserve"> R7 Band A experience</t>
          </r>
        </is>
      </c>
      <c r="U18" s="204" t="inlineStr">
        <is>
          <t>—</t>
        </is>
      </c>
      <c r="V18" s="15" t="inlineStr">
        <is>
          <t>High</t>
        </is>
      </c>
    </row>
    <row r="19">
      <c r="A19" s="15" t="inlineStr">
        <is>
          <t>IRIS1710</t>
        </is>
      </c>
      <c r="B19" s="204" t="inlineStr">
        <is>
          <t>John Mariakulandai</t>
        </is>
      </c>
      <c r="C19" s="204" t="inlineStr">
        <is>
          <t>Consume</t>
        </is>
      </c>
      <c r="D19" s="204" t="inlineStr">
        <is>
          <t>India Content</t>
        </is>
      </c>
      <c r="E19" s="204" t="inlineStr">
        <is>
          <t>Data &amp; Analytics</t>
        </is>
      </c>
      <c r="F19" s="204" t="inlineStr">
        <is>
          <t>Financial Data Processing</t>
        </is>
      </c>
      <c r="G19" s="204" t="inlineStr">
        <is>
          <t>Data Analyst</t>
        </is>
      </c>
      <c r="H19" s="204" t="inlineStr">
        <is>
          <t>Senior Data Analyst</t>
        </is>
      </c>
      <c r="I19" s="15" t="inlineStr">
        <is>
          <t>L3</t>
        </is>
      </c>
      <c r="J19" s="141" t="inlineStr">
        <is>
          <t>A3</t>
        </is>
      </c>
      <c r="K19" s="15" t="inlineStr">
        <is>
          <t>IC</t>
        </is>
      </c>
      <c r="L19" s="205" t="inlineStr">
        <is>
          <t>Up</t>
        </is>
      </c>
      <c r="M19" s="15" t="n">
        <v>2.76</v>
      </c>
      <c r="N19" s="15" t="n">
        <v>2</v>
      </c>
      <c r="O19" s="15" t="n">
        <v>2</v>
      </c>
      <c r="P19" s="15" t="n">
        <v>2</v>
      </c>
      <c r="Q19" s="15" t="n">
        <v>1</v>
      </c>
      <c r="R19" s="15" t="n">
        <v>9</v>
      </c>
      <c r="S19" s="15" t="n">
        <v>3</v>
      </c>
      <c r="T19" s="204" t="inlineStr">
        <is>
          <t>The score decided the level</t>
        </is>
      </c>
      <c r="U19" s="204" t="inlineStr">
        <is>
          <t>—</t>
        </is>
      </c>
      <c r="V19" s="15" t="inlineStr">
        <is>
          <t>Medium</t>
        </is>
      </c>
    </row>
    <row r="20">
      <c r="A20" s="15" t="inlineStr">
        <is>
          <t>IRIS0091</t>
        </is>
      </c>
      <c r="B20" s="204" t="inlineStr">
        <is>
          <t>Neelam Kadam</t>
        </is>
      </c>
      <c r="C20" s="204" t="inlineStr">
        <is>
          <t>Consume</t>
        </is>
      </c>
      <c r="D20" s="204" t="inlineStr">
        <is>
          <t>India Content</t>
        </is>
      </c>
      <c r="E20" s="204" t="inlineStr">
        <is>
          <t>Data &amp; Analytics</t>
        </is>
      </c>
      <c r="F20" s="204" t="inlineStr">
        <is>
          <t>Financial Data Processing</t>
        </is>
      </c>
      <c r="G20" s="204" t="inlineStr">
        <is>
          <t>Data Analyst</t>
        </is>
      </c>
      <c r="H20" s="204" t="inlineStr">
        <is>
          <t>Senior Data Analyst</t>
        </is>
      </c>
      <c r="I20" s="15" t="inlineStr">
        <is>
          <t>L3</t>
        </is>
      </c>
      <c r="J20" s="141" t="inlineStr">
        <is>
          <t>A3</t>
        </is>
      </c>
      <c r="K20" s="15" t="inlineStr">
        <is>
          <t>IC</t>
        </is>
      </c>
      <c r="L20" s="205" t="inlineStr">
        <is>
          <t>Up</t>
        </is>
      </c>
      <c r="M20" s="15" t="n">
        <v>2.78</v>
      </c>
      <c r="N20" s="15" t="n">
        <v>2</v>
      </c>
      <c r="O20" s="15" t="n">
        <v>2</v>
      </c>
      <c r="P20" s="15" t="n">
        <v>2</v>
      </c>
      <c r="Q20" s="15" t="n">
        <v>1</v>
      </c>
      <c r="R20" s="15" t="n">
        <v>9.5</v>
      </c>
      <c r="S20" s="15" t="n">
        <v>2.5</v>
      </c>
      <c r="T20" s="204" t="inlineStr">
        <is>
          <t>The score decided the level</t>
        </is>
      </c>
      <c r="U20" s="204" t="inlineStr">
        <is>
          <t>—</t>
        </is>
      </c>
      <c r="V20" s="15" t="inlineStr">
        <is>
          <t>Low</t>
        </is>
      </c>
    </row>
    <row r="21">
      <c r="A21" s="15" t="inlineStr">
        <is>
          <t>IRIS0065</t>
        </is>
      </c>
      <c r="B21" s="204" t="inlineStr">
        <is>
          <t>Nishikant Mhatre</t>
        </is>
      </c>
      <c r="C21" s="204" t="inlineStr">
        <is>
          <t>Consume</t>
        </is>
      </c>
      <c r="D21" s="204" t="inlineStr">
        <is>
          <t>India Content</t>
        </is>
      </c>
      <c r="E21" s="204" t="inlineStr">
        <is>
          <t>Data &amp; Analytics</t>
        </is>
      </c>
      <c r="F21" s="204" t="inlineStr">
        <is>
          <t>Financial Data Processing</t>
        </is>
      </c>
      <c r="G21" s="204" t="inlineStr">
        <is>
          <t>Data Analyst</t>
        </is>
      </c>
      <c r="H21" s="204" t="inlineStr">
        <is>
          <t>Senior Data Analyst</t>
        </is>
      </c>
      <c r="I21" s="15" t="inlineStr">
        <is>
          <t>L3</t>
        </is>
      </c>
      <c r="J21" s="141" t="inlineStr">
        <is>
          <t>A3</t>
        </is>
      </c>
      <c r="K21" s="15" t="inlineStr">
        <is>
          <t>IC</t>
        </is>
      </c>
      <c r="L21" s="205" t="inlineStr">
        <is>
          <t>Up</t>
        </is>
      </c>
      <c r="M21" s="15" t="n">
        <v>3.03</v>
      </c>
      <c r="N21" s="15" t="n">
        <v>2</v>
      </c>
      <c r="O21" s="15" t="n">
        <v>2</v>
      </c>
      <c r="P21" s="15" t="n">
        <v>2</v>
      </c>
      <c r="Q21" s="15" t="n">
        <v>1</v>
      </c>
      <c r="R21" s="15" t="n">
        <v>12</v>
      </c>
      <c r="S21" s="15" t="n">
        <v>2.5</v>
      </c>
      <c r="T21" s="204" t="inlineStr">
        <is>
          <t>The score decided the level</t>
        </is>
      </c>
      <c r="U21" s="204" t="inlineStr">
        <is>
          <t>—</t>
        </is>
      </c>
      <c r="V21" s="15" t="inlineStr">
        <is>
          <t>Low</t>
        </is>
      </c>
    </row>
    <row r="22">
      <c r="A22" s="15" t="inlineStr">
        <is>
          <t>IRIS0292</t>
        </is>
      </c>
      <c r="B22" s="204" t="inlineStr">
        <is>
          <t>Palanikumar Mooppanar</t>
        </is>
      </c>
      <c r="C22" s="204" t="inlineStr">
        <is>
          <t>Consume</t>
        </is>
      </c>
      <c r="D22" s="204" t="inlineStr">
        <is>
          <t>India Content</t>
        </is>
      </c>
      <c r="E22" s="204" t="inlineStr">
        <is>
          <t>Data &amp; Analytics</t>
        </is>
      </c>
      <c r="F22" s="204" t="inlineStr">
        <is>
          <t>Financial Data Processing</t>
        </is>
      </c>
      <c r="G22" s="204" t="inlineStr">
        <is>
          <t>Data Analyst</t>
        </is>
      </c>
      <c r="H22" s="204" t="inlineStr">
        <is>
          <t>Senior Data Analyst</t>
        </is>
      </c>
      <c r="I22" s="15" t="inlineStr">
        <is>
          <t>L3</t>
        </is>
      </c>
      <c r="J22" s="141" t="inlineStr">
        <is>
          <t>A3</t>
        </is>
      </c>
      <c r="K22" s="15" t="inlineStr">
        <is>
          <t>IC</t>
        </is>
      </c>
      <c r="L22" s="205" t="inlineStr">
        <is>
          <t>Up</t>
        </is>
      </c>
      <c r="M22" s="15" t="n">
        <v>2.78</v>
      </c>
      <c r="N22" s="15" t="n">
        <v>2</v>
      </c>
      <c r="O22" s="15" t="n">
        <v>2</v>
      </c>
      <c r="P22" s="15" t="n">
        <v>2</v>
      </c>
      <c r="Q22" s="15" t="n">
        <v>1</v>
      </c>
      <c r="R22" s="15" t="n">
        <v>9.5</v>
      </c>
      <c r="S22" s="15" t="n">
        <v>2.5</v>
      </c>
      <c r="T22" s="204" t="inlineStr">
        <is>
          <t>The score decided the level</t>
        </is>
      </c>
      <c r="U22" s="204" t="inlineStr">
        <is>
          <t>—</t>
        </is>
      </c>
      <c r="V22" s="15" t="inlineStr">
        <is>
          <t>High</t>
        </is>
      </c>
    </row>
    <row r="23">
      <c r="A23" s="15" t="inlineStr">
        <is>
          <t>IRIS0009</t>
        </is>
      </c>
      <c r="B23" s="204" t="inlineStr">
        <is>
          <t>Prashant Shelar</t>
        </is>
      </c>
      <c r="C23" s="204" t="inlineStr">
        <is>
          <t>Consume</t>
        </is>
      </c>
      <c r="D23" s="204" t="inlineStr">
        <is>
          <t>India Content</t>
        </is>
      </c>
      <c r="E23" s="204" t="inlineStr">
        <is>
          <t>Data &amp; Analytics</t>
        </is>
      </c>
      <c r="F23" s="204" t="inlineStr">
        <is>
          <t>Financial Data Processing</t>
        </is>
      </c>
      <c r="G23" s="204" t="inlineStr">
        <is>
          <t>Data Analyst</t>
        </is>
      </c>
      <c r="H23" s="204" t="inlineStr">
        <is>
          <t>Senior Data Analyst</t>
        </is>
      </c>
      <c r="I23" s="15" t="inlineStr">
        <is>
          <t>L3</t>
        </is>
      </c>
      <c r="J23" s="141" t="inlineStr">
        <is>
          <t>A3</t>
        </is>
      </c>
      <c r="K23" s="15" t="inlineStr">
        <is>
          <t>IC</t>
        </is>
      </c>
      <c r="L23" s="205" t="inlineStr">
        <is>
          <t>Up</t>
        </is>
      </c>
      <c r="M23" s="15" t="n">
        <v>2.93</v>
      </c>
      <c r="N23" s="15" t="n">
        <v>2</v>
      </c>
      <c r="O23" s="15" t="n">
        <v>2</v>
      </c>
      <c r="P23" s="15" t="n">
        <v>2</v>
      </c>
      <c r="Q23" s="15" t="n">
        <v>1</v>
      </c>
      <c r="R23" s="15" t="n">
        <v>11</v>
      </c>
      <c r="S23" s="15" t="n">
        <v>2.5</v>
      </c>
      <c r="T23" s="204" t="inlineStr">
        <is>
          <t>The score decided the level</t>
        </is>
      </c>
      <c r="U23" s="204" t="inlineStr">
        <is>
          <t>—</t>
        </is>
      </c>
      <c r="V23" s="15" t="inlineStr">
        <is>
          <t>Medium</t>
        </is>
      </c>
    </row>
    <row r="24">
      <c r="A24" s="15" t="inlineStr">
        <is>
          <t>IRIS0030</t>
        </is>
      </c>
      <c r="B24" s="204" t="inlineStr">
        <is>
          <t>Swapnil Katrat</t>
        </is>
      </c>
      <c r="C24" s="204" t="inlineStr">
        <is>
          <t>Consume</t>
        </is>
      </c>
      <c r="D24" s="204" t="inlineStr">
        <is>
          <t>India Content</t>
        </is>
      </c>
      <c r="E24" s="204" t="inlineStr">
        <is>
          <t>Data &amp; Analytics</t>
        </is>
      </c>
      <c r="F24" s="204" t="inlineStr">
        <is>
          <t>Financial Data Processing</t>
        </is>
      </c>
      <c r="G24" s="204" t="inlineStr">
        <is>
          <t>Data Analyst</t>
        </is>
      </c>
      <c r="H24" s="204" t="inlineStr">
        <is>
          <t>Senior Data Analyst</t>
        </is>
      </c>
      <c r="I24" s="15" t="inlineStr">
        <is>
          <t>L3</t>
        </is>
      </c>
      <c r="J24" s="141" t="inlineStr">
        <is>
          <t>A3</t>
        </is>
      </c>
      <c r="K24" s="15" t="inlineStr">
        <is>
          <t>IC</t>
        </is>
      </c>
      <c r="L24" s="205" t="inlineStr">
        <is>
          <t>Up</t>
        </is>
      </c>
      <c r="M24" s="15" t="n">
        <v>2.83</v>
      </c>
      <c r="N24" s="15" t="n">
        <v>2</v>
      </c>
      <c r="O24" s="15" t="n">
        <v>2</v>
      </c>
      <c r="P24" s="15" t="n">
        <v>2</v>
      </c>
      <c r="Q24" s="15" t="n">
        <v>1</v>
      </c>
      <c r="R24" s="15" t="n">
        <v>10</v>
      </c>
      <c r="S24" s="15" t="n">
        <v>2.5</v>
      </c>
      <c r="T24" s="204" t="inlineStr">
        <is>
          <t>The score decided the level</t>
        </is>
      </c>
      <c r="U24" s="204" t="inlineStr">
        <is>
          <t>—</t>
        </is>
      </c>
      <c r="V24" s="15" t="inlineStr">
        <is>
          <t>Medium</t>
        </is>
      </c>
    </row>
    <row r="25">
      <c r="A25" s="15" t="inlineStr">
        <is>
          <t>IRIS0724</t>
        </is>
      </c>
      <c r="B25" s="204" t="inlineStr">
        <is>
          <t>Nishant Kohakade</t>
        </is>
      </c>
      <c r="C25" s="204" t="inlineStr">
        <is>
          <t>Consume</t>
        </is>
      </c>
      <c r="D25" s="204" t="inlineStr">
        <is>
          <t>Technology</t>
        </is>
      </c>
      <c r="E25" s="204" t="inlineStr">
        <is>
          <t>Engineering &amp; Development</t>
        </is>
      </c>
      <c r="F25" s="204" t="inlineStr">
        <is>
          <t>Application Maintenance &amp; Production Support</t>
        </is>
      </c>
      <c r="G25" s="204" t="inlineStr">
        <is>
          <t>Lead Software Engineer</t>
        </is>
      </c>
      <c r="H25" s="204" t="inlineStr">
        <is>
          <t>Lead Software Engineer</t>
        </is>
      </c>
      <c r="I25" s="15" t="inlineStr">
        <is>
          <t>L5</t>
        </is>
      </c>
      <c r="J25" s="143" t="inlineStr">
        <is>
          <t>B3</t>
        </is>
      </c>
      <c r="K25" s="15" t="inlineStr">
        <is>
          <t>IC</t>
        </is>
      </c>
      <c r="L25" s="15" t="inlineStr">
        <is>
          <t>Same level</t>
        </is>
      </c>
      <c r="M25" s="15" t="n">
        <v>5.89</v>
      </c>
      <c r="N25" s="15" t="n">
        <v>5.5</v>
      </c>
      <c r="O25" s="15" t="n">
        <v>5.5</v>
      </c>
      <c r="P25" s="15" t="n">
        <v>5.5</v>
      </c>
      <c r="Q25" s="15" t="n">
        <v>4.5</v>
      </c>
      <c r="R25" s="15" t="n">
        <v>9.5</v>
      </c>
      <c r="S25" s="15" t="n">
        <v>6</v>
      </c>
      <c r="T25" s="204" t="inlineStr">
        <is>
          <t>The score decided the level</t>
        </is>
      </c>
      <c r="U25" s="206" t="inlineStr">
        <is>
          <t>Input needed</t>
        </is>
      </c>
      <c r="V25" s="15" t="inlineStr">
        <is>
          <t>High</t>
        </is>
      </c>
    </row>
    <row r="26">
      <c r="A26" s="15" t="inlineStr">
        <is>
          <t>IRIS1952</t>
        </is>
      </c>
      <c r="B26" s="204" t="inlineStr">
        <is>
          <t>Zakiruddin Shaikh</t>
        </is>
      </c>
      <c r="C26" s="204" t="inlineStr">
        <is>
          <t>Consume</t>
        </is>
      </c>
      <c r="D26" s="204" t="inlineStr">
        <is>
          <t>Technology</t>
        </is>
      </c>
      <c r="E26" s="204" t="inlineStr">
        <is>
          <t>Project &amp; Program Management</t>
        </is>
      </c>
      <c r="F26" s="204" t="inlineStr">
        <is>
          <t>Project &amp; Program Delivery</t>
        </is>
      </c>
      <c r="G26" s="204" t="inlineStr">
        <is>
          <t>Project Manager</t>
        </is>
      </c>
      <c r="H26" s="204" t="inlineStr">
        <is>
          <t>Project Manager</t>
        </is>
      </c>
      <c r="I26" s="15" t="inlineStr">
        <is>
          <t>L5</t>
        </is>
      </c>
      <c r="J26" s="143" t="inlineStr">
        <is>
          <t>B2</t>
        </is>
      </c>
      <c r="K26" s="15" t="inlineStr">
        <is>
          <t>People Manager</t>
        </is>
      </c>
      <c r="L26" s="15" t="inlineStr">
        <is>
          <t>Same level</t>
        </is>
      </c>
      <c r="M26" s="15" t="n">
        <v>4.83</v>
      </c>
      <c r="N26" s="15" t="n">
        <v>4.5</v>
      </c>
      <c r="O26" s="15" t="n">
        <v>5</v>
      </c>
      <c r="P26" s="15" t="n">
        <v>5</v>
      </c>
      <c r="Q26" s="15" t="n">
        <v>4</v>
      </c>
      <c r="R26" s="15" t="n">
        <v>6.5</v>
      </c>
      <c r="S26" s="15" t="n">
        <v>5.5</v>
      </c>
      <c r="T26" s="204" t="inlineStr">
        <is>
          <t>The score decided the level</t>
        </is>
      </c>
      <c r="U26" s="204" t="inlineStr">
        <is>
          <t>—</t>
        </is>
      </c>
      <c r="V26" s="15" t="inlineStr">
        <is>
          <t>High</t>
        </is>
      </c>
    </row>
    <row r="27">
      <c r="A27" s="15" t="inlineStr">
        <is>
          <t>IRIS0538</t>
        </is>
      </c>
      <c r="B27" s="204" t="inlineStr">
        <is>
          <t>Waqar Tarique</t>
        </is>
      </c>
      <c r="C27" s="204" t="inlineStr">
        <is>
          <t>Consume</t>
        </is>
      </c>
      <c r="D27" s="204" t="inlineStr">
        <is>
          <t>Technology</t>
        </is>
      </c>
      <c r="E27" s="204" t="inlineStr">
        <is>
          <t>Engineering &amp; Development</t>
        </is>
      </c>
      <c r="F27" s="204" t="inlineStr">
        <is>
          <t>Application Maintenance &amp; Production Support</t>
        </is>
      </c>
      <c r="G27" s="204" t="inlineStr">
        <is>
          <t>Senior Software Engineer</t>
        </is>
      </c>
      <c r="H27" s="204" t="inlineStr">
        <is>
          <t>Technical Specialist</t>
        </is>
      </c>
      <c r="I27" s="15" t="inlineStr">
        <is>
          <t>L4</t>
        </is>
      </c>
      <c r="J27" s="143" t="inlineStr">
        <is>
          <t>B1</t>
        </is>
      </c>
      <c r="K27" s="15" t="inlineStr">
        <is>
          <t>IC</t>
        </is>
      </c>
      <c r="L27" s="205" t="inlineStr">
        <is>
          <t>Up</t>
        </is>
      </c>
      <c r="M27" s="15" t="n">
        <v>3.53</v>
      </c>
      <c r="N27" s="15" t="n">
        <v>3</v>
      </c>
      <c r="O27" s="15" t="n">
        <v>2.5</v>
      </c>
      <c r="P27" s="15" t="n">
        <v>3</v>
      </c>
      <c r="Q27" s="15" t="n">
        <v>2.5</v>
      </c>
      <c r="R27" s="15" t="n">
        <v>9</v>
      </c>
      <c r="S27" s="15" t="n">
        <v>3.5</v>
      </c>
      <c r="T27" s="204" t="inlineStr">
        <is>
          <t>The score decided the level</t>
        </is>
      </c>
      <c r="U27" s="206" t="inlineStr">
        <is>
          <t>Close call</t>
        </is>
      </c>
      <c r="V27" s="15" t="inlineStr">
        <is>
          <t>High</t>
        </is>
      </c>
    </row>
    <row r="28">
      <c r="A28" s="15" t="inlineStr">
        <is>
          <t>IRIS2485</t>
        </is>
      </c>
      <c r="B28" s="204" t="inlineStr">
        <is>
          <t>Safal Gupta</t>
        </is>
      </c>
      <c r="C28" s="204" t="inlineStr">
        <is>
          <t>Consume</t>
        </is>
      </c>
      <c r="D28" s="204" t="inlineStr">
        <is>
          <t>Technology</t>
        </is>
      </c>
      <c r="E28" s="204" t="inlineStr">
        <is>
          <t>Engineering &amp; Development</t>
        </is>
      </c>
      <c r="F28" s="204" t="inlineStr">
        <is>
          <t>Application Maintenance &amp; Production Support</t>
        </is>
      </c>
      <c r="G28" s="204" t="inlineStr">
        <is>
          <t>Senior Software Engineer</t>
        </is>
      </c>
      <c r="H28" s="204" t="inlineStr">
        <is>
          <t>Senior Software Engineer</t>
        </is>
      </c>
      <c r="I28" s="15" t="inlineStr">
        <is>
          <t>L4</t>
        </is>
      </c>
      <c r="J28" s="141" t="inlineStr">
        <is>
          <t>A3</t>
        </is>
      </c>
      <c r="K28" s="15" t="inlineStr">
        <is>
          <t>IC</t>
        </is>
      </c>
      <c r="L28" s="15" t="inlineStr">
        <is>
          <t>Same level</t>
        </is>
      </c>
      <c r="M28" s="15" t="n">
        <v>3.13</v>
      </c>
      <c r="N28" s="15" t="n">
        <v>3</v>
      </c>
      <c r="O28" s="15" t="n">
        <v>3</v>
      </c>
      <c r="P28" s="15" t="n">
        <v>3</v>
      </c>
      <c r="Q28" s="15" t="n">
        <v>1.5</v>
      </c>
      <c r="R28" s="15" t="n">
        <v>4</v>
      </c>
      <c r="S28" s="15" t="n">
        <v>3.5</v>
      </c>
      <c r="T28" s="204" t="inlineStr">
        <is>
          <t>The score decided the level</t>
        </is>
      </c>
      <c r="U28" s="204" t="inlineStr">
        <is>
          <t>—</t>
        </is>
      </c>
      <c r="V28" s="15" t="inlineStr">
        <is>
          <t>High</t>
        </is>
      </c>
    </row>
    <row r="29">
      <c r="A29" s="15" t="inlineStr">
        <is>
          <t>IRIS1901</t>
        </is>
      </c>
      <c r="B29" s="204" t="inlineStr">
        <is>
          <t>Sharad Mane</t>
        </is>
      </c>
      <c r="C29" s="204" t="inlineStr">
        <is>
          <t>Consume</t>
        </is>
      </c>
      <c r="D29" s="204" t="inlineStr">
        <is>
          <t>Technology</t>
        </is>
      </c>
      <c r="E29" s="204" t="inlineStr">
        <is>
          <t>Engineering &amp; Development</t>
        </is>
      </c>
      <c r="F29" s="204" t="inlineStr">
        <is>
          <t>Application Maintenance &amp; Production Support</t>
        </is>
      </c>
      <c r="G29" s="204" t="inlineStr">
        <is>
          <t>Senior Software Engineer</t>
        </is>
      </c>
      <c r="H29" s="204" t="inlineStr">
        <is>
          <t>Technical Specialist</t>
        </is>
      </c>
      <c r="I29" s="15" t="inlineStr">
        <is>
          <t>L4</t>
        </is>
      </c>
      <c r="J29" s="141" t="inlineStr">
        <is>
          <t>A3</t>
        </is>
      </c>
      <c r="K29" s="15" t="inlineStr">
        <is>
          <t>IC</t>
        </is>
      </c>
      <c r="L29" s="205" t="inlineStr">
        <is>
          <t>Up</t>
        </is>
      </c>
      <c r="M29" s="15" t="n">
        <v>3.35</v>
      </c>
      <c r="N29" s="15" t="n">
        <v>3</v>
      </c>
      <c r="O29" s="15" t="n">
        <v>3</v>
      </c>
      <c r="P29" s="15" t="n">
        <v>3</v>
      </c>
      <c r="Q29" s="15" t="n">
        <v>1.5</v>
      </c>
      <c r="R29" s="15" t="n">
        <v>6.5</v>
      </c>
      <c r="S29" s="15" t="n">
        <v>3</v>
      </c>
      <c r="T29" s="204" t="inlineStr">
        <is>
          <t>The score decided the level</t>
        </is>
      </c>
      <c r="U29" s="204" t="inlineStr">
        <is>
          <t>—</t>
        </is>
      </c>
      <c r="V29" s="15" t="inlineStr">
        <is>
          <t>Medium</t>
        </is>
      </c>
    </row>
  </sheetData>
  <mergeCells count="3">
    <mergeCell ref="A2:V2"/>
    <mergeCell ref="A1:V1"/>
    <mergeCell ref="A3:V3"/>
  </mergeCells>
  <conditionalFormatting sqref="N7:N29">
    <cfRule type="dataBar" priority="1">
      <dataBar showValue="1">
        <cfvo type="num" val="0"/>
        <cfvo type="num" val="12"/>
        <color rgb="005B9BD5"/>
      </dataBar>
    </cfRule>
  </conditionalFormatting>
  <conditionalFormatting sqref="O7:O29">
    <cfRule type="dataBar" priority="2">
      <dataBar showValue="1">
        <cfvo type="num" val="0"/>
        <cfvo type="num" val="12"/>
        <color rgb="005B9BD5"/>
      </dataBar>
    </cfRule>
  </conditionalFormatting>
  <conditionalFormatting sqref="P7:P29">
    <cfRule type="dataBar" priority="3">
      <dataBar showValue="1">
        <cfvo type="num" val="0"/>
        <cfvo type="num" val="12"/>
        <color rgb="005B9BD5"/>
      </dataBar>
    </cfRule>
  </conditionalFormatting>
  <conditionalFormatting sqref="Q7:Q29">
    <cfRule type="dataBar" priority="4">
      <dataBar showValue="1">
        <cfvo type="num" val="0"/>
        <cfvo type="num" val="12"/>
        <color rgb="005B9BD5"/>
      </dataBar>
    </cfRule>
  </conditionalFormatting>
  <conditionalFormatting sqref="R7:R29">
    <cfRule type="dataBar" priority="5">
      <dataBar showValue="1">
        <cfvo type="num" val="0"/>
        <cfvo type="num" val="12"/>
        <color rgb="005B9BD5"/>
      </dataBar>
    </cfRule>
  </conditionalFormatting>
  <conditionalFormatting sqref="S7:S29">
    <cfRule type="dataBar" priority="6">
      <dataBar showValue="1">
        <cfvo type="num" val="0"/>
        <cfvo type="num" val="12"/>
        <color rgb="005B9BD5"/>
      </dataBar>
    </cfRule>
  </conditionalFormatting>
  <conditionalFormatting sqref="M7:M29">
    <cfRule type="dataBar" priority="7">
      <dataBar showValue="1">
        <cfvo type="num" val="0"/>
        <cfvo type="num" val="12"/>
        <color rgb="00A9D08E"/>
      </dataBar>
    </cfRule>
  </conditionalFormatting>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5B6"/>
    <outlinePr summaryBelow="1" summaryRight="1"/>
    <pageSetUpPr fitToPage="1"/>
  </sheetPr>
  <dimension ref="A1:J57"/>
  <sheetViews>
    <sheetView showGridLines="0" workbookViewId="0">
      <pane ySplit="7" topLeftCell="A8" activePane="bottomLeft" state="frozen"/>
      <selection pane="bottomLeft" activeCell="A1" sqref="A1"/>
    </sheetView>
  </sheetViews>
  <sheetFormatPr baseColWidth="8" defaultRowHeight="15"/>
  <cols>
    <col width="20" customWidth="1" min="1" max="1"/>
    <col width="16" customWidth="1" min="2" max="2"/>
    <col width="14" customWidth="1" min="3" max="3"/>
    <col width="10" customWidth="1" min="4" max="4"/>
    <col width="10" customWidth="1" min="5" max="5"/>
    <col width="10" customWidth="1" min="6" max="6"/>
    <col width="30" customWidth="1" min="7" max="7"/>
    <col width="30" customWidth="1" min="8" max="8"/>
    <col width="13" customWidth="1" min="9" max="9"/>
    <col hidden="1" width="13" customWidth="1" min="10" max="10"/>
  </cols>
  <sheetData>
    <row r="1" ht="34" customHeight="1">
      <c r="A1" s="1" t="inlineStr">
        <is>
          <t>Person card — one person's placement on one page</t>
        </is>
      </c>
      <c r="I1" s="232" t="inlineStr">
        <is>
          <t>◂ Contents</t>
        </is>
      </c>
    </row>
    <row r="2" ht="46" customHeight="1">
      <c r="A2" s="3" t="inlineStr">
        <is>
          <r>
            <rPr>
              <rFont val="Calibri"/>
              <b val="1"/>
              <i val="1"/>
              <color rgb="00404040"/>
              <sz val="10"/>
            </rPr>
            <t>Sheet 1b · Find a person:</t>
          </r>
          <r>
            <rPr>
              <rFont val="Calibri"/>
              <i val="1"/>
              <color rgb="00404040"/>
              <sz val="10"/>
            </rPr>
            <t xml:space="preserve"> paste or type an Emp ID, or pick Department → Name from the yellow drop-downs — type part of a word in the Search box beside a drop-down to shorten its list. Everything below fills in from sheet 2: the role before and after, the six ratings as bars with weights and points, the score and the level, the rules applied, the justification for each rating and the evidence.</t>
          </r>
        </is>
      </c>
    </row>
    <row r="3">
      <c r="A3" s="4" t="inlineStr">
        <is>
          <t>IRIS · Job Architecture &amp; Job Design · Final v1.12 · October 2026 · Internal — Confidential</t>
        </is>
      </c>
    </row>
    <row r="4"/>
    <row r="5" ht="22" customHeight="1">
      <c r="A5" s="208" t="inlineStr">
        <is>
          <t>Department</t>
        </is>
      </c>
      <c r="B5" s="209" t="inlineStr">
        <is>
          <t>Digitizing</t>
        </is>
      </c>
      <c r="E5" s="210" t="inlineStr">
        <is>
          <t>Search ▸</t>
        </is>
      </c>
      <c r="F5" s="211" t="n"/>
      <c r="G5" s="212" t="inlineStr">
        <is>
          <t>Showing  ▸</t>
        </is>
      </c>
      <c r="H5" s="213" t="str">
        <f>IFERROR(INDEX('2. Talent Mapping'!$B$7:$B$29,$J$7),"")</f>
        <v>Aniket Manval</v>
      </c>
      <c r="J5" t="inlineStr">
        <is>
          <t>Consume</t>
        </is>
      </c>
    </row>
    <row r="6" ht="22" customHeight="1">
      <c r="A6" s="208" t="inlineStr">
        <is>
          <t>Name</t>
        </is>
      </c>
      <c r="B6" s="209" t="inlineStr">
        <is>
          <t>Aniket Manval</t>
        </is>
      </c>
      <c r="E6" s="210" t="inlineStr">
        <is>
          <t>Search ▸</t>
        </is>
      </c>
      <c r="F6" s="211" t="n"/>
      <c r="G6" s="11" t="n"/>
      <c r="H6" s="214" t="str">
        <f>IF($J$7="","No match — check the Emp ID" &amp; IF(COUNTA(PC_Products)=1," · this file holds one product only","") &amp; ", or clear it and pick a name",IF(LEFT($J$6,3)="No ",$J$6,"Emp ID "&amp;$J$6)&amp;IF($B$7&lt;&gt;""," · by Emp ID"," · by name"))</f>
        <v>Emp ID IRIS0110 · by name</v>
      </c>
      <c r="J6" t="str">
        <f>IF(TRIM($B$7)&lt;&gt;"",TRIM($B$7),IFERROR(INDEX(PC_NKIds,MATCH($J$5&amp;"|"&amp;$B$5&amp;"|"&amp;$B$6,PC_NK,0)),""))</f>
        <v>IRIS0110</v>
      </c>
    </row>
    <row r="7" ht="22" customHeight="1">
      <c r="A7" s="208" t="inlineStr">
        <is>
          <t>Emp ID — paste or type</t>
        </is>
      </c>
      <c r="B7" s="209" t="n"/>
      <c r="J7">
        <f>IFERROR(INDEX(PC_NKRow,MATCH($J$6,PC_NKIds,0)),"")</f>
        <v>3</v>
      </c>
    </row>
    <row r="8">
      <c r="A8" s="11" t="inlineStr">
        <is>
          <t>Paste or type an Emp ID — any person, any product, upper or lower case — or leave it blank and pick Department → Name. To shorten a drop-down, type part of a word in its Search box first. A typed Emp ID wins — clear it to pick by name.</t>
        </is>
      </c>
    </row>
    <row r="9"/>
    <row r="10" ht="20" customHeight="1">
      <c r="A10" s="215" t="inlineStr">
        <is>
          <t>WHO</t>
        </is>
      </c>
    </row>
    <row r="11">
      <c r="A11" s="216" t="inlineStr">
        <is>
          <t>Business</t>
        </is>
      </c>
      <c r="C11" s="199" t="inlineStr">
        <is>
          <t>Consume</t>
        </is>
      </c>
      <c r="E11" s="216" t="inlineStr">
        <is>
          <t>Department</t>
        </is>
      </c>
      <c r="G11" s="199" t="str">
        <f>IFERROR(INDEX('2. Talent Mapping'!$C$7:$C$29,$J$7),"")</f>
        <v>Digitizing</v>
      </c>
    </row>
    <row r="12">
      <c r="A12" s="216" t="inlineStr">
        <is>
          <t>Reporting manager</t>
        </is>
      </c>
      <c r="C12" s="199" t="str">
        <f>IFERROR(INDEX('2. Talent Mapping'!$D$7:$D$29,$J$7),"")</f>
        <v>Shraddha Patil</v>
      </c>
      <c r="E12" s="216" t="inlineStr">
        <is>
          <t>Qualification</t>
        </is>
      </c>
      <c r="G12" s="199" t="str">
        <f>IFERROR(INDEX('2. Talent Mapping'!$G$7:$G$29,$J$7),"")</f>
        <v>Undergraduate</v>
      </c>
    </row>
    <row r="13">
      <c r="A13" s="216" t="inlineStr">
        <is>
          <t>Total experience · yrs</t>
        </is>
      </c>
      <c r="C13" s="199">
        <f>IFERROR(INDEX('2. Talent Mapping'!$E$7:$E$29,$J$7),"")</f>
        <v>19.4</v>
      </c>
      <c r="E13" s="216" t="inlineStr">
        <is>
          <t>Experience at IRIS · yrs</t>
        </is>
      </c>
      <c r="G13" s="199">
        <f>IFERROR(INDEX('2. Talent Mapping'!$F$7:$F$29,$J$7),"")</f>
        <v>19.1</v>
      </c>
    </row>
    <row r="14"/>
    <row r="15" ht="20" customHeight="1">
      <c r="A15" s="215" t="inlineStr">
        <is>
          <t>ROLE — BEFORE → AFTER</t>
        </is>
      </c>
    </row>
    <row r="16">
      <c r="A16" s="216" t="inlineStr">
        <is>
          <t>Current designation</t>
        </is>
      </c>
      <c r="C16" s="199" t="str">
        <f>IFERROR(INDEX('2. Talent Mapping'!$H$7:$H$29,$J$7),"")</f>
        <v>Image Processing Specialist</v>
      </c>
      <c r="E16" s="216" t="inlineStr">
        <is>
          <t>Final designation</t>
        </is>
      </c>
      <c r="G16" s="199" t="str">
        <f>IFERROR(INDEX('2. Talent Mapping'!$I$7:$I$29,$J$7),"")</f>
        <v>Senior Digitization Associate</v>
      </c>
    </row>
    <row r="17">
      <c r="A17" s="216" t="inlineStr">
        <is>
          <t>Current level</t>
        </is>
      </c>
      <c r="C17" s="199" t="str">
        <f>IFERROR(INDEX('2. Talent Mapping'!$L$7:$L$29,$J$7),"")</f>
        <v>L3 – Professional / Associate</v>
      </c>
      <c r="E17" s="216" t="inlineStr">
        <is>
          <t>FINAL LEVEL</t>
        </is>
      </c>
      <c r="G17" s="199" t="str">
        <f>IFERROR(INDEX('2. Talent Mapping'!$M$7:$M$29,$J$7),"")</f>
        <v>A3</v>
      </c>
    </row>
    <row r="18">
      <c r="A18" s="216" t="inlineStr">
        <is>
          <t>Level title</t>
        </is>
      </c>
      <c r="C18" s="199" t="str">
        <f>IFERROR(INDEX('2. Talent Mapping'!$N$7:$N$29,$J$7),"")</f>
        <v>Senior Associate</v>
      </c>
      <c r="E18" s="216" t="inlineStr">
        <is>
          <t>Band</t>
        </is>
      </c>
      <c r="G18" s="199" t="str">
        <f>IFERROR(INDEX('2. Talent Mapping'!$O$7:$O$29,$J$7),"")</f>
        <v>A</v>
      </c>
    </row>
    <row r="19">
      <c r="A19" s="216" t="inlineStr">
        <is>
          <t>Job family</t>
        </is>
      </c>
      <c r="C19" s="199" t="str">
        <f>IFERROR(INDEX('2. Talent Mapping'!$J$7:$J$29,$J$7),"")</f>
        <v>Data Operations &amp; Digitization</v>
      </c>
      <c r="E19" s="216" t="inlineStr">
        <is>
          <t>Sub-family</t>
        </is>
      </c>
      <c r="G19" s="199" t="str">
        <f>IFERROR(INDEX('2. Talent Mapping'!$K$7:$K$29,$J$7),"")</f>
        <v>Document Conversion, Formatting &amp; Web Publishing</v>
      </c>
    </row>
    <row r="20">
      <c r="A20" s="216" t="inlineStr">
        <is>
          <t>Track</t>
        </is>
      </c>
      <c r="C20" s="199" t="str">
        <f>IFERROR(INDEX('2. Talent Mapping'!$P$7:$P$29,$J$7),"")</f>
        <v>IC</v>
      </c>
      <c r="E20" s="216" t="inlineStr">
        <is>
          <t>Change vs current</t>
        </is>
      </c>
      <c r="G20" s="199" t="str">
        <f>IFERROR(INDEX('2. Talent Mapping'!$Q$7:$Q$29,$J$7),"")</f>
        <v>▲ Up</v>
      </c>
    </row>
    <row r="21"/>
    <row r="22" ht="210" customHeight="1">
      <c r="A22" s="216" t="inlineStr">
        <is>
          <t>WHAT THEY DO — role, responsibilities &amp; competencies required</t>
        </is>
      </c>
      <c r="B22" s="199" t="str">
        <f>IFERROR(IF(INDEX('2. Talent Mapping'!$R$7:$R$29,$J$7)="","—",INDEX('2. Talent Mapping'!$R$7:$R$29,$J$7)),"")</f>
        <v>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v>
      </c>
    </row>
    <row r="23" ht="120" customHeight="1">
      <c r="A23" s="216" t="inlineStr">
        <is>
          <t>BUSINESS IMPACT — from survey and data</t>
        </is>
      </c>
      <c r="B23" s="199" t="str">
        <f>IFERROR(IF(INDEX('2. Talent Mapping'!$S$7:$S$29,$J$7)="","—",INDEX('2. Talent Mapping'!$S$7:$S$29,$J$7)),"")</f>
        <v>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v>
      </c>
    </row>
    <row r="24" ht="45" customHeight="1">
      <c r="A24" s="216" t="inlineStr">
        <is>
          <t>BUSINESS IMPACT — from manager / head</t>
        </is>
      </c>
      <c r="B24" s="199" t="str">
        <f>IFERROR(IF(INDEX('2. Talent Mapping'!$T$7:$T$29,$J$7)="","—",INDEX('2. Talent Mapping'!$T$7:$T$29,$J$7)),"")</f>
        <v>—</v>
      </c>
    </row>
    <row r="25" ht="20" customHeight="1">
      <c r="A25" s="215" t="inlineStr">
        <is>
          <t>RECRUITMENT — FIND A REPLACEMENT FOR THIS ROLE</t>
        </is>
      </c>
    </row>
    <row r="26" ht="120" customHeight="1">
      <c r="A26" s="216" t="inlineStr">
        <is>
          <t>What they do · simple</t>
        </is>
      </c>
      <c r="B26" s="199" t="str">
        <f>IFERROR(IF(INDEX('2. Talent Mapping'!$U$7:$U$29,$J$7)="","—",INDEX('2. Talent Mapping'!$U$7:$U$29,$J$7)),"")</f>
        <v>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v>
      </c>
    </row>
    <row r="27" ht="120" customHeight="1">
      <c r="A27" s="216" t="inlineStr">
        <is>
          <t>Hire equivalent · external market</t>
        </is>
      </c>
      <c r="B27" s="199" t="str">
        <f>IFERROR(IF(INDEX('2. Talent Mapping'!$V$7:$V$29,$J$7)="","—",INDEX('2. Talent Mapping'!$V$7:$V$29,$J$7)),"")</f>
        <v>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v>
      </c>
    </row>
    <row r="28" ht="330" customHeight="1">
      <c r="A28" s="216" t="inlineStr">
        <is>
          <t>Competencies &amp; skill level to hire for</t>
        </is>
      </c>
      <c r="B28" s="199" t="str">
        <f>IFERROR(IF(INDEX('2. Talent Mapping'!$W$7:$W$29,$J$7)="","—",INDEX('2. Talent Mapping'!$W$7:$W$29,$J$7)),"")</f>
        <v>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v>
      </c>
    </row>
    <row r="29" ht="330" customHeight="1">
      <c r="A29" s="216" t="inlineStr">
        <is>
          <t>Interview questions for the perfect fit</t>
        </is>
      </c>
      <c r="B29" s="199" t="str">
        <f>IFERROR(IF(INDEX('2. Talent Mapping'!$X$7:$X$29,$J$7)="","—",INDEX('2. Talent Mapping'!$X$7:$X$29,$J$7)),"")</f>
        <v>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v>
      </c>
    </row>
    <row r="30" ht="20" customHeight="1">
      <c r="A30" s="215" t="inlineStr">
        <is>
          <t>HOW THE LEVEL IS WORKED OUT</t>
        </is>
      </c>
    </row>
    <row r="31">
      <c r="A31" s="217" t="inlineStr">
        <is>
          <t>Factor</t>
        </is>
      </c>
      <c r="B31" s="217" t="inlineStr">
        <is>
          <t>Rating</t>
        </is>
      </c>
      <c r="C31" s="217" t="inlineStr">
        <is>
          <t>Bar</t>
        </is>
      </c>
      <c r="E31" s="217" t="inlineStr">
        <is>
          <t>Weight</t>
        </is>
      </c>
      <c r="F31" s="217" t="inlineStr">
        <is>
          <t>Points</t>
        </is>
      </c>
    </row>
    <row r="32">
      <c r="A32" s="216" t="inlineStr">
        <is>
          <t>Complexity &amp; Expertise</t>
        </is>
      </c>
      <c r="B32" s="218">
        <f>IFERROR(INDEX('2. Talent Mapping'!$Z$7:$Z$29,$J$7),"")</f>
        <v>2.5</v>
      </c>
      <c r="C32" s="219" t="str">
        <f>IF(B32="","",REPT("█",ROUND(B32,0))&amp;REPT("░",12-ROUND(B32,0)))</f>
        <v>███░░░░░░░░░</v>
      </c>
      <c r="E32" s="220">
        <f>IFERROR(INDEX('2. Talent Mapping'!$AA$7:$AA$29,$J$7),"")</f>
        <v>0.54</v>
      </c>
      <c r="F32" s="221">
        <f>IF(OR(B32="",E32=""),"",B32*E32)</f>
        <v>1.35</v>
      </c>
    </row>
    <row r="33">
      <c r="A33" s="216" t="inlineStr">
        <is>
          <t>Autonomy &amp; Decision</t>
        </is>
      </c>
      <c r="B33" s="218">
        <f>IFERROR(INDEX('2. Talent Mapping'!$AC$7:$AC$29,$J$7),"")</f>
        <v>2.5</v>
      </c>
      <c r="C33" s="219" t="str">
        <f>IF(B33="","",REPT("█",ROUND(B33,0))&amp;REPT("░",12-ROUND(B33,0)))</f>
        <v>███░░░░░░░░░</v>
      </c>
      <c r="E33" s="220">
        <f>IFERROR(INDEX('2. Talent Mapping'!$AD$7:$AD$29,$J$7),"")</f>
        <v>0.16</v>
      </c>
      <c r="F33" s="221">
        <f>IF(OR(B33="",E33=""),"",B33*E33)</f>
        <v>0.4</v>
      </c>
    </row>
    <row r="34">
      <c r="A34" s="216" t="inlineStr">
        <is>
          <t>Accountability &amp; Impact</t>
        </is>
      </c>
      <c r="B34" s="218">
        <f>IFERROR(INDEX('2. Talent Mapping'!$AF$7:$AF$29,$J$7),"")</f>
        <v>2.5</v>
      </c>
      <c r="C34" s="219" t="str">
        <f>IF(B34="","",REPT("█",ROUND(B34,0))&amp;REPT("░",12-ROUND(B34,0)))</f>
        <v>███░░░░░░░░░</v>
      </c>
      <c r="E34" s="220">
        <f>IFERROR(INDEX('2. Talent Mapping'!$AG$7:$AG$29,$J$7),"")</f>
        <v>0.14</v>
      </c>
      <c r="F34" s="221">
        <f>IF(OR(B34="",E34=""),"",B34*E34)</f>
        <v>0.35</v>
      </c>
    </row>
    <row r="35">
      <c r="A35" s="216" t="inlineStr">
        <is>
          <t>Leadership &amp; Strategy</t>
        </is>
      </c>
      <c r="B35" s="218">
        <f>IFERROR(INDEX('2. Talent Mapping'!$AI$7:$AI$29,$J$7),"")</f>
        <v>1.5</v>
      </c>
      <c r="C35" s="219" t="str">
        <f>IF(B35="","",REPT("█",ROUND(B35,0))&amp;REPT("░",12-ROUND(B35,0)))</f>
        <v>██░░░░░░░░░░</v>
      </c>
      <c r="E35" s="220">
        <f>IFERROR(INDEX('2. Talent Mapping'!$AJ$7:$AJ$29,$J$7),"")</f>
        <v>0</v>
      </c>
      <c r="F35" s="221">
        <f>IF(OR(B35="",E35=""),"",B35*E35)</f>
        <v>0</v>
      </c>
    </row>
    <row r="36">
      <c r="A36" s="216" t="inlineStr">
        <is>
          <t>Experience &amp; Qualification</t>
        </is>
      </c>
      <c r="B36" s="218">
        <f>IFERROR(INDEX('2. Talent Mapping'!$AL$7:$AL$29,$J$7),"")</f>
        <v>9</v>
      </c>
      <c r="C36" s="219" t="str">
        <f>IF(B36="","",REPT("█",ROUND(B36,0))&amp;REPT("░",12-ROUND(B36,0)))</f>
        <v>█████████░░░</v>
      </c>
      <c r="E36" s="220">
        <f>IFERROR(INDEX('2. Talent Mapping'!$AM$7:$AM$29,$J$7),"")</f>
        <v>0.1</v>
      </c>
      <c r="F36" s="221">
        <f>IF(OR(B36="",E36=""),"",B36*E36)</f>
        <v>0.9</v>
      </c>
    </row>
    <row r="37">
      <c r="A37" s="216" t="inlineStr">
        <is>
          <t>Business Impact</t>
        </is>
      </c>
      <c r="B37" s="218">
        <f>IFERROR(INDEX('2. Talent Mapping'!$AO$7:$AO$29,$J$7),"")</f>
        <v>3</v>
      </c>
      <c r="C37" s="219" t="str">
        <f>IF(B37="","",REPT("█",ROUND(B37,0))&amp;REPT("░",12-ROUND(B37,0)))</f>
        <v>███░░░░░░░░░</v>
      </c>
      <c r="E37" s="220">
        <f>IFERROR(INDEX('2. Talent Mapping'!$AP$7:$AP$29,$J$7),"")</f>
        <v>0.06</v>
      </c>
      <c r="F37" s="221">
        <f>IF(OR(B37="",E37=""),"",B37*E37)</f>
        <v>0.18</v>
      </c>
    </row>
    <row r="38">
      <c r="A38" s="222" t="inlineStr">
        <is>
          <t>Weighted score</t>
        </is>
      </c>
      <c r="F38" s="223">
        <f>IF(COUNT(F32:F37)=6,SUM(F32:F37),"Placed by rule")</f>
        <v>3.18</v>
      </c>
    </row>
    <row r="39">
      <c r="A39" s="222" t="inlineStr">
        <is>
          <t>Level the score indicates</t>
        </is>
      </c>
      <c r="F39" s="224" t="str">
        <f>IFERROR(INDEX('2. Talent Mapping'!$AS$7:$AS$29,$J$7),"")</f>
        <v>A3</v>
      </c>
    </row>
    <row r="40">
      <c r="A40" s="222" t="inlineStr">
        <is>
          <t>FINAL LEVEL</t>
        </is>
      </c>
      <c r="F40" s="224" t="str">
        <f>IFERROR(INDEX('2. Talent Mapping'!$M$7:$M$29,$J$7),"")</f>
        <v>A3</v>
      </c>
    </row>
    <row r="41"/>
    <row r="42" ht="60" customHeight="1">
      <c r="A42" s="216" t="inlineStr">
        <is>
          <t>Why these weights</t>
        </is>
      </c>
      <c r="B42" s="199" t="str">
        <f>IFERROR(IF(INDEX('2. Talent Mapping'!$AT$7:$AT$29,$J$7)="","—",INDEX('2. Talent Mapping'!$AT$7:$AT$29,$J$7)),"")</f>
        <v>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v>
      </c>
    </row>
    <row r="43" ht="60" customHeight="1">
      <c r="A43" s="216" t="inlineStr">
        <is>
          <t>Calculation</t>
        </is>
      </c>
      <c r="B43" s="199" t="str">
        <f>IFERROR(IF(INDEX('2. Talent Mapping'!$AU$7:$AU$29,$J$7)="","—",INDEX('2. Talent Mapping'!$AU$7:$AU$29,$J$7)),"")</f>
        <v>At build: Complexity 1.35 + Autonomy 0.40 + Accountability 0.35 + Leadership 0.00 + Experience 0.90 + Business impact 0.18
= 3.18 points → nearest level 3 = A3
Final level: A3 · same as the score</v>
      </c>
    </row>
    <row r="44" ht="60" customHeight="1">
      <c r="A44" s="216" t="inlineStr">
        <is>
          <t>Rules applied — with the numbers</t>
        </is>
      </c>
      <c r="B44" s="199" t="str">
        <f>IFERROR(IF(INDEX('2. Talent Mapping'!$AV$7:$AV$29,$J$7)="","—",INDEX('2. Talent Mapping'!$AV$7:$AV$29,$J$7)),"")</f>
        <v>No rule applied: the score decides.</v>
      </c>
    </row>
    <row r="45" ht="20" customHeight="1">
      <c r="A45" s="215" t="inlineStr">
        <is>
          <t>JUSTIFICATION FOR EACH RATING</t>
        </is>
      </c>
    </row>
    <row r="46" ht="105" customHeight="1">
      <c r="A46" s="216" t="inlineStr">
        <is>
          <t>Complexity &amp; Expertise</t>
        </is>
      </c>
      <c r="B46" s="199" t="str">
        <f>IFERROR(IF(INDEX('2. Talent Mapping'!$AW$7:$AW$29,$J$7)="","—",INDEX('2. Talent Mapping'!$AW$7:$AW$29,$J$7)),"")</f>
        <v>Rated 2.5 of 12 · between A2 and A3
Start: 3.0 · senior practitioner title
Evidence reads like A2: Uploads content to RBI website from client site; routine publishing task → moved down 0.5
KRA: “1. Complete assigned conversion/formatting tasks with &gt;=99% accuracy · zero critical errors. 2. Meet 100% of client publishing deadlines…”
Market: A2 = Standard work of the discipline · A3 = Varied and non-standard work; handles exceptions</v>
      </c>
    </row>
    <row r="47" ht="105" customHeight="1">
      <c r="A47" s="216" t="inlineStr">
        <is>
          <t>Autonomy &amp; Decision</t>
        </is>
      </c>
      <c r="B47" s="199" t="str">
        <f>IFERROR(IF(INDEX('2. Talent Mapping'!$AX$7:$AX$29,$J$7)="","—",INDEX('2. Talent Mapping'!$AX$7:$AX$29,$J$7)),"")</f>
        <v>Rated 2.5 of 12 · between A2 and A3
Start: 3.0 · senior practitioner title
Evidence reads like A2: Independently uploads content that has already been validated and approved → moved down 0.5
Market: A2 = Chooses own approach within standards · A3 = Technical / QC / client calls on own work</v>
      </c>
    </row>
    <row r="48" ht="105" customHeight="1">
      <c r="A48" s="216" t="inlineStr">
        <is>
          <t>Accountability &amp; Impact</t>
        </is>
      </c>
      <c r="B48" s="199" t="str">
        <f>IFERROR(IF(INDEX('2. Talent Mapping'!$AY$7:$AY$29,$J$7)="","—",INDEX('2. Talent Mapping'!$AY$7:$AY$29,$J$7)),"")</f>
        <v>Rated 2.5 of 12 · between A2 and A3
Start: 3.0 · senior practitioner title
Evidence reads like A2: Own uploads; says errors are 'usually easy to fix' by revising → moved down 0.5
KRA: “1. Complete assigned conversion/formatting tasks with &gt;=99% accuracy · zero critical errors. 2. Meet 100% of client publishing deadlines…”
Market: A2 = Own deliverables · accuracy, TAT · A3 = A module / process, or work with client or regulatory consequences</v>
      </c>
    </row>
    <row r="49" ht="105" customHeight="1">
      <c r="A49" s="216" t="inlineStr">
        <is>
          <t>Leadership &amp; Strategy</t>
        </is>
      </c>
      <c r="B49" s="199" t="str">
        <f>IFERROR(IF(INDEX('2. Talent Mapping'!$AZ$7:$AZ$29,$J$7)="","—",INDEX('2. Talent Mapping'!$AZ$7:$AZ$29,$J$7)),"")</f>
        <v>Rated 1.5 of 12 · between A1 and A2 — not counted: the weight is 0% at this level
Start: 2.0 · individual contributor, so influence only
Evidence reads like A1: No guidance or leadership of others described → moved down 0.5
Team: 0 direct reports · IC
Market: A1–A2 = Not scored in Band A</v>
      </c>
    </row>
    <row r="50" ht="105" customHeight="1">
      <c r="A50" s="216" t="inlineStr">
        <is>
          <t>Experience &amp; Qualification</t>
        </is>
      </c>
      <c r="B50" s="199" t="str">
        <f>IFERROR(IF(INDEX('2. Talent Mapping'!$BA$7:$BA$29,$J$7)="","—",INDEX('2. Talent Mapping'!$BA$7:$BA$29,$J$7)),"")</f>
        <v>Rated 9 of 12
Experience: 19.4 yrs total · 0.3 before IRIS + 19.1 at IRIS = 9.5 on the experience scale
Qualification: Undergraduate · below graduate → −0.5
Market: A3 roles typically have 2–5 yrs · IRIS guide 2–4</v>
      </c>
    </row>
    <row r="51" ht="105" customHeight="1">
      <c r="A51" s="216" t="inlineStr">
        <is>
          <t>Business Impact</t>
        </is>
      </c>
      <c r="B51" s="199" t="str">
        <f>IFERROR(IF(INDEX('2. Talent Mapping'!$BB$7:$BB$29,$J$7)="","—",INDEX('2. Talent Mapping'!$BB$7:$BB$29,$J$7)),"")</f>
        <v>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v>
      </c>
    </row>
    <row r="52" ht="20" customHeight="1">
      <c r="A52" s="215" t="inlineStr">
        <is>
          <t>EVIDENCE, MARKET AND POINTS TO CONFIRM</t>
        </is>
      </c>
    </row>
    <row r="53" ht="45" customHeight="1">
      <c r="A53" s="216" t="inlineStr">
        <is>
          <t>Data used</t>
        </is>
      </c>
      <c r="B53" s="199" t="str">
        <f>IFERROR(IF(INDEX('2. Talent Mapping'!$BD$7:$BD$29,$J$7)="","—",INDEX('2. Talent Mapping'!$BD$7:$BD$29,$J$7)),"")</f>
        <v>✓ HRIS: 19.4 yrs, Undergraduate, 0 direct reports
✓ Survey: 20 of 20 questions answered
✓ KRAs: submitted, reported deliverables
✓ Manager mapping: rating, potential, 9-box
✗ Job description: not on file</v>
      </c>
    </row>
    <row r="54" ht="45" customHeight="1">
      <c r="A54" s="216" t="inlineStr">
        <is>
          <t>Market standard</t>
        </is>
      </c>
      <c r="B54" s="199" t="str">
        <f>IFERROR(IF(INDEX('2. Talent Mapping'!$BE$7:$BE$29,$J$7)="","—",INDEX('2. Talent Mapping'!$BE$7:$BE$29,$J$7)),"")</f>
        <v>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v>
      </c>
    </row>
    <row r="55" ht="45" customHeight="1">
      <c r="A55" s="216" t="inlineStr">
        <is>
          <t>Confidence</t>
        </is>
      </c>
      <c r="B55" s="199" t="str">
        <f>IFERROR(IF(INDEX('2. Talent Mapping'!$BF$7:$BF$29,$J$7)="","—",INDEX('2. Talent Mapping'!$BF$7:$BF$29,$J$7)),"")</f>
        <v>Medium</v>
      </c>
    </row>
    <row r="56" ht="45" customHeight="1">
      <c r="A56" s="216" t="inlineStr">
        <is>
          <t>Points to confirm</t>
        </is>
      </c>
      <c r="B56" s="199" t="str">
        <f>IFERROR(IF(INDEX('2. Talent Mapping'!$BG$7:$BG$29,$J$7)="","—",INDEX('2. Talent Mapping'!$BG$7:$BG$29,$J$7)),"")</f>
        <v>• 19.4 yrs of experience in a role that reads as Band A work — a career-path question for the manager: can the role be widened · Specialist, B1 or is it correctly sized?</v>
      </c>
    </row>
    <row r="57" ht="45" customHeight="1">
      <c r="A57" s="216" t="inlineStr">
        <is>
          <t>Inputs still needed</t>
        </is>
      </c>
      <c r="B57" s="199" t="str">
        <f>IFERROR(IF(INDEX('2. Talent Mapping'!$BC$7:$BC$29,$J$7)="","—",INDEX('2. Talent Mapping'!$BC$7:$BC$29,$J$7)),"")</f>
        <v>—</v>
      </c>
    </row>
  </sheetData>
  <mergeCells count="73">
    <mergeCell ref="E12:F12"/>
    <mergeCell ref="C34:D34"/>
    <mergeCell ref="G12:H12"/>
    <mergeCell ref="A30:H30"/>
    <mergeCell ref="A15:H15"/>
    <mergeCell ref="C33:D33"/>
    <mergeCell ref="B49:H49"/>
    <mergeCell ref="A11:B11"/>
    <mergeCell ref="G11:H11"/>
    <mergeCell ref="B55:H55"/>
    <mergeCell ref="B24:H24"/>
    <mergeCell ref="A1:H1"/>
    <mergeCell ref="A45:H45"/>
    <mergeCell ref="E17:F17"/>
    <mergeCell ref="B51:H51"/>
    <mergeCell ref="G17:H17"/>
    <mergeCell ref="C35:D35"/>
    <mergeCell ref="C20:D20"/>
    <mergeCell ref="A16:B16"/>
    <mergeCell ref="E20:F20"/>
    <mergeCell ref="B26:H26"/>
    <mergeCell ref="C16:D16"/>
    <mergeCell ref="B50:H50"/>
    <mergeCell ref="A25:H25"/>
    <mergeCell ref="E19:F19"/>
    <mergeCell ref="G19:H19"/>
    <mergeCell ref="B47:H47"/>
    <mergeCell ref="B54:H54"/>
    <mergeCell ref="E13:F13"/>
    <mergeCell ref="G13:H13"/>
    <mergeCell ref="A18:B18"/>
    <mergeCell ref="G18:H18"/>
    <mergeCell ref="C31:D31"/>
    <mergeCell ref="B6:D6"/>
    <mergeCell ref="A12:B12"/>
    <mergeCell ref="B46:H46"/>
    <mergeCell ref="B22:H22"/>
    <mergeCell ref="C12:D12"/>
    <mergeCell ref="A3:H3"/>
    <mergeCell ref="B5:D5"/>
    <mergeCell ref="B27:H27"/>
    <mergeCell ref="B56:H56"/>
    <mergeCell ref="C11:D11"/>
    <mergeCell ref="A2:H2"/>
    <mergeCell ref="B43:H43"/>
    <mergeCell ref="E11:F11"/>
    <mergeCell ref="C36:D36"/>
    <mergeCell ref="B48:H48"/>
    <mergeCell ref="A17:B17"/>
    <mergeCell ref="B42:H42"/>
    <mergeCell ref="B7:D7"/>
    <mergeCell ref="C17:D17"/>
    <mergeCell ref="A8:H8"/>
    <mergeCell ref="B23:H23"/>
    <mergeCell ref="A20:B20"/>
    <mergeCell ref="G20:H20"/>
    <mergeCell ref="C32:D32"/>
    <mergeCell ref="E16:F16"/>
    <mergeCell ref="B57:H57"/>
    <mergeCell ref="G16:H16"/>
    <mergeCell ref="A19:B19"/>
    <mergeCell ref="B44:H44"/>
    <mergeCell ref="B53:H53"/>
    <mergeCell ref="C19:D19"/>
    <mergeCell ref="A10:H10"/>
    <mergeCell ref="C37:D37"/>
    <mergeCell ref="A52:H52"/>
    <mergeCell ref="A13:B13"/>
    <mergeCell ref="C13:D13"/>
    <mergeCell ref="B29:H29"/>
    <mergeCell ref="C18:D18"/>
    <mergeCell ref="E18:F18"/>
    <mergeCell ref="B28:H28"/>
  </mergeCells>
  <dataValidations count="2">
    <dataValidation sqref="B5" showDropDown="0" showInputMessage="0" showErrorMessage="0" allowBlank="1" type="list">
      <formula1>PC_DeptF</formula1>
    </dataValidation>
    <dataValidation sqref="B6" showDropDown="0" showInputMessage="0" showErrorMessage="0" allowBlank="1" type="list">
      <formula1>PC_NameF</formula1>
    </dataValidation>
  </dataValidation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2E75B6"/>
    <outlinePr summaryBelow="1" summaryRight="1"/>
    <pageSetUpPr fitToPage="1"/>
  </sheetPr>
  <dimension ref="A1:Z83"/>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232" t="inlineStr">
        <is>
          <t>◂ Contents</t>
        </is>
      </c>
    </row>
    <row r="2" ht="30" customHeight="1">
      <c r="A2" s="3" t="inlineStr">
        <is>
          <t>1d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46" t="inlineStr">
        <is>
          <t>Experience &amp; Qualification weight — Bands A–B</t>
        </is>
      </c>
      <c r="B6" s="225" t="n">
        <v>10</v>
      </c>
      <c r="C6" s="11" t="inlineStr">
        <is>
          <t>Band A, Band B and B+ · Corporate functions rows add 5 for professional qualifications</t>
        </is>
      </c>
    </row>
    <row r="7">
      <c r="A7" s="46" t="inlineStr">
        <is>
          <t>Experience &amp; Qualification weight — Bands C–E</t>
        </is>
      </c>
      <c r="B7" s="225" t="n">
        <v>5</v>
      </c>
      <c r="C7" s="11" t="inlineStr">
        <is>
          <t>Band C, C+ and Bands D–E · Corporate functions rows add 5 for professional qualifications</t>
        </is>
      </c>
    </row>
    <row r="8">
      <c r="A8" s="11"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199" t="inlineStr">
        <is>
          <t>1. Find your department and role group in the matrix below · filter the Department column.</t>
        </is>
      </c>
    </row>
    <row r="12">
      <c r="A12" s="199" t="inlineStr">
        <is>
          <t>2. Change the yellow weights in steps of 5%. Each row should add up to about 100% — the 'Used' columns show the weights actually applied.</t>
        </is>
      </c>
    </row>
    <row r="13">
      <c r="A13" s="199" t="inlineStr">
        <is>
          <t>3. Look at sheet 2: points, the score and 'Level the score indicates' have already changed for everyone in that department and role group.</t>
        </is>
      </c>
    </row>
    <row r="14">
      <c r="A14" s="199"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92" t="inlineStr">
        <is>
          <t>Weight row</t>
        </is>
      </c>
      <c r="B16" s="92" t="inlineStr">
        <is>
          <t>Business</t>
        </is>
      </c>
      <c r="C16" s="92" t="inlineStr">
        <is>
          <t>Department</t>
        </is>
      </c>
      <c r="D16" s="92" t="inlineStr">
        <is>
          <t>Role group</t>
        </is>
      </c>
      <c r="E16" s="92" t="inlineStr">
        <is>
          <t>People</t>
        </is>
      </c>
      <c r="F16" s="92" t="inlineStr">
        <is>
          <t>Main type of work</t>
        </is>
      </c>
      <c r="G16" s="12" t="inlineStr">
        <is>
          <t>How hard %</t>
        </is>
      </c>
      <c r="H16" s="12" t="inlineStr">
        <is>
          <t>Decides alone %</t>
        </is>
      </c>
      <c r="I16" s="12" t="inlineStr">
        <is>
          <t>Answers for %</t>
        </is>
      </c>
      <c r="J16" s="12" t="inlineStr">
        <is>
          <t>Leads %</t>
        </is>
      </c>
      <c r="K16" s="12" t="inlineStr">
        <is>
          <t>Experience %</t>
        </is>
      </c>
      <c r="L16" s="12" t="inlineStr">
        <is>
          <t>Business impact %</t>
        </is>
      </c>
      <c r="M16" s="12" t="inlineStr">
        <is>
          <t>Entered total</t>
        </is>
      </c>
      <c r="N16" s="92" t="inlineStr">
        <is>
          <t>Used · How hard</t>
        </is>
      </c>
      <c r="O16" s="92" t="inlineStr">
        <is>
          <t>Used · Decides alone</t>
        </is>
      </c>
      <c r="P16" s="92" t="inlineStr">
        <is>
          <t>Used · Answers for</t>
        </is>
      </c>
      <c r="Q16" s="92" t="inlineStr">
        <is>
          <t>Used · Leads</t>
        </is>
      </c>
      <c r="R16" s="92" t="inlineStr">
        <is>
          <t>Used · Experience</t>
        </is>
      </c>
      <c r="S16" s="92" t="inlineStr">
        <is>
          <t>Used · Business impact</t>
        </is>
      </c>
      <c r="T16" s="92" t="inlineStr">
        <is>
          <t>Why changed · leader</t>
        </is>
      </c>
      <c r="U16" s="226" t="inlineStr">
        <is>
          <t>Default · How hard</t>
        </is>
      </c>
      <c r="V16" s="226" t="inlineStr">
        <is>
          <t>Default · Decides alone</t>
        </is>
      </c>
      <c r="W16" s="226" t="inlineStr">
        <is>
          <t>Default · Answers for</t>
        </is>
      </c>
      <c r="X16" s="226" t="inlineStr">
        <is>
          <t>Default · Leads</t>
        </is>
      </c>
      <c r="Y16" s="226" t="inlineStr">
        <is>
          <t>Default · Experience</t>
        </is>
      </c>
      <c r="Z16" s="226" t="inlineStr">
        <is>
          <t>Default · Business impact</t>
        </is>
      </c>
    </row>
    <row r="17" ht="30" customHeight="1">
      <c r="A17" s="16" t="inlineStr">
        <is>
          <t>Consume · Digitizing · Band A · Early career</t>
        </is>
      </c>
      <c r="B17" s="16" t="inlineStr">
        <is>
          <t>Consume</t>
        </is>
      </c>
      <c r="C17" s="16" t="inlineStr">
        <is>
          <t>Digitizing</t>
        </is>
      </c>
      <c r="D17" s="13" t="inlineStr">
        <is>
          <t>Band A · Early career</t>
        </is>
      </c>
      <c r="E17" s="15" t="n">
        <v>7</v>
      </c>
      <c r="F17" s="16" t="inlineStr">
        <is>
          <t>Service delivery &amp; data operations</t>
        </is>
      </c>
      <c r="G17" s="127" t="n">
        <v>54</v>
      </c>
      <c r="H17" s="127" t="n">
        <v>16</v>
      </c>
      <c r="I17" s="127" t="n">
        <v>14</v>
      </c>
      <c r="J17" s="127" t="n">
        <v>0</v>
      </c>
      <c r="K17" s="127">
        <f>WM_EXP_AB</f>
        <v>10</v>
      </c>
      <c r="L17" s="127" t="n">
        <v>6</v>
      </c>
      <c r="M17" s="227">
        <f>SUM(G17:L17)</f>
        <v>100</v>
      </c>
      <c r="N17" s="228">
        <f>IF((G17+H17+I17+J17+L17)=0,0,G17*(100-MAX(0,MIN(100,K17)))/(G17+H17+I17+J17+L17))/100</f>
        <v>0.54</v>
      </c>
      <c r="O17" s="228">
        <f>IF((G17+H17+I17+J17+L17)=0,0,H17*(100-MAX(0,MIN(100,K17)))/(G17+H17+I17+J17+L17))/100</f>
        <v>0.16</v>
      </c>
      <c r="P17" s="228">
        <f>IF((G17+H17+I17+J17+L17)=0,0,I17*(100-MAX(0,MIN(100,K17)))/(G17+H17+I17+J17+L17))/100</f>
        <v>0.14</v>
      </c>
      <c r="Q17" s="228">
        <f>IF((G17+H17+I17+J17+L17)=0,0,J17*(100-MAX(0,MIN(100,K17)))/(G17+H17+I17+J17+L17))/100</f>
        <v>0</v>
      </c>
      <c r="R17" s="228">
        <f>MAX(0,MIN(100,K17))/100</f>
        <v>0.1</v>
      </c>
      <c r="S17" s="228">
        <f>IF((G17+H17+I17+J17+L17)=0,0,L17*(100-MAX(0,MIN(100,K17)))/(G17+H17+I17+J17+L17))/100</f>
        <v>0.06</v>
      </c>
      <c r="T17" s="120" t="n"/>
      <c r="U17" s="229" t="n">
        <v>54</v>
      </c>
      <c r="V17" s="229" t="n">
        <v>16</v>
      </c>
      <c r="W17" s="229" t="n">
        <v>14</v>
      </c>
      <c r="X17" s="229" t="n">
        <v>0</v>
      </c>
      <c r="Y17" s="229" t="n">
        <v>10</v>
      </c>
      <c r="Z17" s="229" t="n">
        <v>6</v>
      </c>
    </row>
    <row r="18" ht="30" customHeight="1">
      <c r="A18" s="16" t="inlineStr">
        <is>
          <t>Consume · Digitizing · Band B · Expert / POD Lead</t>
        </is>
      </c>
      <c r="B18" s="16" t="inlineStr">
        <is>
          <t>Consume</t>
        </is>
      </c>
      <c r="C18" s="16" t="inlineStr">
        <is>
          <t>Digitizing</t>
        </is>
      </c>
      <c r="D18" s="13" t="inlineStr">
        <is>
          <t>Band B · Expert / POD Lead</t>
        </is>
      </c>
      <c r="E18" s="15" t="n">
        <v>1</v>
      </c>
      <c r="F18" s="16" t="inlineStr">
        <is>
          <t>Service delivery &amp; data operations</t>
        </is>
      </c>
      <c r="G18" s="127" t="n">
        <v>46</v>
      </c>
      <c r="H18" s="127" t="n">
        <v>17</v>
      </c>
      <c r="I18" s="127" t="n">
        <v>15</v>
      </c>
      <c r="J18" s="127" t="n">
        <v>5</v>
      </c>
      <c r="K18" s="127">
        <f>WM_EXP_AB</f>
        <v>10</v>
      </c>
      <c r="L18" s="127" t="n">
        <v>7</v>
      </c>
      <c r="M18" s="227">
        <f>SUM(G18:L18)</f>
        <v>100</v>
      </c>
      <c r="N18" s="228">
        <f>IF((G18+H18+I18+J18+L18)=0,0,G18*(100-MAX(0,MIN(100,K18)))/(G18+H18+I18+J18+L18))/100</f>
        <v>0.46</v>
      </c>
      <c r="O18" s="228">
        <f>IF((G18+H18+I18+J18+L18)=0,0,H18*(100-MAX(0,MIN(100,K18)))/(G18+H18+I18+J18+L18))/100</f>
        <v>0.17</v>
      </c>
      <c r="P18" s="228">
        <f>IF((G18+H18+I18+J18+L18)=0,0,I18*(100-MAX(0,MIN(100,K18)))/(G18+H18+I18+J18+L18))/100</f>
        <v>0.15</v>
      </c>
      <c r="Q18" s="228">
        <f>IF((G18+H18+I18+J18+L18)=0,0,J18*(100-MAX(0,MIN(100,K18)))/(G18+H18+I18+J18+L18))/100</f>
        <v>0.05</v>
      </c>
      <c r="R18" s="228">
        <f>MAX(0,MIN(100,K18))/100</f>
        <v>0.1</v>
      </c>
      <c r="S18" s="228">
        <f>IF((G18+H18+I18+J18+L18)=0,0,L18*(100-MAX(0,MIN(100,K18)))/(G18+H18+I18+J18+L18))/100</f>
        <v>0.07</v>
      </c>
      <c r="T18" s="120" t="n"/>
      <c r="U18" s="229" t="n">
        <v>46</v>
      </c>
      <c r="V18" s="229" t="n">
        <v>17</v>
      </c>
      <c r="W18" s="229" t="n">
        <v>15</v>
      </c>
      <c r="X18" s="229" t="n">
        <v>5</v>
      </c>
      <c r="Y18" s="229" t="n">
        <v>10</v>
      </c>
      <c r="Z18" s="229" t="n">
        <v>7</v>
      </c>
    </row>
    <row r="19" ht="30" customHeight="1">
      <c r="A19" s="16" t="inlineStr">
        <is>
          <t>Consume · Digitizing · Band B · People Manager</t>
        </is>
      </c>
      <c r="B19" s="16" t="inlineStr">
        <is>
          <t>Consume</t>
        </is>
      </c>
      <c r="C19" s="16" t="inlineStr">
        <is>
          <t>Digitizing</t>
        </is>
      </c>
      <c r="D19" s="13" t="inlineStr">
        <is>
          <t>Band B · People Manager</t>
        </is>
      </c>
      <c r="E19" s="15" t="n">
        <v>1</v>
      </c>
      <c r="F19" s="16" t="inlineStr">
        <is>
          <t>Service delivery &amp; data operations</t>
        </is>
      </c>
      <c r="G19" s="127" t="n">
        <v>32</v>
      </c>
      <c r="H19" s="127" t="n">
        <v>18</v>
      </c>
      <c r="I19" s="127" t="n">
        <v>16</v>
      </c>
      <c r="J19" s="127" t="n">
        <v>15</v>
      </c>
      <c r="K19" s="127">
        <f>WM_EXP_AB</f>
        <v>10</v>
      </c>
      <c r="L19" s="127" t="n">
        <v>9</v>
      </c>
      <c r="M19" s="227">
        <f>SUM(G19:L19)</f>
        <v>100</v>
      </c>
      <c r="N19" s="228">
        <f>IF((G19+H19+I19+J19+L19)=0,0,G19*(100-MAX(0,MIN(100,K19)))/(G19+H19+I19+J19+L19))/100</f>
        <v>0.32</v>
      </c>
      <c r="O19" s="228">
        <f>IF((G19+H19+I19+J19+L19)=0,0,H19*(100-MAX(0,MIN(100,K19)))/(G19+H19+I19+J19+L19))/100</f>
        <v>0.18</v>
      </c>
      <c r="P19" s="228">
        <f>IF((G19+H19+I19+J19+L19)=0,0,I19*(100-MAX(0,MIN(100,K19)))/(G19+H19+I19+J19+L19))/100</f>
        <v>0.16</v>
      </c>
      <c r="Q19" s="228">
        <f>IF((G19+H19+I19+J19+L19)=0,0,J19*(100-MAX(0,MIN(100,K19)))/(G19+H19+I19+J19+L19))/100</f>
        <v>0.15</v>
      </c>
      <c r="R19" s="228">
        <f>MAX(0,MIN(100,K19))/100</f>
        <v>0.1</v>
      </c>
      <c r="S19" s="228">
        <f>IF((G19+H19+I19+J19+L19)=0,0,L19*(100-MAX(0,MIN(100,K19)))/(G19+H19+I19+J19+L19))/100</f>
        <v>0.09</v>
      </c>
      <c r="T19" s="120" t="n"/>
      <c r="U19" s="229" t="n">
        <v>32</v>
      </c>
      <c r="V19" s="229" t="n">
        <v>18</v>
      </c>
      <c r="W19" s="229" t="n">
        <v>16</v>
      </c>
      <c r="X19" s="229" t="n">
        <v>15</v>
      </c>
      <c r="Y19" s="229" t="n">
        <v>10</v>
      </c>
      <c r="Z19" s="229" t="n">
        <v>9</v>
      </c>
    </row>
    <row r="20" ht="30" customHeight="1">
      <c r="A20" s="16" t="inlineStr">
        <is>
          <t>Consume · India Content · Band A · Early career</t>
        </is>
      </c>
      <c r="B20" s="16" t="inlineStr">
        <is>
          <t>Consume</t>
        </is>
      </c>
      <c r="C20" s="16" t="inlineStr">
        <is>
          <t>India Content</t>
        </is>
      </c>
      <c r="D20" s="13" t="inlineStr">
        <is>
          <t>Band A · Early career</t>
        </is>
      </c>
      <c r="E20" s="15" t="n">
        <v>7</v>
      </c>
      <c r="F20" s="16" t="inlineStr">
        <is>
          <t>Service delivery &amp; data operations</t>
        </is>
      </c>
      <c r="G20" s="127" t="n">
        <v>54</v>
      </c>
      <c r="H20" s="127" t="n">
        <v>16</v>
      </c>
      <c r="I20" s="127" t="n">
        <v>14</v>
      </c>
      <c r="J20" s="127" t="n">
        <v>0</v>
      </c>
      <c r="K20" s="127">
        <f>WM_EXP_AB</f>
        <v>10</v>
      </c>
      <c r="L20" s="127" t="n">
        <v>6</v>
      </c>
      <c r="M20" s="227">
        <f>SUM(G20:L20)</f>
        <v>100</v>
      </c>
      <c r="N20" s="228">
        <f>IF((G20+H20+I20+J20+L20)=0,0,G20*(100-MAX(0,MIN(100,K20)))/(G20+H20+I20+J20+L20))/100</f>
        <v>0.54</v>
      </c>
      <c r="O20" s="228">
        <f>IF((G20+H20+I20+J20+L20)=0,0,H20*(100-MAX(0,MIN(100,K20)))/(G20+H20+I20+J20+L20))/100</f>
        <v>0.16</v>
      </c>
      <c r="P20" s="228">
        <f>IF((G20+H20+I20+J20+L20)=0,0,I20*(100-MAX(0,MIN(100,K20)))/(G20+H20+I20+J20+L20))/100</f>
        <v>0.14</v>
      </c>
      <c r="Q20" s="228">
        <f>IF((G20+H20+I20+J20+L20)=0,0,J20*(100-MAX(0,MIN(100,K20)))/(G20+H20+I20+J20+L20))/100</f>
        <v>0</v>
      </c>
      <c r="R20" s="228">
        <f>MAX(0,MIN(100,K20))/100</f>
        <v>0.1</v>
      </c>
      <c r="S20" s="228">
        <f>IF((G20+H20+I20+J20+L20)=0,0,L20*(100-MAX(0,MIN(100,K20)))/(G20+H20+I20+J20+L20))/100</f>
        <v>0.06</v>
      </c>
      <c r="T20" s="120" t="n"/>
      <c r="U20" s="229" t="n">
        <v>54</v>
      </c>
      <c r="V20" s="229" t="n">
        <v>16</v>
      </c>
      <c r="W20" s="229" t="n">
        <v>14</v>
      </c>
      <c r="X20" s="229" t="n">
        <v>0</v>
      </c>
      <c r="Y20" s="229" t="n">
        <v>10</v>
      </c>
      <c r="Z20" s="229" t="n">
        <v>6</v>
      </c>
    </row>
    <row r="21" ht="30" customHeight="1">
      <c r="A21" s="16" t="inlineStr">
        <is>
          <t>Consume · India Content · Band B · Expert / POD Lead</t>
        </is>
      </c>
      <c r="B21" s="16" t="inlineStr">
        <is>
          <t>Consume</t>
        </is>
      </c>
      <c r="C21" s="16" t="inlineStr">
        <is>
          <t>India Content</t>
        </is>
      </c>
      <c r="D21" s="13" t="inlineStr">
        <is>
          <t>Band B · Expert / POD Lead</t>
        </is>
      </c>
      <c r="E21" s="15" t="n">
        <v>1</v>
      </c>
      <c r="F21" s="16" t="inlineStr">
        <is>
          <t>Service delivery &amp; data operations</t>
        </is>
      </c>
      <c r="G21" s="127" t="n">
        <v>46</v>
      </c>
      <c r="H21" s="127" t="n">
        <v>17</v>
      </c>
      <c r="I21" s="127" t="n">
        <v>15</v>
      </c>
      <c r="J21" s="127" t="n">
        <v>5</v>
      </c>
      <c r="K21" s="127">
        <f>WM_EXP_AB</f>
        <v>10</v>
      </c>
      <c r="L21" s="127" t="n">
        <v>7</v>
      </c>
      <c r="M21" s="227">
        <f>SUM(G21:L21)</f>
        <v>100</v>
      </c>
      <c r="N21" s="228">
        <f>IF((G21+H21+I21+J21+L21)=0,0,G21*(100-MAX(0,MIN(100,K21)))/(G21+H21+I21+J21+L21))/100</f>
        <v>0.46</v>
      </c>
      <c r="O21" s="228">
        <f>IF((G21+H21+I21+J21+L21)=0,0,H21*(100-MAX(0,MIN(100,K21)))/(G21+H21+I21+J21+L21))/100</f>
        <v>0.17</v>
      </c>
      <c r="P21" s="228">
        <f>IF((G21+H21+I21+J21+L21)=0,0,I21*(100-MAX(0,MIN(100,K21)))/(G21+H21+I21+J21+L21))/100</f>
        <v>0.15</v>
      </c>
      <c r="Q21" s="228">
        <f>IF((G21+H21+I21+J21+L21)=0,0,J21*(100-MAX(0,MIN(100,K21)))/(G21+H21+I21+J21+L21))/100</f>
        <v>0.05</v>
      </c>
      <c r="R21" s="228">
        <f>MAX(0,MIN(100,K21))/100</f>
        <v>0.1</v>
      </c>
      <c r="S21" s="228">
        <f>IF((G21+H21+I21+J21+L21)=0,0,L21*(100-MAX(0,MIN(100,K21)))/(G21+H21+I21+J21+L21))/100</f>
        <v>0.07</v>
      </c>
      <c r="T21" s="120" t="n"/>
      <c r="U21" s="229" t="n">
        <v>46</v>
      </c>
      <c r="V21" s="229" t="n">
        <v>17</v>
      </c>
      <c r="W21" s="229" t="n">
        <v>15</v>
      </c>
      <c r="X21" s="229" t="n">
        <v>5</v>
      </c>
      <c r="Y21" s="229" t="n">
        <v>10</v>
      </c>
      <c r="Z21" s="229" t="n">
        <v>7</v>
      </c>
    </row>
    <row r="22" ht="30" customHeight="1">
      <c r="A22" s="16" t="inlineStr">
        <is>
          <t>Consume · India Content · Band B · People Manager</t>
        </is>
      </c>
      <c r="B22" s="16" t="inlineStr">
        <is>
          <t>Consume</t>
        </is>
      </c>
      <c r="C22" s="16" t="inlineStr">
        <is>
          <t>India Content</t>
        </is>
      </c>
      <c r="D22" s="13" t="inlineStr">
        <is>
          <t>Band B · People Manager</t>
        </is>
      </c>
      <c r="E22" s="15" t="n">
        <v>1</v>
      </c>
      <c r="F22" s="16" t="inlineStr">
        <is>
          <t>Service delivery &amp; data operations</t>
        </is>
      </c>
      <c r="G22" s="127" t="n">
        <v>32</v>
      </c>
      <c r="H22" s="127" t="n">
        <v>18</v>
      </c>
      <c r="I22" s="127" t="n">
        <v>16</v>
      </c>
      <c r="J22" s="127" t="n">
        <v>15</v>
      </c>
      <c r="K22" s="127">
        <f>WM_EXP_AB</f>
        <v>10</v>
      </c>
      <c r="L22" s="127" t="n">
        <v>9</v>
      </c>
      <c r="M22" s="227">
        <f>SUM(G22:L22)</f>
        <v>100</v>
      </c>
      <c r="N22" s="228">
        <f>IF((G22+H22+I22+J22+L22)=0,0,G22*(100-MAX(0,MIN(100,K22)))/(G22+H22+I22+J22+L22))/100</f>
        <v>0.32</v>
      </c>
      <c r="O22" s="228">
        <f>IF((G22+H22+I22+J22+L22)=0,0,H22*(100-MAX(0,MIN(100,K22)))/(G22+H22+I22+J22+L22))/100</f>
        <v>0.18</v>
      </c>
      <c r="P22" s="228">
        <f>IF((G22+H22+I22+J22+L22)=0,0,I22*(100-MAX(0,MIN(100,K22)))/(G22+H22+I22+J22+L22))/100</f>
        <v>0.16</v>
      </c>
      <c r="Q22" s="228">
        <f>IF((G22+H22+I22+J22+L22)=0,0,J22*(100-MAX(0,MIN(100,K22)))/(G22+H22+I22+J22+L22))/100</f>
        <v>0.15</v>
      </c>
      <c r="R22" s="228">
        <f>MAX(0,MIN(100,K22))/100</f>
        <v>0.1</v>
      </c>
      <c r="S22" s="228">
        <f>IF((G22+H22+I22+J22+L22)=0,0,L22*(100-MAX(0,MIN(100,K22)))/(G22+H22+I22+J22+L22))/100</f>
        <v>0.09</v>
      </c>
      <c r="T22" s="120" t="n"/>
      <c r="U22" s="229" t="n">
        <v>32</v>
      </c>
      <c r="V22" s="229" t="n">
        <v>18</v>
      </c>
      <c r="W22" s="229" t="n">
        <v>16</v>
      </c>
      <c r="X22" s="229" t="n">
        <v>15</v>
      </c>
      <c r="Y22" s="229" t="n">
        <v>10</v>
      </c>
      <c r="Z22" s="229" t="n">
        <v>9</v>
      </c>
    </row>
    <row r="23" ht="30" customHeight="1">
      <c r="A23" s="16" t="inlineStr">
        <is>
          <t>Consume · Technology · Band A · Early career</t>
        </is>
      </c>
      <c r="B23" s="16" t="inlineStr">
        <is>
          <t>Consume</t>
        </is>
      </c>
      <c r="C23" s="16" t="inlineStr">
        <is>
          <t>Technology</t>
        </is>
      </c>
      <c r="D23" s="13" t="inlineStr">
        <is>
          <t>Band A · Early career</t>
        </is>
      </c>
      <c r="E23" s="15" t="n">
        <v>2</v>
      </c>
      <c r="F23" s="16" t="inlineStr">
        <is>
          <t>Technology &amp; engineering</t>
        </is>
      </c>
      <c r="G23" s="127" t="n">
        <v>64</v>
      </c>
      <c r="H23" s="127" t="n">
        <v>16</v>
      </c>
      <c r="I23" s="127" t="n">
        <v>4</v>
      </c>
      <c r="J23" s="127" t="n">
        <v>0</v>
      </c>
      <c r="K23" s="127">
        <f>WM_EXP_AB</f>
        <v>10</v>
      </c>
      <c r="L23" s="127" t="n">
        <v>6</v>
      </c>
      <c r="M23" s="227">
        <f>SUM(G23:L23)</f>
        <v>100</v>
      </c>
      <c r="N23" s="228">
        <f>IF((G23+H23+I23+J23+L23)=0,0,G23*(100-MAX(0,MIN(100,K23)))/(G23+H23+I23+J23+L23))/100</f>
        <v>0.64</v>
      </c>
      <c r="O23" s="228">
        <f>IF((G23+H23+I23+J23+L23)=0,0,H23*(100-MAX(0,MIN(100,K23)))/(G23+H23+I23+J23+L23))/100</f>
        <v>0.16</v>
      </c>
      <c r="P23" s="228">
        <f>IF((G23+H23+I23+J23+L23)=0,0,I23*(100-MAX(0,MIN(100,K23)))/(G23+H23+I23+J23+L23))/100</f>
        <v>0.04</v>
      </c>
      <c r="Q23" s="228">
        <f>IF((G23+H23+I23+J23+L23)=0,0,J23*(100-MAX(0,MIN(100,K23)))/(G23+H23+I23+J23+L23))/100</f>
        <v>0</v>
      </c>
      <c r="R23" s="228">
        <f>MAX(0,MIN(100,K23))/100</f>
        <v>0.1</v>
      </c>
      <c r="S23" s="228">
        <f>IF((G23+H23+I23+J23+L23)=0,0,L23*(100-MAX(0,MIN(100,K23)))/(G23+H23+I23+J23+L23))/100</f>
        <v>0.06</v>
      </c>
      <c r="T23" s="120" t="n"/>
      <c r="U23" s="229" t="n">
        <v>64</v>
      </c>
      <c r="V23" s="229" t="n">
        <v>16</v>
      </c>
      <c r="W23" s="229" t="n">
        <v>4</v>
      </c>
      <c r="X23" s="229" t="n">
        <v>0</v>
      </c>
      <c r="Y23" s="229" t="n">
        <v>10</v>
      </c>
      <c r="Z23" s="229" t="n">
        <v>6</v>
      </c>
    </row>
    <row r="24" ht="30" customHeight="1">
      <c r="A24" s="16" t="inlineStr">
        <is>
          <t>Consume · Technology · Band B · Expert / POD Lead</t>
        </is>
      </c>
      <c r="B24" s="16" t="inlineStr">
        <is>
          <t>Consume</t>
        </is>
      </c>
      <c r="C24" s="16" t="inlineStr">
        <is>
          <t>Technology</t>
        </is>
      </c>
      <c r="D24" s="13" t="inlineStr">
        <is>
          <t>Band B · Expert / POD Lead</t>
        </is>
      </c>
      <c r="E24" s="15" t="n">
        <v>2</v>
      </c>
      <c r="F24" s="16" t="inlineStr">
        <is>
          <t>Technology &amp; engineering</t>
        </is>
      </c>
      <c r="G24" s="127" t="n">
        <v>56</v>
      </c>
      <c r="H24" s="127" t="n">
        <v>17</v>
      </c>
      <c r="I24" s="127" t="n">
        <v>5</v>
      </c>
      <c r="J24" s="127" t="n">
        <v>5</v>
      </c>
      <c r="K24" s="127">
        <f>WM_EXP_AB</f>
        <v>10</v>
      </c>
      <c r="L24" s="127" t="n">
        <v>7</v>
      </c>
      <c r="M24" s="227">
        <f>SUM(G24:L24)</f>
        <v>100</v>
      </c>
      <c r="N24" s="228">
        <f>IF((G24+H24+I24+J24+L24)=0,0,G24*(100-MAX(0,MIN(100,K24)))/(G24+H24+I24+J24+L24))/100</f>
        <v>0.56</v>
      </c>
      <c r="O24" s="228">
        <f>IF((G24+H24+I24+J24+L24)=0,0,H24*(100-MAX(0,MIN(100,K24)))/(G24+H24+I24+J24+L24))/100</f>
        <v>0.17</v>
      </c>
      <c r="P24" s="228">
        <f>IF((G24+H24+I24+J24+L24)=0,0,I24*(100-MAX(0,MIN(100,K24)))/(G24+H24+I24+J24+L24))/100</f>
        <v>0.05</v>
      </c>
      <c r="Q24" s="228">
        <f>IF((G24+H24+I24+J24+L24)=0,0,J24*(100-MAX(0,MIN(100,K24)))/(G24+H24+I24+J24+L24))/100</f>
        <v>0.05</v>
      </c>
      <c r="R24" s="228">
        <f>MAX(0,MIN(100,K24))/100</f>
        <v>0.1</v>
      </c>
      <c r="S24" s="228">
        <f>IF((G24+H24+I24+J24+L24)=0,0,L24*(100-MAX(0,MIN(100,K24)))/(G24+H24+I24+J24+L24))/100</f>
        <v>0.07</v>
      </c>
      <c r="T24" s="120" t="n"/>
      <c r="U24" s="229" t="n">
        <v>56</v>
      </c>
      <c r="V24" s="229" t="n">
        <v>17</v>
      </c>
      <c r="W24" s="229" t="n">
        <v>5</v>
      </c>
      <c r="X24" s="229" t="n">
        <v>5</v>
      </c>
      <c r="Y24" s="229" t="n">
        <v>10</v>
      </c>
      <c r="Z24" s="229" t="n">
        <v>7</v>
      </c>
    </row>
    <row r="25" ht="30" customHeight="1">
      <c r="A25" s="16" t="inlineStr">
        <is>
          <t>Consume · Technology · Band B · People Manager</t>
        </is>
      </c>
      <c r="B25" s="16" t="inlineStr">
        <is>
          <t>Consume</t>
        </is>
      </c>
      <c r="C25" s="16" t="inlineStr">
        <is>
          <t>Technology</t>
        </is>
      </c>
      <c r="D25" s="13" t="inlineStr">
        <is>
          <t>Band B · People Manager</t>
        </is>
      </c>
      <c r="E25" s="15" t="n">
        <v>1</v>
      </c>
      <c r="F25" s="16" t="inlineStr">
        <is>
          <t>Technology &amp; engineering</t>
        </is>
      </c>
      <c r="G25" s="127" t="n">
        <v>42</v>
      </c>
      <c r="H25" s="127" t="n">
        <v>18</v>
      </c>
      <c r="I25" s="127" t="n">
        <v>6</v>
      </c>
      <c r="J25" s="127" t="n">
        <v>15</v>
      </c>
      <c r="K25" s="127">
        <f>WM_EXP_AB</f>
        <v>10</v>
      </c>
      <c r="L25" s="127" t="n">
        <v>9</v>
      </c>
      <c r="M25" s="227">
        <f>SUM(G25:L25)</f>
        <v>100</v>
      </c>
      <c r="N25" s="228">
        <f>IF((G25+H25+I25+J25+L25)=0,0,G25*(100-MAX(0,MIN(100,K25)))/(G25+H25+I25+J25+L25))/100</f>
        <v>0.42</v>
      </c>
      <c r="O25" s="228">
        <f>IF((G25+H25+I25+J25+L25)=0,0,H25*(100-MAX(0,MIN(100,K25)))/(G25+H25+I25+J25+L25))/100</f>
        <v>0.18</v>
      </c>
      <c r="P25" s="228">
        <f>IF((G25+H25+I25+J25+L25)=0,0,I25*(100-MAX(0,MIN(100,K25)))/(G25+H25+I25+J25+L25))/100</f>
        <v>0.06</v>
      </c>
      <c r="Q25" s="228">
        <f>IF((G25+H25+I25+J25+L25)=0,0,J25*(100-MAX(0,MIN(100,K25)))/(G25+H25+I25+J25+L25))/100</f>
        <v>0.15</v>
      </c>
      <c r="R25" s="228">
        <f>MAX(0,MIN(100,K25))/100</f>
        <v>0.1</v>
      </c>
      <c r="S25" s="228">
        <f>IF((G25+H25+I25+J25+L25)=0,0,L25*(100-MAX(0,MIN(100,K25)))/(G25+H25+I25+J25+L25))/100</f>
        <v>0.09</v>
      </c>
      <c r="T25" s="120" t="n"/>
      <c r="U25" s="229" t="n">
        <v>42</v>
      </c>
      <c r="V25" s="229" t="n">
        <v>18</v>
      </c>
      <c r="W25" s="229" t="n">
        <v>6</v>
      </c>
      <c r="X25" s="229" t="n">
        <v>15</v>
      </c>
      <c r="Y25" s="229" t="n">
        <v>10</v>
      </c>
      <c r="Z25" s="229" t="n">
        <v>9</v>
      </c>
    </row>
    <row r="26" ht="15" customHeight="1"/>
    <row r="27" ht="20" customHeight="1">
      <c r="A27" s="6" t="inlineStr">
        <is>
          <t>WHAT EACH FACTOR MEANS — and when to give it more weight</t>
        </is>
      </c>
    </row>
    <row r="28" ht="15" customHeight="1">
      <c r="A28" s="12" t="inlineStr">
        <is>
          <t>Factor</t>
        </is>
      </c>
      <c r="B28" s="201" t="n"/>
      <c r="C28" s="12" t="inlineStr">
        <is>
          <t>What it measures</t>
        </is>
      </c>
      <c r="D28" s="202" t="n"/>
      <c r="E28" s="202" t="n"/>
      <c r="F28" s="202" t="n"/>
      <c r="G28" s="202" t="n"/>
      <c r="H28" s="201" t="n"/>
      <c r="I28" s="12" t="inlineStr">
        <is>
          <t>Give it more weight when…</t>
        </is>
      </c>
      <c r="J28" s="202" t="n"/>
      <c r="K28" s="202" t="n"/>
      <c r="L28" s="202" t="n"/>
      <c r="M28" s="202" t="n"/>
      <c r="N28" s="202" t="n"/>
      <c r="O28" s="202" t="n"/>
      <c r="P28" s="202" t="n"/>
      <c r="Q28" s="202" t="n"/>
      <c r="R28" s="202" t="n"/>
      <c r="S28" s="202" t="n"/>
      <c r="T28" s="201" t="n"/>
    </row>
    <row r="29" ht="15" customHeight="1">
      <c r="A29" s="13" t="inlineStr">
        <is>
          <t>Complexity &amp; Expertise</t>
        </is>
      </c>
      <c r="B29" s="201" t="n"/>
      <c r="C29" s="16" t="inlineStr">
        <is>
          <t>How hard and how specialised the work is</t>
        </is>
      </c>
      <c r="D29" s="202" t="n"/>
      <c r="E29" s="202" t="n"/>
      <c r="F29" s="202" t="n"/>
      <c r="G29" s="202" t="n"/>
      <c r="H29" s="201" t="n"/>
      <c r="I29" s="16" t="inlineStr">
        <is>
          <r>
            <rPr>
              <rFont val="Calibri"/>
              <b val="1"/>
              <sz val="10"/>
            </rPr>
            <t>The job's value is deep expertise:</t>
          </r>
          <r>
            <rPr>
              <rFont val="Calibri"/>
              <sz val="10"/>
            </rPr>
            <t xml:space="preserve"> architecture, actuarial, taxonomy design</t>
          </r>
        </is>
      </c>
      <c r="J29" s="202" t="n"/>
      <c r="K29" s="202" t="n"/>
      <c r="L29" s="202" t="n"/>
      <c r="M29" s="202" t="n"/>
      <c r="N29" s="202" t="n"/>
      <c r="O29" s="202" t="n"/>
      <c r="P29" s="202" t="n"/>
      <c r="Q29" s="202" t="n"/>
      <c r="R29" s="202" t="n"/>
      <c r="S29" s="202" t="n"/>
      <c r="T29" s="201" t="n"/>
    </row>
    <row r="30" ht="15" customHeight="1">
      <c r="A30" s="13" t="inlineStr">
        <is>
          <t>Autonomy &amp; Decision</t>
        </is>
      </c>
      <c r="B30" s="201" t="n"/>
      <c r="C30" s="16" t="inlineStr">
        <is>
          <t>What the person decides without asking</t>
        </is>
      </c>
      <c r="D30" s="202" t="n"/>
      <c r="E30" s="202" t="n"/>
      <c r="F30" s="202" t="n"/>
      <c r="G30" s="202" t="n"/>
      <c r="H30" s="201" t="n"/>
      <c r="I30" s="16" t="inlineStr">
        <is>
          <r>
            <rPr>
              <rFont val="Calibri"/>
              <b val="1"/>
              <sz val="10"/>
            </rPr>
            <t>The job is trusted to act alone:</t>
          </r>
          <r>
            <rPr>
              <rFont val="Calibri"/>
              <sz val="10"/>
            </rPr>
            <t xml:space="preserve"> product calls, deals, client decisions</t>
          </r>
        </is>
      </c>
      <c r="J30" s="202" t="n"/>
      <c r="K30" s="202" t="n"/>
      <c r="L30" s="202" t="n"/>
      <c r="M30" s="202" t="n"/>
      <c r="N30" s="202" t="n"/>
      <c r="O30" s="202" t="n"/>
      <c r="P30" s="202" t="n"/>
      <c r="Q30" s="202" t="n"/>
      <c r="R30" s="202" t="n"/>
      <c r="S30" s="202" t="n"/>
      <c r="T30" s="201" t="n"/>
    </row>
    <row r="31" ht="15" customHeight="1">
      <c r="A31" s="13" t="inlineStr">
        <is>
          <t>Accountability &amp; Impact</t>
        </is>
      </c>
      <c r="B31" s="201" t="n"/>
      <c r="C31" s="16" t="inlineStr">
        <is>
          <t>What the job answers for — its scope</t>
        </is>
      </c>
      <c r="D31" s="202" t="n"/>
      <c r="E31" s="202" t="n"/>
      <c r="F31" s="202" t="n"/>
      <c r="G31" s="202" t="n"/>
      <c r="H31" s="201" t="n"/>
      <c r="I31" s="16" t="inlineStr">
        <is>
          <t>Results, risk or quality of an area rest on this job</t>
        </is>
      </c>
      <c r="J31" s="202" t="n"/>
      <c r="K31" s="202" t="n"/>
      <c r="L31" s="202" t="n"/>
      <c r="M31" s="202" t="n"/>
      <c r="N31" s="202" t="n"/>
      <c r="O31" s="202" t="n"/>
      <c r="P31" s="202" t="n"/>
      <c r="Q31" s="202" t="n"/>
      <c r="R31" s="202" t="n"/>
      <c r="S31" s="202" t="n"/>
      <c r="T31" s="201" t="n"/>
    </row>
    <row r="32" ht="15" customHeight="1">
      <c r="A32" s="13" t="inlineStr">
        <is>
          <t>Leadership &amp; Strategy</t>
        </is>
      </c>
      <c r="B32" s="201" t="n"/>
      <c r="C32" s="16" t="inlineStr">
        <is>
          <t>Leading people or setting direction</t>
        </is>
      </c>
      <c r="D32" s="202" t="n"/>
      <c r="E32" s="202" t="n"/>
      <c r="F32" s="202" t="n"/>
      <c r="G32" s="202" t="n"/>
      <c r="H32" s="201" t="n"/>
      <c r="I32" s="16" t="inlineStr">
        <is>
          <t>The job's results come through a team or through direction it sets</t>
        </is>
      </c>
      <c r="J32" s="202" t="n"/>
      <c r="K32" s="202" t="n"/>
      <c r="L32" s="202" t="n"/>
      <c r="M32" s="202" t="n"/>
      <c r="N32" s="202" t="n"/>
      <c r="O32" s="202" t="n"/>
      <c r="P32" s="202" t="n"/>
      <c r="Q32" s="202" t="n"/>
      <c r="R32" s="202" t="n"/>
      <c r="S32" s="202" t="n"/>
      <c r="T32" s="201" t="n"/>
    </row>
    <row r="33" ht="15" customHeight="1">
      <c r="A33" s="13" t="inlineStr">
        <is>
          <t>Experience &amp; Qualification</t>
        </is>
      </c>
      <c r="B33" s="201" t="n"/>
      <c r="C33" s="16" t="inlineStr">
        <is>
          <t>Years in the field and qualifications</t>
        </is>
      </c>
      <c r="D33" s="202" t="n"/>
      <c r="E33" s="202" t="n"/>
      <c r="F33" s="202" t="n"/>
      <c r="G33" s="202" t="n"/>
      <c r="H33" s="201" t="n"/>
      <c r="I33" s="16" t="inlineStr">
        <is>
          <t>A licence or long experience is itself the requirement — kept low by design</t>
        </is>
      </c>
      <c r="J33" s="202" t="n"/>
      <c r="K33" s="202" t="n"/>
      <c r="L33" s="202" t="n"/>
      <c r="M33" s="202" t="n"/>
      <c r="N33" s="202" t="n"/>
      <c r="O33" s="202" t="n"/>
      <c r="P33" s="202" t="n"/>
      <c r="Q33" s="202" t="n"/>
      <c r="R33" s="202" t="n"/>
      <c r="S33" s="202" t="n"/>
      <c r="T33" s="201" t="n"/>
    </row>
    <row r="34" ht="15" customHeight="1">
      <c r="A34" s="13" t="inlineStr">
        <is>
          <t>Business Impact</t>
        </is>
      </c>
      <c r="B34" s="201" t="n"/>
      <c r="C34" s="16" t="inlineStr">
        <is>
          <t>The difference the job makes to revenue, clients, compliance or cost</t>
        </is>
      </c>
      <c r="D34" s="202" t="n"/>
      <c r="E34" s="202" t="n"/>
      <c r="F34" s="202" t="n"/>
      <c r="G34" s="202" t="n"/>
      <c r="H34" s="201" t="n"/>
      <c r="I34" s="16" t="inlineStr">
        <is>
          <r>
            <rPr>
              <rFont val="Calibri"/>
              <b val="1"/>
              <sz val="10"/>
            </rPr>
            <t>Results are visible in business numbers:</t>
          </r>
          <r>
            <rPr>
              <rFont val="Calibri"/>
              <sz val="10"/>
            </rPr>
            <t xml:space="preserve"> sales, client retention, filings, savings</t>
          </r>
        </is>
      </c>
      <c r="J34" s="202" t="n"/>
      <c r="K34" s="202" t="n"/>
      <c r="L34" s="202" t="n"/>
      <c r="M34" s="202" t="n"/>
      <c r="N34" s="202" t="n"/>
      <c r="O34" s="202" t="n"/>
      <c r="P34" s="202" t="n"/>
      <c r="Q34" s="202" t="n"/>
      <c r="R34" s="202" t="n"/>
      <c r="S34" s="202" t="n"/>
      <c r="T34" s="201" t="n"/>
    </row>
    <row r="35" ht="15" customHeight="1"/>
    <row r="36" ht="15" customHeight="1">
      <c r="A36" s="11"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37" ht="15" customHeight="1">
      <c r="A37" s="11"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38" ht="15" customHeight="1">
      <c r="A38" s="11"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39" ht="20" customHeight="1">
      <c r="A39" s="6" t="inlineStr">
        <is>
          <t>WHAT A WEIGHT MEANS</t>
        </is>
      </c>
    </row>
    <row r="40" ht="15" customHeight="1">
      <c r="A40" s="12" t="inlineStr">
        <is>
          <t>Weight</t>
        </is>
      </c>
      <c r="B40" s="201" t="n"/>
      <c r="C40" s="12" t="inlineStr">
        <is>
          <t>What it means for the score</t>
        </is>
      </c>
      <c r="D40" s="202" t="n"/>
      <c r="E40" s="202" t="n"/>
      <c r="F40" s="202" t="n"/>
      <c r="G40" s="202" t="n"/>
      <c r="H40" s="202" t="n"/>
      <c r="I40" s="202" t="n"/>
      <c r="J40" s="202" t="n"/>
      <c r="K40" s="202" t="n"/>
      <c r="L40" s="202" t="n"/>
      <c r="M40" s="202" t="n"/>
      <c r="N40" s="202" t="n"/>
      <c r="O40" s="202" t="n"/>
      <c r="P40" s="202" t="n"/>
      <c r="Q40" s="202" t="n"/>
      <c r="R40" s="202" t="n"/>
      <c r="S40" s="202" t="n"/>
      <c r="T40" s="201" t="n"/>
    </row>
    <row r="41" ht="15" customHeight="1">
      <c r="A41" s="13" t="inlineStr">
        <is>
          <t>0%</t>
        </is>
      </c>
      <c r="B41" s="201" t="n"/>
      <c r="C41" s="16" t="inlineStr">
        <is>
          <t>Ignored for this role group — the rating does not count at all</t>
        </is>
      </c>
      <c r="D41" s="202" t="n"/>
      <c r="E41" s="202" t="n"/>
      <c r="F41" s="202" t="n"/>
      <c r="G41" s="202" t="n"/>
      <c r="H41" s="202" t="n"/>
      <c r="I41" s="202" t="n"/>
      <c r="J41" s="202" t="n"/>
      <c r="K41" s="202" t="n"/>
      <c r="L41" s="202" t="n"/>
      <c r="M41" s="202" t="n"/>
      <c r="N41" s="202" t="n"/>
      <c r="O41" s="202" t="n"/>
      <c r="P41" s="202" t="n"/>
      <c r="Q41" s="202" t="n"/>
      <c r="R41" s="202" t="n"/>
      <c r="S41" s="202" t="n"/>
      <c r="T41" s="201" t="n"/>
    </row>
    <row r="42" ht="15" customHeight="1">
      <c r="A42" s="13" t="inlineStr">
        <is>
          <t>5%</t>
        </is>
      </c>
      <c r="B42" s="201" t="n"/>
      <c r="C42" s="16" t="inlineStr">
        <is>
          <t>Minor — a tie-breaker; a 1-point change in the rating moves the score by 0.05</t>
        </is>
      </c>
      <c r="D42" s="202" t="n"/>
      <c r="E42" s="202" t="n"/>
      <c r="F42" s="202" t="n"/>
      <c r="G42" s="202" t="n"/>
      <c r="H42" s="202" t="n"/>
      <c r="I42" s="202" t="n"/>
      <c r="J42" s="202" t="n"/>
      <c r="K42" s="202" t="n"/>
      <c r="L42" s="202" t="n"/>
      <c r="M42" s="202" t="n"/>
      <c r="N42" s="202" t="n"/>
      <c r="O42" s="202" t="n"/>
      <c r="P42" s="202" t="n"/>
      <c r="Q42" s="202" t="n"/>
      <c r="R42" s="202" t="n"/>
      <c r="S42" s="202" t="n"/>
      <c r="T42" s="201" t="n"/>
    </row>
    <row r="43" ht="15" customHeight="1">
      <c r="A43" s="13" t="inlineStr">
        <is>
          <t>10%</t>
        </is>
      </c>
      <c r="B43" s="201" t="n"/>
      <c r="C43" s="16" t="inlineStr">
        <is>
          <t>Counts a little — a 1-point change moves the score by 0.10</t>
        </is>
      </c>
      <c r="D43" s="202" t="n"/>
      <c r="E43" s="202" t="n"/>
      <c r="F43" s="202" t="n"/>
      <c r="G43" s="202" t="n"/>
      <c r="H43" s="202" t="n"/>
      <c r="I43" s="202" t="n"/>
      <c r="J43" s="202" t="n"/>
      <c r="K43" s="202" t="n"/>
      <c r="L43" s="202" t="n"/>
      <c r="M43" s="202" t="n"/>
      <c r="N43" s="202" t="n"/>
      <c r="O43" s="202" t="n"/>
      <c r="P43" s="202" t="n"/>
      <c r="Q43" s="202" t="n"/>
      <c r="R43" s="202" t="n"/>
      <c r="S43" s="202" t="n"/>
      <c r="T43" s="201" t="n"/>
    </row>
    <row r="44" ht="15" customHeight="1">
      <c r="A44" s="13" t="inlineStr">
        <is>
          <t>15–20%</t>
        </is>
      </c>
      <c r="B44" s="201" t="n"/>
      <c r="C44" s="16" t="inlineStr">
        <is>
          <t>Important — one of the main things this role is judged on</t>
        </is>
      </c>
      <c r="D44" s="202" t="n"/>
      <c r="E44" s="202" t="n"/>
      <c r="F44" s="202" t="n"/>
      <c r="G44" s="202" t="n"/>
      <c r="H44" s="202" t="n"/>
      <c r="I44" s="202" t="n"/>
      <c r="J44" s="202" t="n"/>
      <c r="K44" s="202" t="n"/>
      <c r="L44" s="202" t="n"/>
      <c r="M44" s="202" t="n"/>
      <c r="N44" s="202" t="n"/>
      <c r="O44" s="202" t="n"/>
      <c r="P44" s="202" t="n"/>
      <c r="Q44" s="202" t="n"/>
      <c r="R44" s="202" t="n"/>
      <c r="S44" s="202" t="n"/>
      <c r="T44" s="201" t="n"/>
    </row>
    <row r="45" ht="15" customHeight="1">
      <c r="A45" s="13" t="inlineStr">
        <is>
          <t>25–30%</t>
        </is>
      </c>
      <c r="B45" s="201" t="n"/>
      <c r="C45" s="16" t="inlineStr">
        <is>
          <t>Leading factor — this is what the role is mostly about</t>
        </is>
      </c>
      <c r="D45" s="202" t="n"/>
      <c r="E45" s="202" t="n"/>
      <c r="F45" s="202" t="n"/>
      <c r="G45" s="202" t="n"/>
      <c r="H45" s="202" t="n"/>
      <c r="I45" s="202" t="n"/>
      <c r="J45" s="202" t="n"/>
      <c r="K45" s="202" t="n"/>
      <c r="L45" s="202" t="n"/>
      <c r="M45" s="202" t="n"/>
      <c r="N45" s="202" t="n"/>
      <c r="O45" s="202" t="n"/>
      <c r="P45" s="202" t="n"/>
      <c r="Q45" s="202" t="n"/>
      <c r="R45" s="202" t="n"/>
      <c r="S45" s="202" t="n"/>
      <c r="T45" s="201" t="n"/>
    </row>
    <row r="46" ht="15" customHeight="1">
      <c r="A46" s="13" t="inlineStr">
        <is>
          <t>35%+</t>
        </is>
      </c>
      <c r="B46" s="201" t="n"/>
      <c r="C46" s="16" t="inlineStr">
        <is>
          <t>Dominant — use rarely; one factor then decides most of the score</t>
        </is>
      </c>
      <c r="D46" s="202" t="n"/>
      <c r="E46" s="202" t="n"/>
      <c r="F46" s="202" t="n"/>
      <c r="G46" s="202" t="n"/>
      <c r="H46" s="202" t="n"/>
      <c r="I46" s="202" t="n"/>
      <c r="J46" s="202" t="n"/>
      <c r="K46" s="202" t="n"/>
      <c r="L46" s="202" t="n"/>
      <c r="M46" s="202" t="n"/>
      <c r="N46" s="202" t="n"/>
      <c r="O46" s="202" t="n"/>
      <c r="P46" s="202" t="n"/>
      <c r="Q46" s="202" t="n"/>
      <c r="R46" s="202" t="n"/>
      <c r="S46" s="202" t="n"/>
      <c r="T46" s="201" t="n"/>
    </row>
    <row r="47" ht="15" customHeight="1"/>
    <row r="48" ht="28" customHeight="1">
      <c r="A48" s="199"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49" ht="20" customHeight="1">
      <c r="A49" s="6" t="inlineStr">
        <is>
          <t>RULES OF THUMB</t>
        </is>
      </c>
    </row>
    <row r="50" ht="15" customHeight="1">
      <c r="A50" s="199" t="inlineStr">
        <is>
          <t>• Start from the default row and change it in steps of 5%; small changes are safer than big ones.</t>
        </is>
      </c>
    </row>
    <row r="51" ht="15" customHeight="1">
      <c r="A51" s="199" t="inlineStr">
        <is>
          <t>• Keep each row's six weights adding up to about 100%. If they don't, the sheet scales the five non-Experience weights so they do — the 'Used' columns show the real weights.</t>
        </is>
      </c>
    </row>
    <row r="52" ht="15" customHeight="1">
      <c r="A52" s="199" t="inlineStr">
        <is>
          <t>• Experience &amp; Qualification is set once for everyone in the Settings block above · Bands A–B and Bands C–E. Change it there, not row by row; a number typed in a row's Experience cell overrides the setting for that row.</t>
        </is>
      </c>
    </row>
    <row r="53" ht="15" customHeight="1">
      <c r="A53" s="199" t="inlineStr">
        <is>
          <t>• Leaders of the same role group in different departments should differ only for a real reason · for example, sales roles count Business Impact more. Note the reason in the last column.</t>
        </is>
      </c>
    </row>
    <row r="54" ht="15" customHeight="1">
      <c r="A54" s="199" t="inlineStr">
        <is>
          <t>• Your edits change points, the score and 'Level the score indicates' on sheet 2 at once. The final level — with the fair-play checks — is confirmed when HR imports your edits and re-runs the model.</t>
        </is>
      </c>
    </row>
    <row r="55" ht="20" customHeight="1">
      <c r="A55" s="6" t="inlineStr">
        <is>
          <t>WHERE THE DEFAULT WEIGHTS COME FROM</t>
        </is>
      </c>
    </row>
    <row r="56" ht="28" customHeight="1">
      <c r="A56" s="11"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57" ht="15" customHeight="1">
      <c r="A57" s="12" t="inlineStr">
        <is>
          <t>Factor</t>
        </is>
      </c>
      <c r="B57" s="202" t="n"/>
      <c r="C57" s="202" t="n"/>
      <c r="D57" s="202" t="n"/>
      <c r="E57" s="202" t="n"/>
      <c r="F57" s="201" t="n"/>
      <c r="G57" s="12" t="inlineStr">
        <is>
          <t>This file — average of its scored roles</t>
        </is>
      </c>
      <c r="H57" s="202" t="n"/>
      <c r="I57" s="202" t="n"/>
      <c r="J57" s="201" t="n"/>
      <c r="K57" s="12" t="inlineStr">
        <is>
          <t>Published plans — average</t>
        </is>
      </c>
      <c r="L57" s="202" t="n"/>
      <c r="M57" s="202" t="n"/>
      <c r="N57" s="201" t="n"/>
      <c r="O57" s="12" t="inlineStr">
        <is>
          <t>Published plans — range</t>
        </is>
      </c>
      <c r="P57" s="202" t="n"/>
      <c r="Q57" s="202" t="n"/>
      <c r="R57" s="202" t="n"/>
      <c r="S57" s="202" t="n"/>
      <c r="T57" s="201" t="n"/>
    </row>
    <row r="58" ht="15" customHeight="1">
      <c r="A58" s="13" t="inlineStr">
        <is>
          <t>Complexity &amp; Expertise</t>
        </is>
      </c>
      <c r="B58" s="202" t="n"/>
      <c r="C58" s="202" t="n"/>
      <c r="D58" s="202" t="n"/>
      <c r="E58" s="202" t="n"/>
      <c r="F58" s="201" t="n"/>
      <c r="G58" s="16" t="inlineStr">
        <is>
          <t>51.9%</t>
        </is>
      </c>
      <c r="H58" s="202" t="n"/>
      <c r="I58" s="202" t="n"/>
      <c r="J58" s="201" t="n"/>
      <c r="K58" s="16" t="inlineStr">
        <is>
          <t>42.8%</t>
        </is>
      </c>
      <c r="L58" s="202" t="n"/>
      <c r="M58" s="202" t="n"/>
      <c r="N58" s="201" t="n"/>
      <c r="O58" s="16" t="inlineStr">
        <is>
          <t>38–52%</t>
        </is>
      </c>
      <c r="P58" s="202" t="n"/>
      <c r="Q58" s="202" t="n"/>
      <c r="R58" s="202" t="n"/>
      <c r="S58" s="202" t="n"/>
      <c r="T58" s="201" t="n"/>
    </row>
    <row r="59" ht="15" customHeight="1">
      <c r="A59" s="13" t="inlineStr">
        <is>
          <t>Autonomy &amp; Decision</t>
        </is>
      </c>
      <c r="B59" s="202" t="n"/>
      <c r="C59" s="202" t="n"/>
      <c r="D59" s="202" t="n"/>
      <c r="E59" s="202" t="n"/>
      <c r="F59" s="201" t="n"/>
      <c r="G59" s="16" t="inlineStr">
        <is>
          <t>16.4%</t>
        </is>
      </c>
      <c r="H59" s="202" t="n"/>
      <c r="I59" s="202" t="n"/>
      <c r="J59" s="201" t="n"/>
      <c r="K59" s="16" t="inlineStr">
        <is>
          <t>14.9%</t>
        </is>
      </c>
      <c r="L59" s="202" t="n"/>
      <c r="M59" s="202" t="n"/>
      <c r="N59" s="201" t="n"/>
      <c r="O59" s="16" t="inlineStr">
        <is>
          <t>7–30%</t>
        </is>
      </c>
      <c r="P59" s="202" t="n"/>
      <c r="Q59" s="202" t="n"/>
      <c r="R59" s="202" t="n"/>
      <c r="S59" s="202" t="n"/>
      <c r="T59" s="201" t="n"/>
    </row>
    <row r="60" ht="15" customHeight="1">
      <c r="A60" s="13" t="inlineStr">
        <is>
          <t>Accountability &amp; Impact</t>
        </is>
      </c>
      <c r="B60" s="202" t="n"/>
      <c r="C60" s="202" t="n"/>
      <c r="D60" s="202" t="n"/>
      <c r="E60" s="202" t="n"/>
      <c r="F60" s="201" t="n"/>
      <c r="G60" s="16" t="inlineStr">
        <is>
          <t>12.3%</t>
        </is>
      </c>
      <c r="H60" s="202" t="n"/>
      <c r="I60" s="202" t="n"/>
      <c r="J60" s="201" t="n"/>
      <c r="K60" s="16" t="inlineStr">
        <is>
          <t>15.1%</t>
        </is>
      </c>
      <c r="L60" s="202" t="n"/>
      <c r="M60" s="202" t="n"/>
      <c r="N60" s="201" t="n"/>
      <c r="O60" s="16" t="inlineStr">
        <is>
          <t>6–20%</t>
        </is>
      </c>
      <c r="P60" s="202" t="n"/>
      <c r="Q60" s="202" t="n"/>
      <c r="R60" s="202" t="n"/>
      <c r="S60" s="202" t="n"/>
      <c r="T60" s="201" t="n"/>
    </row>
    <row r="61" ht="15" customHeight="1">
      <c r="A61" s="13" t="inlineStr">
        <is>
          <t>Leadership &amp; Strategy</t>
        </is>
      </c>
      <c r="B61" s="202" t="n"/>
      <c r="C61" s="202" t="n"/>
      <c r="D61" s="202" t="n"/>
      <c r="E61" s="202" t="n"/>
      <c r="F61" s="201" t="n"/>
      <c r="G61" s="16" t="inlineStr">
        <is>
          <t>2.8%</t>
        </is>
      </c>
      <c r="H61" s="202" t="n"/>
      <c r="I61" s="202" t="n"/>
      <c r="J61" s="201" t="n"/>
      <c r="K61" s="16" t="inlineStr">
        <is>
          <t>20.6%</t>
        </is>
      </c>
      <c r="L61" s="202" t="n"/>
      <c r="M61" s="202" t="n"/>
      <c r="N61" s="201" t="n"/>
      <c r="O61" s="16" t="inlineStr">
        <is>
          <t>8–30%</t>
        </is>
      </c>
      <c r="P61" s="202" t="n"/>
      <c r="Q61" s="202" t="n"/>
      <c r="R61" s="202" t="n"/>
      <c r="S61" s="202" t="n"/>
      <c r="T61" s="201" t="n"/>
    </row>
    <row r="62" ht="15" customHeight="1">
      <c r="A62" s="13" t="inlineStr">
        <is>
          <t>Business Impact</t>
        </is>
      </c>
      <c r="B62" s="202" t="n"/>
      <c r="C62" s="202" t="n"/>
      <c r="D62" s="202" t="n"/>
      <c r="E62" s="202" t="n"/>
      <c r="F62" s="201" t="n"/>
      <c r="G62" s="16" t="inlineStr">
        <is>
          <t>6.6%</t>
        </is>
      </c>
      <c r="H62" s="202" t="n"/>
      <c r="I62" s="202" t="n"/>
      <c r="J62" s="201" t="n"/>
      <c r="K62" s="16" t="inlineStr">
        <is>
          <t>6.7%</t>
        </is>
      </c>
      <c r="L62" s="202" t="n"/>
      <c r="M62" s="202" t="n"/>
      <c r="N62" s="201" t="n"/>
      <c r="O62" s="16" t="inlineStr">
        <is>
          <t>0–10%</t>
        </is>
      </c>
      <c r="P62" s="202" t="n"/>
      <c r="Q62" s="202" t="n"/>
      <c r="R62" s="202" t="n"/>
      <c r="S62" s="202" t="n"/>
      <c r="T62" s="201" t="n"/>
    </row>
    <row r="63" ht="15" customHeight="1">
      <c r="A63" s="13" t="inlineStr">
        <is>
          <t>Experience &amp; Qualification</t>
        </is>
      </c>
      <c r="B63" s="202" t="n"/>
      <c r="C63" s="202" t="n"/>
      <c r="D63" s="202" t="n"/>
      <c r="E63" s="202" t="n"/>
      <c r="F63" s="201" t="n"/>
      <c r="G63" s="16" t="inlineStr">
        <is>
          <t>10.0%</t>
        </is>
      </c>
      <c r="H63" s="202" t="n"/>
      <c r="I63" s="202" t="n"/>
      <c r="J63" s="201" t="n"/>
      <c r="K63" s="16" t="inlineStr">
        <is>
          <t>not scored separately</t>
        </is>
      </c>
      <c r="L63" s="202" t="n"/>
      <c r="M63" s="202" t="n"/>
      <c r="N63" s="201" t="n"/>
      <c r="O63" s="16" t="inlineStr">
        <is>
          <t>Hay, Mercer IPE and WTW fold experience into knowledge</t>
        </is>
      </c>
      <c r="P63" s="202" t="n"/>
      <c r="Q63" s="202" t="n"/>
      <c r="R63" s="202" t="n"/>
      <c r="S63" s="202" t="n"/>
      <c r="T63" s="201" t="n"/>
    </row>
    <row r="64" ht="15" customHeight="1"/>
    <row r="65" ht="20" customHeight="1">
      <c r="A65" s="6" t="inlineStr">
        <is>
          <t>WHAT A RATING MEANS — the same 1-to-12 scale for every factor, every department, every band</t>
        </is>
      </c>
    </row>
    <row r="66" ht="15" customHeight="1">
      <c r="A66" s="11" t="inlineStr">
        <is>
          <t>A rating is the floor of the ladder that this side of the job looks like: 4 = B1-level, 8 = C2-level. Managers can change a person's Business Impact rating on sheet 2 · yellow; the other ratings are set from the evidence and changed through validation.</t>
        </is>
      </c>
    </row>
    <row r="67" ht="15" customHeight="1">
      <c r="A67" s="12" t="inlineStr">
        <is>
          <t>Rating · level</t>
        </is>
      </c>
      <c r="B67" s="201" t="n"/>
      <c r="C67" s="12" t="inlineStr">
        <is>
          <t>Complexity</t>
        </is>
      </c>
      <c r="D67" s="202" t="n"/>
      <c r="E67" s="201" t="n"/>
      <c r="F67" s="12" t="inlineStr">
        <is>
          <t>Autonomy</t>
        </is>
      </c>
      <c r="G67" s="202" t="n"/>
      <c r="H67" s="201" t="n"/>
      <c r="I67" s="12" t="inlineStr">
        <is>
          <t>Accountability</t>
        </is>
      </c>
      <c r="J67" s="202" t="n"/>
      <c r="K67" s="201" t="n"/>
      <c r="L67" s="12" t="inlineStr">
        <is>
          <t>Leadership</t>
        </is>
      </c>
      <c r="M67" s="202" t="n"/>
      <c r="N67" s="201" t="n"/>
      <c r="O67" s="12" t="inlineStr">
        <is>
          <t>Experience</t>
        </is>
      </c>
      <c r="P67" s="202" t="n"/>
      <c r="Q67" s="201" t="n"/>
      <c r="R67" s="12" t="inlineStr">
        <is>
          <t>Business impact</t>
        </is>
      </c>
      <c r="S67" s="202" t="n"/>
      <c r="T67" s="201" t="n"/>
    </row>
    <row r="68" ht="28" customHeight="1">
      <c r="A68" s="13" t="inlineStr">
        <is>
          <t>12 · E2</t>
        </is>
      </c>
      <c r="B68" s="201" t="n"/>
      <c r="C68" s="16" t="inlineStr">
        <is>
          <t>Enterprise-wide uncertainty, transformation and external forces</t>
        </is>
      </c>
      <c r="D68" s="202" t="n"/>
      <c r="E68" s="201" t="n"/>
      <c r="F68" s="16" t="inlineStr">
        <is>
          <t>Accountable to the board</t>
        </is>
      </c>
      <c r="G68" s="202" t="n"/>
      <c r="H68" s="201" t="n"/>
      <c r="I68" s="16" t="inlineStr">
        <is>
          <t>Enterprise results, risk, culture and long-term viability</t>
        </is>
      </c>
      <c r="J68" s="202" t="n"/>
      <c r="K68" s="201" t="n"/>
      <c r="L68" s="16" t="inlineStr">
        <is>
          <t>Sets enterprise strategy; leads the executive team</t>
        </is>
      </c>
      <c r="M68" s="202" t="n"/>
      <c r="N68" s="201" t="n"/>
      <c r="O68" s="16" t="inlineStr">
        <is>
          <t>About 28 yrs</t>
        </is>
      </c>
      <c r="P68" s="202" t="n"/>
      <c r="Q68" s="201" t="n"/>
      <c r="R68" s="16" t="inlineStr">
        <is>
          <t>Answers for the whole company's results and long-term value</t>
        </is>
      </c>
      <c r="S68" s="202" t="n"/>
      <c r="T68" s="201" t="n"/>
    </row>
    <row r="69" ht="28" customHeight="1">
      <c r="A69" s="13" t="inlineStr">
        <is>
          <t>11 · E1</t>
        </is>
      </c>
      <c r="B69" s="201" t="n"/>
      <c r="C69" s="16" t="inlineStr">
        <is>
          <t>Enterprise-level functional strategy</t>
        </is>
      </c>
      <c r="D69" s="202" t="n"/>
      <c r="E69" s="201" t="n"/>
      <c r="F69" s="16" t="inlineStr">
        <is>
          <t>Sets enterprise priorities for the function</t>
        </is>
      </c>
      <c r="G69" s="202" t="n"/>
      <c r="H69" s="201" t="n"/>
      <c r="I69" s="16" t="inlineStr">
        <is>
          <t>Enterprise-wide functional results</t>
        </is>
      </c>
      <c r="J69" s="202" t="n"/>
      <c r="K69" s="201" t="n"/>
      <c r="L69" s="16" t="inlineStr">
        <is>
          <t>Shapes enterprise strategy</t>
        </is>
      </c>
      <c r="M69" s="202" t="n"/>
      <c r="N69" s="201" t="n"/>
      <c r="O69" s="16" t="inlineStr">
        <is>
          <t>About 24 yrs</t>
        </is>
      </c>
      <c r="P69" s="202" t="n"/>
      <c r="Q69" s="201" t="n"/>
      <c r="R69" s="16" t="inlineStr">
        <is>
          <t>Shapes company-wide results through a function</t>
        </is>
      </c>
      <c r="S69" s="202" t="n"/>
      <c r="T69" s="201" t="n"/>
    </row>
    <row r="70" ht="28" customHeight="1">
      <c r="A70" s="13" t="inlineStr">
        <is>
          <t>10 · D2</t>
        </is>
      </c>
      <c r="B70" s="201" t="n"/>
      <c r="C70" s="16" t="inlineStr">
        <is>
          <t>Portfolio-level strategic, financial and regulatory trade-offs</t>
        </is>
      </c>
      <c r="D70" s="202" t="n"/>
      <c r="E70" s="201" t="n"/>
      <c r="F70" s="16" t="inlineStr">
        <is>
          <t>Sets direction across business lines</t>
        </is>
      </c>
      <c r="G70" s="202" t="n"/>
      <c r="H70" s="201" t="n"/>
      <c r="I70" s="16" t="inlineStr">
        <is>
          <t>Multi-business results</t>
        </is>
      </c>
      <c r="J70" s="202" t="n"/>
      <c r="K70" s="201" t="n"/>
      <c r="L70" s="16" t="inlineStr">
        <is>
          <t>Builds the leadership team across businesses</t>
        </is>
      </c>
      <c r="M70" s="202" t="n"/>
      <c r="N70" s="201" t="n"/>
      <c r="O70" s="16" t="inlineStr">
        <is>
          <t>About 21 yrs</t>
        </is>
      </c>
      <c r="P70" s="202" t="n"/>
      <c r="Q70" s="201" t="n"/>
      <c r="R70" s="16" t="inlineStr">
        <is>
          <t>Owns the results of several business lines</t>
        </is>
      </c>
      <c r="S70" s="202" t="n"/>
      <c r="T70" s="201" t="n"/>
    </row>
    <row r="71" ht="28" customHeight="1">
      <c r="A71" s="13" t="inlineStr">
        <is>
          <t>9 · D1</t>
        </is>
      </c>
      <c r="B71" s="201" t="n"/>
      <c r="C71" s="16" t="inlineStr">
        <is>
          <t>Competing strategic, financial and regulatory priorities</t>
        </is>
      </c>
      <c r="D71" s="202" t="n"/>
      <c r="E71" s="201" t="n"/>
      <c r="F71" s="16" t="inlineStr">
        <is>
          <t>Sets business-line direction, pricing and investment</t>
        </is>
      </c>
      <c r="G71" s="202" t="n"/>
      <c r="H71" s="201" t="n"/>
      <c r="I71" s="16" t="inlineStr">
        <is>
          <t>Business-line P&amp;L and market position</t>
        </is>
      </c>
      <c r="J71" s="202" t="n"/>
      <c r="K71" s="201" t="n"/>
      <c r="L71" s="16" t="inlineStr">
        <is>
          <t>Defines business strategy; builds the leadership bench</t>
        </is>
      </c>
      <c r="M71" s="202" t="n"/>
      <c r="N71" s="201" t="n"/>
      <c r="O71" s="16" t="inlineStr">
        <is>
          <t>About 17.5 yrs</t>
        </is>
      </c>
      <c r="P71" s="202" t="n"/>
      <c r="Q71" s="201" t="n"/>
      <c r="R71" s="16" t="inlineStr">
        <is>
          <t>Owns a business line's P&amp;L and growth, or a company-wide function</t>
        </is>
      </c>
      <c r="S71" s="202" t="n"/>
      <c r="T71" s="201" t="n"/>
    </row>
    <row r="72" ht="41" customHeight="1">
      <c r="A72" s="13" t="inlineStr">
        <is>
          <t>8.5 · C+</t>
        </is>
      </c>
      <c r="B72" s="201" t="n"/>
      <c r="C72" s="16" t="inlineStr">
        <is>
          <t>Function-wide and cross-product problems; personally handles the most critical client or technical work</t>
        </is>
      </c>
      <c r="D72" s="202" t="n"/>
      <c r="E72" s="201" t="n"/>
      <c r="F72" s="16" t="inlineStr">
        <is>
          <t>Sets direction for the function; business-line trade-offs go to the Business Head</t>
        </is>
      </c>
      <c r="G72" s="202" t="n"/>
      <c r="H72" s="201" t="n"/>
      <c r="I72" s="16" t="inlineStr">
        <is>
          <t>Function results, budget and key-client outcomes; carries own book or principal delivery</t>
        </is>
      </c>
      <c r="J72" s="202" t="n"/>
      <c r="K72" s="201" t="n"/>
      <c r="L72" s="16" t="inlineStr">
        <is>
          <t>Leads managers and leads and 10+ people in the function while staying hands-on</t>
        </is>
      </c>
      <c r="M72" s="202" t="n"/>
      <c r="N72" s="201" t="n"/>
      <c r="O72" s="16" t="inlineStr">
        <is>
          <t>About 16 yrs</t>
        </is>
      </c>
      <c r="P72" s="202" t="n"/>
      <c r="Q72" s="201" t="n"/>
      <c r="R72" s="16" t="inlineStr">
        <is>
          <t>Drives a function's results and personally wins or delivers key work</t>
        </is>
      </c>
      <c r="S72" s="202" t="n"/>
      <c r="T72" s="201" t="n"/>
    </row>
    <row r="73" ht="28" customHeight="1">
      <c r="A73" s="13" t="inlineStr">
        <is>
          <t>8 · C2</t>
        </is>
      </c>
      <c r="B73" s="201" t="n"/>
      <c r="C73" s="16" t="inlineStr">
        <is>
          <t>Function-wide or company-wide problems; creates methods and standards</t>
        </is>
      </c>
      <c r="D73" s="202" t="n"/>
      <c r="E73" s="201" t="n"/>
      <c r="F73" s="16" t="inlineStr">
        <is>
          <t>Sets direction for a function</t>
        </is>
      </c>
      <c r="G73" s="202" t="n"/>
      <c r="H73" s="201" t="n"/>
      <c r="I73" s="16" t="inlineStr">
        <is>
          <t>Function results, budget and risk</t>
        </is>
      </c>
      <c r="J73" s="202" t="n"/>
      <c r="K73" s="201" t="n"/>
      <c r="L73" s="16" t="inlineStr">
        <is>
          <t>Leads a function; shapes functional strategy</t>
        </is>
      </c>
      <c r="M73" s="202" t="n"/>
      <c r="N73" s="201" t="n"/>
      <c r="O73" s="16" t="inlineStr">
        <is>
          <t>About 14.5 yrs</t>
        </is>
      </c>
      <c r="P73" s="202" t="n"/>
      <c r="Q73" s="201" t="n"/>
      <c r="R73" s="16" t="inlineStr">
        <is>
          <t>Drives a function's or department's results and costs</t>
        </is>
      </c>
      <c r="S73" s="202" t="n"/>
      <c r="T73" s="201" t="n"/>
    </row>
    <row r="74" ht="28" customHeight="1">
      <c r="A74" s="13" t="inlineStr">
        <is>
          <t>7 · C1</t>
        </is>
      </c>
      <c r="B74" s="201" t="n"/>
      <c r="C74" s="16" t="inlineStr">
        <is>
          <t>Ambiguous, cross-product problems</t>
        </is>
      </c>
      <c r="D74" s="202" t="n"/>
      <c r="E74" s="201" t="n"/>
      <c r="F74" s="16" t="inlineStr">
        <is>
          <t>Sets direction for a sub-function or domain</t>
        </is>
      </c>
      <c r="G74" s="202" t="n"/>
      <c r="H74" s="201" t="n"/>
      <c r="I74" s="16" t="inlineStr">
        <is>
          <t>Sub-function results or domain quality across products</t>
        </is>
      </c>
      <c r="J74" s="202" t="n"/>
      <c r="K74" s="201" t="n"/>
      <c r="L74" s="16" t="inlineStr">
        <is>
          <t>Leads managers or a community of practice</t>
        </is>
      </c>
      <c r="M74" s="202" t="n"/>
      <c r="N74" s="201" t="n"/>
      <c r="O74" s="16" t="inlineStr">
        <is>
          <t>About 12 yrs</t>
        </is>
      </c>
      <c r="P74" s="202" t="n"/>
      <c r="Q74" s="201" t="n"/>
      <c r="R74" s="16" t="inlineStr">
        <is>
          <t>Changes results across a sub-function or across products</t>
        </is>
      </c>
      <c r="S74" s="202" t="n"/>
      <c r="T74" s="201" t="n"/>
    </row>
    <row r="75" ht="54" customHeight="1">
      <c r="A75" s="13" t="inlineStr">
        <is>
          <t>6.5 · B+</t>
        </is>
      </c>
      <c r="B75" s="201" t="n"/>
      <c r="C75" s="16" t="inlineStr">
        <is>
          <t>Principal-level problems in own domain; sets technical or quality standards and still builds</t>
        </is>
      </c>
      <c r="D75" s="202" t="n"/>
      <c r="E75" s="201" t="n"/>
      <c r="F75" s="16" t="inlineStr">
        <is>
          <t>Decides approach and priorities for the practice; escalates only cross-function trade-offs</t>
        </is>
      </c>
      <c r="G75" s="202" t="n"/>
      <c r="H75" s="201" t="n"/>
      <c r="I75" s="16" t="inlineStr">
        <is>
          <t>Practice outcomes plus own deliverables; quality and delivery of the team</t>
        </is>
      </c>
      <c r="J75" s="202" t="n"/>
      <c r="K75" s="201" t="n"/>
      <c r="L75" s="16" t="inlineStr">
        <is>
          <t>Leads 3–6 people · or a pod while remaining a hands-on expert; coaches, allocates, reviews</t>
        </is>
      </c>
      <c r="M75" s="202" t="n"/>
      <c r="N75" s="201" t="n"/>
      <c r="O75" s="16" t="inlineStr">
        <is>
          <t>About 11–12 yrs</t>
        </is>
      </c>
      <c r="P75" s="202" t="n"/>
      <c r="Q75" s="201" t="n"/>
      <c r="R75" s="16" t="inlineStr">
        <is>
          <t>Drives a practice's results while delivering the hardest work</t>
        </is>
      </c>
      <c r="S75" s="202" t="n"/>
      <c r="T75" s="201" t="n"/>
    </row>
    <row r="76" ht="41" customHeight="1">
      <c r="A76" s="13" t="inlineStr">
        <is>
          <t>6 · B3</t>
        </is>
      </c>
      <c r="B76" s="201" t="n"/>
      <c r="C76" s="16" t="inlineStr">
        <is>
          <t>Sets standards for a practice; cross-team problems</t>
        </is>
      </c>
      <c r="D76" s="202" t="n"/>
      <c r="E76" s="201" t="n"/>
      <c r="F76" s="16" t="inlineStr">
        <is>
          <t>Commercial / strategic calls for the unit</t>
        </is>
      </c>
      <c r="G76" s="202" t="n"/>
      <c r="H76" s="201" t="n"/>
      <c r="I76" s="16" t="inlineStr">
        <is>
          <t>Several teams or a practice</t>
        </is>
      </c>
      <c r="J76" s="202" t="n"/>
      <c r="K76" s="201" t="n"/>
      <c r="L76" s="16" t="inlineStr">
        <is>
          <r>
            <rPr>
              <rFont val="Calibri"/>
              <b val="1"/>
              <sz val="10"/>
            </rPr>
            <t>IC:</t>
          </r>
          <r>
            <rPr>
              <rFont val="Calibri"/>
              <sz val="10"/>
            </rPr>
            <t xml:space="preserve"> leads a practice · People: team leads / managers report in</t>
          </r>
        </is>
      </c>
      <c r="M76" s="202" t="n"/>
      <c r="N76" s="201" t="n"/>
      <c r="O76" s="16" t="inlineStr">
        <is>
          <t>About 10 yrs</t>
        </is>
      </c>
      <c r="P76" s="202" t="n"/>
      <c r="Q76" s="201" t="n"/>
      <c r="R76" s="16" t="inlineStr">
        <is>
          <t>Shapes the results of a practice or several teams</t>
        </is>
      </c>
      <c r="S76" s="202" t="n"/>
      <c r="T76" s="201" t="n"/>
    </row>
    <row r="77" ht="41" customHeight="1">
      <c r="A77" s="13" t="inlineStr">
        <is>
          <t>5 · B2</t>
        </is>
      </c>
      <c r="B77" s="201" t="n"/>
      <c r="C77" s="16" t="inlineStr">
        <is>
          <t>Hardest problems in the domain</t>
        </is>
      </c>
      <c r="D77" s="202" t="n"/>
      <c r="E77" s="201" t="n"/>
      <c r="F77" s="16" t="inlineStr">
        <is>
          <t>Allocates people and sets team priorities</t>
        </is>
      </c>
      <c r="G77" s="202" t="n"/>
      <c r="H77" s="201" t="n"/>
      <c r="I77" s="16" t="inlineStr">
        <is>
          <t>One team or a client portfolio</t>
        </is>
      </c>
      <c r="J77" s="202" t="n"/>
      <c r="K77" s="201" t="n"/>
      <c r="L77" s="16" t="inlineStr">
        <is>
          <r>
            <rPr>
              <rFont val="Calibri"/>
              <b val="1"/>
              <sz val="10"/>
            </rPr>
            <t>IC:</t>
          </r>
          <r>
            <rPr>
              <rFont val="Calibri"/>
              <sz val="10"/>
            </rPr>
            <t xml:space="preserve"> guides others in the domain · People: manages a team of 6+</t>
          </r>
        </is>
      </c>
      <c r="M77" s="202" t="n"/>
      <c r="N77" s="201" t="n"/>
      <c r="O77" s="16" t="inlineStr">
        <is>
          <t>About 7.5 yrs</t>
        </is>
      </c>
      <c r="P77" s="202" t="n"/>
      <c r="Q77" s="201" t="n"/>
      <c r="R77" s="16" t="inlineStr">
        <is>
          <t>Visible effect on a team's or client portfolio's revenue, quality or compliance</t>
        </is>
      </c>
      <c r="S77" s="202" t="n"/>
      <c r="T77" s="201" t="n"/>
    </row>
    <row r="78" ht="41" customHeight="1">
      <c r="A78" s="13" t="inlineStr">
        <is>
          <t>4 · B1</t>
        </is>
      </c>
      <c r="B78" s="201" t="n"/>
      <c r="C78" s="16" t="inlineStr">
        <is>
          <t>Domain specialist work</t>
        </is>
      </c>
      <c r="D78" s="202" t="n"/>
      <c r="E78" s="201" t="n"/>
      <c r="F78" s="16" t="inlineStr">
        <is>
          <t>Technical / QC / client calls for the domain</t>
        </is>
      </c>
      <c r="G78" s="202" t="n"/>
      <c r="H78" s="201" t="n"/>
      <c r="I78" s="16" t="inlineStr">
        <is>
          <t>A domain or a small team</t>
        </is>
      </c>
      <c r="J78" s="202" t="n"/>
      <c r="K78" s="201" t="n"/>
      <c r="L78" s="16" t="inlineStr">
        <is>
          <r>
            <rPr>
              <rFont val="Calibri"/>
              <b val="1"/>
              <sz val="10"/>
            </rPr>
            <t>IC:</t>
          </r>
          <r>
            <rPr>
              <rFont val="Calibri"/>
              <sz val="10"/>
            </rPr>
            <t xml:space="preserve"> mentors and reviews · People: hands-on team lead of 3–5</t>
          </r>
        </is>
      </c>
      <c r="M78" s="202" t="n"/>
      <c r="N78" s="201" t="n"/>
      <c r="O78" s="16" t="inlineStr">
        <is>
          <t>About 5.5 yrs</t>
        </is>
      </c>
      <c r="P78" s="202" t="n"/>
      <c r="Q78" s="201" t="n"/>
      <c r="R78" s="16" t="inlineStr">
        <is>
          <t>Moves a module's, product area's or client account's results</t>
        </is>
      </c>
      <c r="S78" s="202" t="n"/>
      <c r="T78" s="201" t="n"/>
    </row>
    <row r="79" ht="41" customHeight="1">
      <c r="A79" s="13" t="inlineStr">
        <is>
          <t>3 · A3</t>
        </is>
      </c>
      <c r="B79" s="201" t="n"/>
      <c r="C79" s="16" t="inlineStr">
        <is>
          <t>Varied and non-standard work; handles exceptions</t>
        </is>
      </c>
      <c r="D79" s="202" t="n"/>
      <c r="E79" s="201" t="n"/>
      <c r="F79" s="16" t="inlineStr">
        <is>
          <t>Technical / QC / client calls on own work</t>
        </is>
      </c>
      <c r="G79" s="202" t="n"/>
      <c r="H79" s="201" t="n"/>
      <c r="I79" s="16" t="inlineStr">
        <is>
          <t>A module / process, or work with client or regulatory consequences</t>
        </is>
      </c>
      <c r="J79" s="202" t="n"/>
      <c r="K79" s="201" t="n"/>
      <c r="L79" s="16" t="inlineStr">
        <is>
          <t>Not scored in Band A</t>
        </is>
      </c>
      <c r="M79" s="202" t="n"/>
      <c r="N79" s="201" t="n"/>
      <c r="O79" s="16" t="inlineStr">
        <is>
          <t>About 3 yrs</t>
        </is>
      </c>
      <c r="P79" s="202" t="n"/>
      <c r="Q79" s="201" t="n"/>
      <c r="R79" s="16" t="inlineStr">
        <is>
          <t>A process or client deliverable depends on this work</t>
        </is>
      </c>
      <c r="S79" s="202" t="n"/>
      <c r="T79" s="201" t="n"/>
    </row>
    <row r="80" ht="28" customHeight="1">
      <c r="A80" s="13" t="inlineStr">
        <is>
          <t>2 · A2</t>
        </is>
      </c>
      <c r="B80" s="201" t="n"/>
      <c r="C80" s="16" t="inlineStr">
        <is>
          <t>Standard work of the discipline</t>
        </is>
      </c>
      <c r="D80" s="202" t="n"/>
      <c r="E80" s="201" t="n"/>
      <c r="F80" s="16" t="inlineStr">
        <is>
          <t>Chooses own approach within standards</t>
        </is>
      </c>
      <c r="G80" s="202" t="n"/>
      <c r="H80" s="201" t="n"/>
      <c r="I80" s="16" t="inlineStr">
        <is>
          <t>Own deliverables · accuracy, TAT</t>
        </is>
      </c>
      <c r="J80" s="202" t="n"/>
      <c r="K80" s="201" t="n"/>
      <c r="L80" s="16" t="inlineStr">
        <is>
          <t>Not scored in Band A</t>
        </is>
      </c>
      <c r="M80" s="202" t="n"/>
      <c r="N80" s="201" t="n"/>
      <c r="O80" s="16" t="inlineStr">
        <is>
          <t>About 1 yr</t>
        </is>
      </c>
      <c r="P80" s="202" t="n"/>
      <c r="Q80" s="201" t="n"/>
      <c r="R80" s="16" t="inlineStr">
        <is>
          <t>Own deliverables feed a team's output and turnaround</t>
        </is>
      </c>
      <c r="S80" s="202" t="n"/>
      <c r="T80" s="201" t="n"/>
    </row>
    <row r="81" ht="28" customHeight="1">
      <c r="A81" s="13" t="inlineStr">
        <is>
          <t>1 · A1</t>
        </is>
      </c>
      <c r="B81" s="201" t="n"/>
      <c r="C81" s="16" t="inlineStr">
        <is>
          <t>Learning; follows worked examples</t>
        </is>
      </c>
      <c r="D81" s="202" t="n"/>
      <c r="E81" s="201" t="n"/>
      <c r="F81" s="16" t="inlineStr">
        <is>
          <t>Needs approval / close guidance</t>
        </is>
      </c>
      <c r="G81" s="202" t="n"/>
      <c r="H81" s="201" t="n"/>
      <c r="I81" s="16" t="inlineStr">
        <is>
          <t>Learning tasks</t>
        </is>
      </c>
      <c r="J81" s="202" t="n"/>
      <c r="K81" s="201" t="n"/>
      <c r="L81" s="16" t="inlineStr">
        <is>
          <t>Not scored in Band A</t>
        </is>
      </c>
      <c r="M81" s="202" t="n"/>
      <c r="N81" s="201" t="n"/>
      <c r="O81" s="16" t="inlineStr">
        <is>
          <t>No experience yet</t>
        </is>
      </c>
      <c r="P81" s="202" t="n"/>
      <c r="Q81" s="201" t="n"/>
      <c r="R81" s="16" t="inlineStr">
        <is>
          <t>Learning; little direct effect on business results yet</t>
        </is>
      </c>
      <c r="S81" s="202" t="n"/>
      <c r="T81" s="201" t="n"/>
    </row>
    <row r="82" ht="15" customHeight="1"/>
    <row r="83" ht="15" customHeight="1">
      <c r="A83" s="11"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K61:N61"/>
    <mergeCell ref="I72:K72"/>
    <mergeCell ref="I32:T32"/>
    <mergeCell ref="F76:H76"/>
    <mergeCell ref="A73:B73"/>
    <mergeCell ref="C80:E80"/>
    <mergeCell ref="C41:T41"/>
    <mergeCell ref="L74:N74"/>
    <mergeCell ref="A15:T15"/>
    <mergeCell ref="A51:T51"/>
    <mergeCell ref="A70:B70"/>
    <mergeCell ref="C43:T43"/>
    <mergeCell ref="L76:N76"/>
    <mergeCell ref="K62:N62"/>
    <mergeCell ref="C71:E71"/>
    <mergeCell ref="A41:B41"/>
    <mergeCell ref="I33:T33"/>
    <mergeCell ref="R75:T75"/>
    <mergeCell ref="L69:N69"/>
    <mergeCell ref="O70:Q70"/>
    <mergeCell ref="I79:K79"/>
    <mergeCell ref="I73:K73"/>
    <mergeCell ref="A74:B74"/>
    <mergeCell ref="R77:T77"/>
    <mergeCell ref="R72:T72"/>
    <mergeCell ref="O76:Q76"/>
    <mergeCell ref="C32:H32"/>
    <mergeCell ref="A27:T27"/>
    <mergeCell ref="A76:B76"/>
    <mergeCell ref="A33:B33"/>
    <mergeCell ref="A42:B42"/>
    <mergeCell ref="A58:F58"/>
    <mergeCell ref="A2:T2"/>
    <mergeCell ref="I74:K74"/>
    <mergeCell ref="I34:T34"/>
    <mergeCell ref="C77:E77"/>
    <mergeCell ref="G57:J57"/>
    <mergeCell ref="F78:H78"/>
    <mergeCell ref="O77:Q77"/>
    <mergeCell ref="A60:F60"/>
    <mergeCell ref="C74:E74"/>
    <mergeCell ref="K58:N58"/>
    <mergeCell ref="A68:B68"/>
    <mergeCell ref="R79:T79"/>
    <mergeCell ref="A28:B28"/>
    <mergeCell ref="G58:J58"/>
    <mergeCell ref="A30:B30"/>
    <mergeCell ref="L71:N71"/>
    <mergeCell ref="O63:T63"/>
    <mergeCell ref="A48:T48"/>
    <mergeCell ref="C75:E75"/>
    <mergeCell ref="I28:T28"/>
    <mergeCell ref="A45:B45"/>
    <mergeCell ref="R74:T74"/>
    <mergeCell ref="C40:T40"/>
    <mergeCell ref="O75:Q75"/>
    <mergeCell ref="L73:N73"/>
    <mergeCell ref="A79:B79"/>
    <mergeCell ref="R76:T76"/>
    <mergeCell ref="O80:Q80"/>
    <mergeCell ref="A46:B46"/>
    <mergeCell ref="C70:E70"/>
    <mergeCell ref="O79:Q79"/>
    <mergeCell ref="A8:I8"/>
    <mergeCell ref="A54:T54"/>
    <mergeCell ref="A62:F62"/>
    <mergeCell ref="F77:H77"/>
    <mergeCell ref="I78:K78"/>
    <mergeCell ref="C81:E81"/>
    <mergeCell ref="G61:J61"/>
    <mergeCell ref="O72:Q72"/>
    <mergeCell ref="R68:T68"/>
    <mergeCell ref="O81:Q81"/>
    <mergeCell ref="C28:H28"/>
    <mergeCell ref="A56:T56"/>
    <mergeCell ref="A71:B71"/>
    <mergeCell ref="L77:N77"/>
    <mergeCell ref="O78:Q78"/>
    <mergeCell ref="I81:K81"/>
    <mergeCell ref="K63:N63"/>
    <mergeCell ref="C30:H30"/>
    <mergeCell ref="A59:F59"/>
    <mergeCell ref="F69:H69"/>
    <mergeCell ref="G62:J62"/>
    <mergeCell ref="C6:H6"/>
    <mergeCell ref="L67:N67"/>
    <mergeCell ref="C79:E79"/>
    <mergeCell ref="A53:T53"/>
    <mergeCell ref="C73:E73"/>
    <mergeCell ref="A61:F61"/>
    <mergeCell ref="R78:T78"/>
    <mergeCell ref="C45:T45"/>
    <mergeCell ref="A10:T10"/>
    <mergeCell ref="L78:N78"/>
    <mergeCell ref="I76:K76"/>
    <mergeCell ref="A77:B77"/>
    <mergeCell ref="A34:B34"/>
    <mergeCell ref="R80:T80"/>
    <mergeCell ref="F79:H79"/>
    <mergeCell ref="I75:K75"/>
    <mergeCell ref="A39:T39"/>
    <mergeCell ref="C44:T44"/>
    <mergeCell ref="O69:Q69"/>
    <mergeCell ref="A49:T49"/>
    <mergeCell ref="R70:T70"/>
    <mergeCell ref="A36:T36"/>
    <mergeCell ref="A11:T11"/>
    <mergeCell ref="I68:K68"/>
    <mergeCell ref="A69:B69"/>
    <mergeCell ref="A1:T1"/>
    <mergeCell ref="F81:H81"/>
    <mergeCell ref="G60:J60"/>
    <mergeCell ref="A78:B78"/>
    <mergeCell ref="L79:N79"/>
    <mergeCell ref="O62:T62"/>
    <mergeCell ref="I67:K67"/>
    <mergeCell ref="F71:H71"/>
    <mergeCell ref="A75:B75"/>
    <mergeCell ref="A65:T65"/>
    <mergeCell ref="O58:T58"/>
    <mergeCell ref="G59:J59"/>
    <mergeCell ref="A80:B80"/>
    <mergeCell ref="F67:H67"/>
    <mergeCell ref="L81:N81"/>
    <mergeCell ref="C67:E67"/>
    <mergeCell ref="O60:T60"/>
    <mergeCell ref="I29:T29"/>
    <mergeCell ref="A37:T37"/>
    <mergeCell ref="A63:F63"/>
    <mergeCell ref="O67:Q67"/>
    <mergeCell ref="C72:E72"/>
    <mergeCell ref="A12:T12"/>
    <mergeCell ref="O57:T57"/>
    <mergeCell ref="C69:E69"/>
    <mergeCell ref="A32:B32"/>
    <mergeCell ref="C78:E78"/>
    <mergeCell ref="I31:T31"/>
    <mergeCell ref="C34:H34"/>
    <mergeCell ref="A14:T14"/>
    <mergeCell ref="I80:K80"/>
    <mergeCell ref="R67:T67"/>
    <mergeCell ref="F68:H68"/>
    <mergeCell ref="A43:B43"/>
    <mergeCell ref="C42:T42"/>
    <mergeCell ref="I70:K70"/>
    <mergeCell ref="L75:N75"/>
    <mergeCell ref="A52:T52"/>
    <mergeCell ref="A40:B40"/>
    <mergeCell ref="A67:B67"/>
    <mergeCell ref="R69:T69"/>
    <mergeCell ref="C29:H29"/>
    <mergeCell ref="L68:N68"/>
    <mergeCell ref="F80:H80"/>
    <mergeCell ref="C31:H31"/>
    <mergeCell ref="I71:K71"/>
    <mergeCell ref="A83:T83"/>
    <mergeCell ref="F75:H75"/>
    <mergeCell ref="F70:H70"/>
    <mergeCell ref="G63:J63"/>
    <mergeCell ref="O74:Q74"/>
    <mergeCell ref="K57:N57"/>
    <mergeCell ref="O59:T59"/>
    <mergeCell ref="A57:F57"/>
    <mergeCell ref="F72:H72"/>
    <mergeCell ref="C76:E76"/>
    <mergeCell ref="O71:Q71"/>
    <mergeCell ref="C46:T46"/>
    <mergeCell ref="O61:T61"/>
    <mergeCell ref="R81:T81"/>
    <mergeCell ref="C7:H7"/>
    <mergeCell ref="A66:T66"/>
    <mergeCell ref="L72:N72"/>
    <mergeCell ref="O73:Q73"/>
    <mergeCell ref="L80:N80"/>
    <mergeCell ref="R71:T71"/>
    <mergeCell ref="A50:T50"/>
    <mergeCell ref="A3:T3"/>
    <mergeCell ref="A55:T55"/>
    <mergeCell ref="I69:K69"/>
    <mergeCell ref="L70:N70"/>
    <mergeCell ref="K60:N60"/>
    <mergeCell ref="F73:H73"/>
    <mergeCell ref="C68:E68"/>
    <mergeCell ref="R73:T73"/>
    <mergeCell ref="I30:T30"/>
    <mergeCell ref="A5:T5"/>
    <mergeCell ref="C33:H33"/>
    <mergeCell ref="O68:Q68"/>
    <mergeCell ref="I77:K77"/>
    <mergeCell ref="A72:B72"/>
    <mergeCell ref="A29:B29"/>
    <mergeCell ref="A81:B81"/>
    <mergeCell ref="K59:N59"/>
    <mergeCell ref="A38:T38"/>
    <mergeCell ref="A44:B44"/>
    <mergeCell ref="F74:H74"/>
    <mergeCell ref="A31:B31"/>
    <mergeCell ref="A13:T13"/>
  </mergeCells>
  <conditionalFormatting sqref="G17:G25">
    <cfRule type="colorScale" priority="1">
      <colorScale>
        <cfvo type="num" val="0"/>
        <cfvo type="num" val="40"/>
        <color rgb="00FFFFFF"/>
        <color rgb="00A9D08E"/>
      </colorScale>
    </cfRule>
  </conditionalFormatting>
  <conditionalFormatting sqref="H17:H25">
    <cfRule type="colorScale" priority="2">
      <colorScale>
        <cfvo type="num" val="0"/>
        <cfvo type="num" val="40"/>
        <color rgb="00FFFFFF"/>
        <color rgb="00A9D08E"/>
      </colorScale>
    </cfRule>
  </conditionalFormatting>
  <conditionalFormatting sqref="I17:I25">
    <cfRule type="colorScale" priority="3">
      <colorScale>
        <cfvo type="num" val="0"/>
        <cfvo type="num" val="40"/>
        <color rgb="00FFFFFF"/>
        <color rgb="00A9D08E"/>
      </colorScale>
    </cfRule>
  </conditionalFormatting>
  <conditionalFormatting sqref="J17:J25">
    <cfRule type="colorScale" priority="4">
      <colorScale>
        <cfvo type="num" val="0"/>
        <cfvo type="num" val="40"/>
        <color rgb="00FFFFFF"/>
        <color rgb="00A9D08E"/>
      </colorScale>
    </cfRule>
  </conditionalFormatting>
  <conditionalFormatting sqref="K17:K25">
    <cfRule type="colorScale" priority="5">
      <colorScale>
        <cfvo type="num" val="0"/>
        <cfvo type="num" val="40"/>
        <color rgb="00FFFFFF"/>
        <color rgb="00A9D08E"/>
      </colorScale>
    </cfRule>
  </conditionalFormatting>
  <conditionalFormatting sqref="L17:L25">
    <cfRule type="colorScale" priority="6">
      <colorScale>
        <cfvo type="num" val="0"/>
        <cfvo type="num" val="40"/>
        <color rgb="00FFFFFF"/>
        <color rgb="00A9D08E"/>
      </colorScale>
    </cfRule>
  </conditionalFormatting>
  <dataValidations count="2">
    <dataValidation sqref="G17:L25"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232" t="inlineStr">
        <is>
          <t>◂ Contents</t>
        </is>
      </c>
    </row>
    <row r="2" ht="32" customHeight="1">
      <c r="A2" s="3" t="inlineStr">
        <is>
          <t>1e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1"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12" t="inlineStr">
        <is>
          <t>Role group · source</t>
        </is>
      </c>
      <c r="B7" s="12" t="inlineStr">
        <is>
          <t>Complexity</t>
        </is>
      </c>
      <c r="C7" s="12" t="inlineStr">
        <is>
          <t>Autonomy</t>
        </is>
      </c>
      <c r="D7" s="12" t="inlineStr">
        <is>
          <t>Accountability</t>
        </is>
      </c>
      <c r="E7" s="12" t="inlineStr">
        <is>
          <t>Leadership</t>
        </is>
      </c>
      <c r="F7" s="12" t="inlineStr">
        <is>
          <t>Experience</t>
        </is>
      </c>
      <c r="G7" s="12" t="inlineStr">
        <is>
          <t>Business impact</t>
        </is>
      </c>
      <c r="H7" s="12" t="inlineStr">
        <is>
          <t>Note</t>
        </is>
      </c>
    </row>
    <row r="8" ht="15" customHeight="1">
      <c r="A8" s="13" t="inlineStr">
        <is>
          <t>Band A · Korn Ferry Hay</t>
        </is>
      </c>
      <c r="B8" s="15" t="inlineStr">
        <is>
          <t>71%</t>
        </is>
      </c>
      <c r="C8" s="15" t="inlineStr">
        <is>
          <t>11%</t>
        </is>
      </c>
      <c r="D8" s="15" t="inlineStr">
        <is>
          <t>4%</t>
        </is>
      </c>
      <c r="E8" s="15" t="inlineStr">
        <is>
          <t>0%</t>
        </is>
      </c>
      <c r="F8" s="15" t="inlineStr">
        <is>
          <t>10%</t>
        </is>
      </c>
      <c r="G8" s="15" t="inlineStr">
        <is>
          <t>4%</t>
        </is>
      </c>
      <c r="H8" s="16" t="inlineStr"/>
    </row>
    <row r="9" ht="15" customHeight="1">
      <c r="A9" s="13" t="inlineStr">
        <is>
          <t>Band A · Mercer IPE</t>
        </is>
      </c>
      <c r="B9" s="15" t="inlineStr">
        <is>
          <t>51%</t>
        </is>
      </c>
      <c r="C9" s="15" t="inlineStr">
        <is>
          <t>22%</t>
        </is>
      </c>
      <c r="D9" s="15" t="inlineStr">
        <is>
          <t>8%</t>
        </is>
      </c>
      <c r="E9" s="15" t="inlineStr">
        <is>
          <t>0%</t>
        </is>
      </c>
      <c r="F9" s="15" t="inlineStr">
        <is>
          <t>10%</t>
        </is>
      </c>
      <c r="G9" s="15" t="inlineStr">
        <is>
          <t>8%</t>
        </is>
      </c>
      <c r="H9" s="16" t="inlineStr"/>
    </row>
    <row r="10" ht="15" customHeight="1">
      <c r="A10" s="13" t="inlineStr">
        <is>
          <t>Band A · Public plans</t>
        </is>
      </c>
      <c r="B10" s="15" t="inlineStr">
        <is>
          <t>53%</t>
        </is>
      </c>
      <c r="C10" s="15" t="inlineStr">
        <is>
          <t>15%</t>
        </is>
      </c>
      <c r="D10" s="15" t="inlineStr">
        <is>
          <t>15%</t>
        </is>
      </c>
      <c r="E10" s="15" t="inlineStr">
        <is>
          <t>0%</t>
        </is>
      </c>
      <c r="F10" s="15" t="inlineStr">
        <is>
          <t>10%</t>
        </is>
      </c>
      <c r="G10" s="15" t="inlineStr">
        <is>
          <t>7%</t>
        </is>
      </c>
      <c r="H10" s="16" t="inlineStr"/>
    </row>
    <row r="11" ht="15" customHeight="1">
      <c r="A11" s="27" t="inlineStr">
        <is>
          <t>Band A · IRIS default</t>
        </is>
      </c>
      <c r="B11" s="23" t="inlineStr">
        <is>
          <t>59%</t>
        </is>
      </c>
      <c r="C11" s="23" t="inlineStr">
        <is>
          <t>16%</t>
        </is>
      </c>
      <c r="D11" s="23" t="inlineStr">
        <is>
          <t>9%</t>
        </is>
      </c>
      <c r="E11" s="23" t="inlineStr">
        <is>
          <t>0%</t>
        </is>
      </c>
      <c r="F11" s="23" t="inlineStr">
        <is>
          <t>10%</t>
        </is>
      </c>
      <c r="G11" s="23" t="inlineStr">
        <is>
          <t>6%</t>
        </is>
      </c>
      <c r="H11" s="21" t="inlineStr">
        <is>
          <t>Average of the three, whole numbers</t>
        </is>
      </c>
    </row>
    <row r="12" ht="28" customHeight="1">
      <c r="A12" s="13" t="inlineStr">
        <is>
          <t>Band B · IC / POD Lead · Korn Ferry Hay</t>
        </is>
      </c>
      <c r="B12" s="15" t="inlineStr">
        <is>
          <t>54%</t>
        </is>
      </c>
      <c r="C12" s="15" t="inlineStr">
        <is>
          <t>19%</t>
        </is>
      </c>
      <c r="D12" s="15" t="inlineStr">
        <is>
          <t>6%</t>
        </is>
      </c>
      <c r="E12" s="15" t="inlineStr">
        <is>
          <t>5%</t>
        </is>
      </c>
      <c r="F12" s="15" t="inlineStr">
        <is>
          <t>10%</t>
        </is>
      </c>
      <c r="G12" s="15" t="inlineStr">
        <is>
          <t>6%</t>
        </is>
      </c>
      <c r="H12" s="16" t="inlineStr"/>
    </row>
    <row r="13" ht="28" customHeight="1">
      <c r="A13" s="13" t="inlineStr">
        <is>
          <t>Band B · IC / POD Lead · Mercer IPE</t>
        </is>
      </c>
      <c r="B13" s="15" t="inlineStr">
        <is>
          <t>52%</t>
        </is>
      </c>
      <c r="C13" s="15" t="inlineStr">
        <is>
          <t>18%</t>
        </is>
      </c>
      <c r="D13" s="15" t="inlineStr">
        <is>
          <t>8%</t>
        </is>
      </c>
      <c r="E13" s="15" t="inlineStr">
        <is>
          <t>5%</t>
        </is>
      </c>
      <c r="F13" s="15" t="inlineStr">
        <is>
          <t>10%</t>
        </is>
      </c>
      <c r="G13" s="15" t="inlineStr">
        <is>
          <t>8%</t>
        </is>
      </c>
      <c r="H13" s="16" t="inlineStr"/>
    </row>
    <row r="14" ht="28" customHeight="1">
      <c r="A14" s="13" t="inlineStr">
        <is>
          <t>Band B · IC / POD Lead · Public plans</t>
        </is>
      </c>
      <c r="B14" s="15" t="inlineStr">
        <is>
          <t>48%</t>
        </is>
      </c>
      <c r="C14" s="15" t="inlineStr">
        <is>
          <t>15%</t>
        </is>
      </c>
      <c r="D14" s="15" t="inlineStr">
        <is>
          <t>15%</t>
        </is>
      </c>
      <c r="E14" s="15" t="inlineStr">
        <is>
          <t>5%</t>
        </is>
      </c>
      <c r="F14" s="15" t="inlineStr">
        <is>
          <t>10%</t>
        </is>
      </c>
      <c r="G14" s="15" t="inlineStr">
        <is>
          <t>7%</t>
        </is>
      </c>
      <c r="H14" s="16" t="inlineStr"/>
    </row>
    <row r="15" ht="28" customHeight="1">
      <c r="A15" s="27" t="inlineStr">
        <is>
          <t>Band B · IC / POD Lead · IRIS default</t>
        </is>
      </c>
      <c r="B15" s="23" t="inlineStr">
        <is>
          <t>51%</t>
        </is>
      </c>
      <c r="C15" s="23" t="inlineStr">
        <is>
          <t>17%</t>
        </is>
      </c>
      <c r="D15" s="23" t="inlineStr">
        <is>
          <t>10%</t>
        </is>
      </c>
      <c r="E15" s="23" t="inlineStr">
        <is>
          <t>5%</t>
        </is>
      </c>
      <c r="F15" s="23" t="inlineStr">
        <is>
          <t>10%</t>
        </is>
      </c>
      <c r="G15" s="23" t="inlineStr">
        <is>
          <t>7%</t>
        </is>
      </c>
      <c r="H15" s="21" t="inlineStr">
        <is>
          <t>Average of the three, whole numbers</t>
        </is>
      </c>
    </row>
    <row r="16" ht="28" customHeight="1">
      <c r="A16" s="13" t="inlineStr">
        <is>
          <t>Band B · People Manager · Korn Ferry Hay</t>
        </is>
      </c>
      <c r="B16" s="15" t="inlineStr">
        <is>
          <t>35%</t>
        </is>
      </c>
      <c r="C16" s="15" t="inlineStr">
        <is>
          <t>21%</t>
        </is>
      </c>
      <c r="D16" s="15" t="inlineStr">
        <is>
          <t>10%</t>
        </is>
      </c>
      <c r="E16" s="15" t="inlineStr">
        <is>
          <t>15%</t>
        </is>
      </c>
      <c r="F16" s="15" t="inlineStr">
        <is>
          <t>10%</t>
        </is>
      </c>
      <c r="G16" s="15" t="inlineStr">
        <is>
          <t>10%</t>
        </is>
      </c>
      <c r="H16" s="16" t="inlineStr"/>
    </row>
    <row r="17" ht="28" customHeight="1">
      <c r="A17" s="13" t="inlineStr">
        <is>
          <t>Band B · People Manager · Mercer IPE</t>
        </is>
      </c>
      <c r="B17" s="15" t="inlineStr">
        <is>
          <t>38%</t>
        </is>
      </c>
      <c r="C17" s="15" t="inlineStr">
        <is>
          <t>19%</t>
        </is>
      </c>
      <c r="D17" s="15" t="inlineStr">
        <is>
          <t>9%</t>
        </is>
      </c>
      <c r="E17" s="15" t="inlineStr">
        <is>
          <t>15%</t>
        </is>
      </c>
      <c r="F17" s="15" t="inlineStr">
        <is>
          <t>10%</t>
        </is>
      </c>
      <c r="G17" s="15" t="inlineStr">
        <is>
          <t>9%</t>
        </is>
      </c>
      <c r="H17" s="16" t="inlineStr"/>
    </row>
    <row r="18" ht="28" customHeight="1">
      <c r="A18" s="13" t="inlineStr">
        <is>
          <t>Band B · People Manager · Public plans</t>
        </is>
      </c>
      <c r="B18" s="15" t="inlineStr">
        <is>
          <t>38%</t>
        </is>
      </c>
      <c r="C18" s="15" t="inlineStr">
        <is>
          <t>15%</t>
        </is>
      </c>
      <c r="D18" s="15" t="inlineStr">
        <is>
          <t>15%</t>
        </is>
      </c>
      <c r="E18" s="15" t="inlineStr">
        <is>
          <t>15%</t>
        </is>
      </c>
      <c r="F18" s="15" t="inlineStr">
        <is>
          <t>10%</t>
        </is>
      </c>
      <c r="G18" s="15" t="inlineStr">
        <is>
          <t>7%</t>
        </is>
      </c>
      <c r="H18" s="16" t="inlineStr"/>
    </row>
    <row r="19" ht="28" customHeight="1">
      <c r="A19" s="27" t="inlineStr">
        <is>
          <t>Band B · People Manager · IRIS default</t>
        </is>
      </c>
      <c r="B19" s="23" t="inlineStr">
        <is>
          <t>37%</t>
        </is>
      </c>
      <c r="C19" s="23" t="inlineStr">
        <is>
          <t>18%</t>
        </is>
      </c>
      <c r="D19" s="23" t="inlineStr">
        <is>
          <t>11%</t>
        </is>
      </c>
      <c r="E19" s="23" t="inlineStr">
        <is>
          <t>15%</t>
        </is>
      </c>
      <c r="F19" s="23" t="inlineStr">
        <is>
          <t>10%</t>
        </is>
      </c>
      <c r="G19" s="23" t="inlineStr">
        <is>
          <t>9%</t>
        </is>
      </c>
      <c r="H19" s="21" t="inlineStr">
        <is>
          <t>Average of the three, whole numbers</t>
        </is>
      </c>
    </row>
    <row r="20" ht="28" customHeight="1">
      <c r="A20" s="13" t="inlineStr">
        <is>
          <t>Player-Coach · B+ · Korn Ferry Hay</t>
        </is>
      </c>
      <c r="B20" s="15" t="inlineStr">
        <is>
          <t>44%</t>
        </is>
      </c>
      <c r="C20" s="15" t="inlineStr">
        <is>
          <t>20%</t>
        </is>
      </c>
      <c r="D20" s="15" t="inlineStr">
        <is>
          <t>8%</t>
        </is>
      </c>
      <c r="E20" s="15" t="inlineStr">
        <is>
          <t>10%</t>
        </is>
      </c>
      <c r="F20" s="15" t="inlineStr">
        <is>
          <t>10%</t>
        </is>
      </c>
      <c r="G20" s="15" t="inlineStr">
        <is>
          <t>8%</t>
        </is>
      </c>
      <c r="H20" s="16" t="inlineStr"/>
    </row>
    <row r="21" ht="15" customHeight="1">
      <c r="A21" s="13" t="inlineStr">
        <is>
          <t>Player-Coach · B+ · Mercer IPE</t>
        </is>
      </c>
      <c r="B21" s="15" t="inlineStr">
        <is>
          <t>45%</t>
        </is>
      </c>
      <c r="C21" s="15" t="inlineStr">
        <is>
          <t>18%</t>
        </is>
      </c>
      <c r="D21" s="15" t="inlineStr">
        <is>
          <t>8%</t>
        </is>
      </c>
      <c r="E21" s="15" t="inlineStr">
        <is>
          <t>10%</t>
        </is>
      </c>
      <c r="F21" s="15" t="inlineStr">
        <is>
          <t>10%</t>
        </is>
      </c>
      <c r="G21" s="15" t="inlineStr">
        <is>
          <t>8%</t>
        </is>
      </c>
      <c r="H21" s="16" t="inlineStr"/>
    </row>
    <row r="22" ht="15" customHeight="1">
      <c r="A22" s="13" t="inlineStr">
        <is>
          <t>Player-Coach · B+ · Public plans</t>
        </is>
      </c>
      <c r="B22" s="15" t="inlineStr">
        <is>
          <t>43%</t>
        </is>
      </c>
      <c r="C22" s="15" t="inlineStr">
        <is>
          <t>15%</t>
        </is>
      </c>
      <c r="D22" s="15" t="inlineStr">
        <is>
          <t>15%</t>
        </is>
      </c>
      <c r="E22" s="15" t="inlineStr">
        <is>
          <t>10%</t>
        </is>
      </c>
      <c r="F22" s="15" t="inlineStr">
        <is>
          <t>10%</t>
        </is>
      </c>
      <c r="G22" s="15" t="inlineStr">
        <is>
          <t>7%</t>
        </is>
      </c>
      <c r="H22" s="16" t="inlineStr"/>
    </row>
    <row r="23" ht="15" customHeight="1">
      <c r="A23" s="27" t="inlineStr">
        <is>
          <t>Player-Coach · B+ · IRIS default</t>
        </is>
      </c>
      <c r="B23" s="23" t="inlineStr">
        <is>
          <t>44%</t>
        </is>
      </c>
      <c r="C23" s="23" t="inlineStr">
        <is>
          <t>18%</t>
        </is>
      </c>
      <c r="D23" s="23" t="inlineStr">
        <is>
          <t>10%</t>
        </is>
      </c>
      <c r="E23" s="23" t="inlineStr">
        <is>
          <t>10%</t>
        </is>
      </c>
      <c r="F23" s="23" t="inlineStr">
        <is>
          <t>10%</t>
        </is>
      </c>
      <c r="G23" s="23" t="inlineStr">
        <is>
          <t>8%</t>
        </is>
      </c>
      <c r="H23" s="21" t="inlineStr">
        <is>
          <t>Average of the three, whole numbers</t>
        </is>
      </c>
    </row>
    <row r="24" ht="28" customHeight="1">
      <c r="A24" s="13" t="inlineStr">
        <is>
          <t>Band C · Principal specialist · Korn Ferry Hay</t>
        </is>
      </c>
      <c r="B24" s="15" t="inlineStr">
        <is>
          <t>55%</t>
        </is>
      </c>
      <c r="C24" s="15" t="inlineStr">
        <is>
          <t>20%</t>
        </is>
      </c>
      <c r="D24" s="15" t="inlineStr">
        <is>
          <t>8%</t>
        </is>
      </c>
      <c r="E24" s="15" t="inlineStr">
        <is>
          <t>5%</t>
        </is>
      </c>
      <c r="F24" s="15" t="inlineStr">
        <is>
          <t>5%</t>
        </is>
      </c>
      <c r="G24" s="15" t="inlineStr">
        <is>
          <t>8%</t>
        </is>
      </c>
      <c r="H24" s="16" t="inlineStr"/>
    </row>
    <row r="25" ht="28" customHeight="1">
      <c r="A25" s="13" t="inlineStr">
        <is>
          <t>Band C · Principal specialist · Mercer IPE</t>
        </is>
      </c>
      <c r="B25" s="15" t="inlineStr">
        <is>
          <t>55%</t>
        </is>
      </c>
      <c r="C25" s="15" t="inlineStr">
        <is>
          <t>18%</t>
        </is>
      </c>
      <c r="D25" s="15" t="inlineStr">
        <is>
          <t>8%</t>
        </is>
      </c>
      <c r="E25" s="15" t="inlineStr">
        <is>
          <t>5%</t>
        </is>
      </c>
      <c r="F25" s="15" t="inlineStr">
        <is>
          <t>5%</t>
        </is>
      </c>
      <c r="G25" s="15" t="inlineStr">
        <is>
          <t>8%</t>
        </is>
      </c>
      <c r="H25" s="16" t="inlineStr"/>
    </row>
    <row r="26" ht="28" customHeight="1">
      <c r="A26" s="13" t="inlineStr">
        <is>
          <t>Band C · Principal specialist · Public plans</t>
        </is>
      </c>
      <c r="B26" s="15" t="inlineStr">
        <is>
          <t>53%</t>
        </is>
      </c>
      <c r="C26" s="15" t="inlineStr">
        <is>
          <t>15%</t>
        </is>
      </c>
      <c r="D26" s="15" t="inlineStr">
        <is>
          <t>15%</t>
        </is>
      </c>
      <c r="E26" s="15" t="inlineStr">
        <is>
          <t>5%</t>
        </is>
      </c>
      <c r="F26" s="15" t="inlineStr">
        <is>
          <t>5%</t>
        </is>
      </c>
      <c r="G26" s="15" t="inlineStr">
        <is>
          <t>7%</t>
        </is>
      </c>
      <c r="H26" s="16" t="inlineStr"/>
    </row>
    <row r="27" ht="28" customHeight="1">
      <c r="A27" s="27" t="inlineStr">
        <is>
          <t>Band C · Principal specialist · IRIS default</t>
        </is>
      </c>
      <c r="B27" s="23" t="inlineStr">
        <is>
          <t>54%</t>
        </is>
      </c>
      <c r="C27" s="23" t="inlineStr">
        <is>
          <t>18%</t>
        </is>
      </c>
      <c r="D27" s="23" t="inlineStr">
        <is>
          <t>10%</t>
        </is>
      </c>
      <c r="E27" s="23" t="inlineStr">
        <is>
          <t>5%</t>
        </is>
      </c>
      <c r="F27" s="23" t="inlineStr">
        <is>
          <t>5%</t>
        </is>
      </c>
      <c r="G27" s="23" t="inlineStr">
        <is>
          <t>8%</t>
        </is>
      </c>
      <c r="H27" s="21" t="inlineStr">
        <is>
          <t>Average of the three, whole numbers</t>
        </is>
      </c>
    </row>
    <row r="28" ht="28" customHeight="1">
      <c r="A28" s="13" t="inlineStr">
        <is>
          <t>Band C · Head / manager · Korn Ferry Hay</t>
        </is>
      </c>
      <c r="B28" s="15" t="inlineStr">
        <is>
          <t>44%</t>
        </is>
      </c>
      <c r="C28" s="15" t="inlineStr">
        <is>
          <t>20%</t>
        </is>
      </c>
      <c r="D28" s="15" t="inlineStr">
        <is>
          <t>8%</t>
        </is>
      </c>
      <c r="E28" s="15" t="inlineStr">
        <is>
          <t>15%</t>
        </is>
      </c>
      <c r="F28" s="15" t="inlineStr">
        <is>
          <t>5%</t>
        </is>
      </c>
      <c r="G28" s="15" t="inlineStr">
        <is>
          <t>8%</t>
        </is>
      </c>
      <c r="H28" s="16" t="inlineStr"/>
    </row>
    <row r="29" ht="28" customHeight="1">
      <c r="A29" s="13" t="inlineStr">
        <is>
          <t>Band C · Head / manager · Mercer IPE</t>
        </is>
      </c>
      <c r="B29" s="15" t="inlineStr">
        <is>
          <t>43%</t>
        </is>
      </c>
      <c r="C29" s="15" t="inlineStr">
        <is>
          <t>19%</t>
        </is>
      </c>
      <c r="D29" s="15" t="inlineStr">
        <is>
          <t>9%</t>
        </is>
      </c>
      <c r="E29" s="15" t="inlineStr">
        <is>
          <t>15%</t>
        </is>
      </c>
      <c r="F29" s="15" t="inlineStr">
        <is>
          <t>5%</t>
        </is>
      </c>
      <c r="G29" s="15" t="inlineStr">
        <is>
          <t>9%</t>
        </is>
      </c>
      <c r="H29" s="16" t="inlineStr"/>
    </row>
    <row r="30" ht="28" customHeight="1">
      <c r="A30" s="13" t="inlineStr">
        <is>
          <t>Band C · Head / manager · Public plans</t>
        </is>
      </c>
      <c r="B30" s="15" t="inlineStr">
        <is>
          <t>43%</t>
        </is>
      </c>
      <c r="C30" s="15" t="inlineStr">
        <is>
          <t>15%</t>
        </is>
      </c>
      <c r="D30" s="15" t="inlineStr">
        <is>
          <t>15%</t>
        </is>
      </c>
      <c r="E30" s="15" t="inlineStr">
        <is>
          <t>15%</t>
        </is>
      </c>
      <c r="F30" s="15" t="inlineStr">
        <is>
          <t>5%</t>
        </is>
      </c>
      <c r="G30" s="15" t="inlineStr">
        <is>
          <t>7%</t>
        </is>
      </c>
      <c r="H30" s="16" t="inlineStr"/>
    </row>
    <row r="31" ht="28" customHeight="1">
      <c r="A31" s="27" t="inlineStr">
        <is>
          <t>Band C · Head / manager · IRIS default</t>
        </is>
      </c>
      <c r="B31" s="23" t="inlineStr">
        <is>
          <t>43%</t>
        </is>
      </c>
      <c r="C31" s="23" t="inlineStr">
        <is>
          <t>18%</t>
        </is>
      </c>
      <c r="D31" s="23" t="inlineStr">
        <is>
          <t>11%</t>
        </is>
      </c>
      <c r="E31" s="23" t="inlineStr">
        <is>
          <t>15%</t>
        </is>
      </c>
      <c r="F31" s="23" t="inlineStr">
        <is>
          <t>5%</t>
        </is>
      </c>
      <c r="G31" s="23" t="inlineStr">
        <is>
          <t>8%</t>
        </is>
      </c>
      <c r="H31" s="21" t="inlineStr">
        <is>
          <t>Average of the three, whole numbers</t>
        </is>
      </c>
    </row>
    <row r="32" ht="28" customHeight="1">
      <c r="A32" s="13" t="inlineStr">
        <is>
          <t>Player-Coach · C+ · Korn Ferry Hay</t>
        </is>
      </c>
      <c r="B32" s="15" t="inlineStr">
        <is>
          <t>38%</t>
        </is>
      </c>
      <c r="C32" s="15" t="inlineStr">
        <is>
          <t>21%</t>
        </is>
      </c>
      <c r="D32" s="15" t="inlineStr">
        <is>
          <t>8%</t>
        </is>
      </c>
      <c r="E32" s="15" t="inlineStr">
        <is>
          <t>20%</t>
        </is>
      </c>
      <c r="F32" s="15" t="inlineStr">
        <is>
          <t>5%</t>
        </is>
      </c>
      <c r="G32" s="15" t="inlineStr">
        <is>
          <t>8%</t>
        </is>
      </c>
      <c r="H32" s="16" t="inlineStr"/>
    </row>
    <row r="33" ht="15" customHeight="1">
      <c r="A33" s="13" t="inlineStr">
        <is>
          <t>Player-Coach · C+ · Mercer IPE</t>
        </is>
      </c>
      <c r="B33" s="15" t="inlineStr">
        <is>
          <t>37%</t>
        </is>
      </c>
      <c r="C33" s="15" t="inlineStr">
        <is>
          <t>19%</t>
        </is>
      </c>
      <c r="D33" s="15" t="inlineStr">
        <is>
          <t>9%</t>
        </is>
      </c>
      <c r="E33" s="15" t="inlineStr">
        <is>
          <t>20%</t>
        </is>
      </c>
      <c r="F33" s="15" t="inlineStr">
        <is>
          <t>5%</t>
        </is>
      </c>
      <c r="G33" s="15" t="inlineStr">
        <is>
          <t>9%</t>
        </is>
      </c>
      <c r="H33" s="16" t="inlineStr"/>
    </row>
    <row r="34" ht="15" customHeight="1">
      <c r="A34" s="13" t="inlineStr">
        <is>
          <t>Player-Coach · C+ · Public plans</t>
        </is>
      </c>
      <c r="B34" s="15" t="inlineStr">
        <is>
          <t>38%</t>
        </is>
      </c>
      <c r="C34" s="15" t="inlineStr">
        <is>
          <t>15%</t>
        </is>
      </c>
      <c r="D34" s="15" t="inlineStr">
        <is>
          <t>15%</t>
        </is>
      </c>
      <c r="E34" s="15" t="inlineStr">
        <is>
          <t>20%</t>
        </is>
      </c>
      <c r="F34" s="15" t="inlineStr">
        <is>
          <t>5%</t>
        </is>
      </c>
      <c r="G34" s="15" t="inlineStr">
        <is>
          <t>7%</t>
        </is>
      </c>
      <c r="H34" s="16" t="inlineStr"/>
    </row>
    <row r="35" ht="15" customHeight="1">
      <c r="A35" s="27" t="inlineStr">
        <is>
          <t>Player-Coach · C+ · IRIS default</t>
        </is>
      </c>
      <c r="B35" s="23" t="inlineStr">
        <is>
          <t>38%</t>
        </is>
      </c>
      <c r="C35" s="23" t="inlineStr">
        <is>
          <t>18%</t>
        </is>
      </c>
      <c r="D35" s="23" t="inlineStr">
        <is>
          <t>11%</t>
        </is>
      </c>
      <c r="E35" s="23" t="inlineStr">
        <is>
          <t>20%</t>
        </is>
      </c>
      <c r="F35" s="23" t="inlineStr">
        <is>
          <t>5%</t>
        </is>
      </c>
      <c r="G35" s="23" t="inlineStr">
        <is>
          <t>8%</t>
        </is>
      </c>
      <c r="H35" s="21" t="inlineStr">
        <is>
          <t>Average of the three, whole numbers</t>
        </is>
      </c>
    </row>
    <row r="36" ht="15" customHeight="1">
      <c r="A36" s="13" t="inlineStr">
        <is>
          <t>Bands D–E · Korn Ferry Hay</t>
        </is>
      </c>
      <c r="B36" s="15" t="inlineStr">
        <is>
          <t>36%</t>
        </is>
      </c>
      <c r="C36" s="15" t="inlineStr">
        <is>
          <t>22%</t>
        </is>
      </c>
      <c r="D36" s="15" t="inlineStr">
        <is>
          <t>9%</t>
        </is>
      </c>
      <c r="E36" s="15" t="inlineStr">
        <is>
          <t>20%</t>
        </is>
      </c>
      <c r="F36" s="15" t="inlineStr">
        <is>
          <t>5%</t>
        </is>
      </c>
      <c r="G36" s="15" t="inlineStr">
        <is>
          <t>9%</t>
        </is>
      </c>
      <c r="H36" s="16" t="inlineStr"/>
    </row>
    <row r="37" ht="15" customHeight="1">
      <c r="A37" s="13" t="inlineStr">
        <is>
          <t>Bands D–E · Mercer IPE</t>
        </is>
      </c>
      <c r="B37" s="15" t="inlineStr">
        <is>
          <t>35%</t>
        </is>
      </c>
      <c r="C37" s="15" t="inlineStr">
        <is>
          <t>20%</t>
        </is>
      </c>
      <c r="D37" s="15" t="inlineStr">
        <is>
          <t>10%</t>
        </is>
      </c>
      <c r="E37" s="15" t="inlineStr">
        <is>
          <t>20%</t>
        </is>
      </c>
      <c r="F37" s="15" t="inlineStr">
        <is>
          <t>5%</t>
        </is>
      </c>
      <c r="G37" s="15" t="inlineStr">
        <is>
          <t>10%</t>
        </is>
      </c>
      <c r="H37" s="16" t="inlineStr"/>
    </row>
    <row r="38" ht="15" customHeight="1">
      <c r="A38" s="13" t="inlineStr">
        <is>
          <t>Bands D–E · Public plans</t>
        </is>
      </c>
      <c r="B38" s="15" t="inlineStr">
        <is>
          <t>38%</t>
        </is>
      </c>
      <c r="C38" s="15" t="inlineStr">
        <is>
          <t>15%</t>
        </is>
      </c>
      <c r="D38" s="15" t="inlineStr">
        <is>
          <t>15%</t>
        </is>
      </c>
      <c r="E38" s="15" t="inlineStr">
        <is>
          <t>20%</t>
        </is>
      </c>
      <c r="F38" s="15" t="inlineStr">
        <is>
          <t>5%</t>
        </is>
      </c>
      <c r="G38" s="15" t="inlineStr">
        <is>
          <t>7%</t>
        </is>
      </c>
      <c r="H38" s="16" t="inlineStr"/>
    </row>
    <row r="39" ht="15" customHeight="1">
      <c r="A39" s="27" t="inlineStr">
        <is>
          <t>Bands D–E · IRIS default</t>
        </is>
      </c>
      <c r="B39" s="23" t="inlineStr">
        <is>
          <t>37%</t>
        </is>
      </c>
      <c r="C39" s="23" t="inlineStr">
        <is>
          <t>19%</t>
        </is>
      </c>
      <c r="D39" s="23" t="inlineStr">
        <is>
          <t>11%</t>
        </is>
      </c>
      <c r="E39" s="23" t="inlineStr">
        <is>
          <t>20%</t>
        </is>
      </c>
      <c r="F39" s="23" t="inlineStr">
        <is>
          <t>5%</t>
        </is>
      </c>
      <c r="G39" s="23" t="inlineStr">
        <is>
          <t>8%</t>
        </is>
      </c>
      <c r="H39" s="21" t="inlineStr">
        <is>
          <t>Average of the three, whole numbers</t>
        </is>
      </c>
    </row>
    <row r="40" ht="15" customHeight="1"/>
    <row r="41" ht="28" customHeight="1">
      <c r="A41" s="11"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12" t="inlineStr">
        <is>
          <t>IRIS factor</t>
        </is>
      </c>
      <c r="B43" s="201" t="n"/>
      <c r="C43" s="12" t="inlineStr">
        <is>
          <t>Taken from</t>
        </is>
      </c>
      <c r="D43" s="202" t="n"/>
      <c r="E43" s="202" t="n"/>
      <c r="F43" s="202" t="n"/>
      <c r="G43" s="202" t="n"/>
      <c r="H43" s="201" t="n"/>
    </row>
    <row r="44" ht="28" customHeight="1">
      <c r="A44" s="13" t="inlineStr">
        <is>
          <t>Experience &amp; Qualification</t>
        </is>
      </c>
      <c r="B44" s="201" t="n"/>
      <c r="C44" s="16" t="inlineStr">
        <is>
          <t>Held at the leadership's policy weight — 10% in Bands A–B, 5% in Bands C–E — and taken out of each method's knowledge factor first</t>
        </is>
      </c>
      <c r="D44" s="202" t="n"/>
      <c r="E44" s="202" t="n"/>
      <c r="F44" s="202" t="n"/>
      <c r="G44" s="202" t="n"/>
      <c r="H44" s="201" t="n"/>
    </row>
    <row r="45" ht="41" customHeight="1">
      <c r="A45" s="13" t="inlineStr">
        <is>
          <t>Leadership &amp; Strategy</t>
        </is>
      </c>
      <c r="B45" s="201" t="n"/>
      <c r="C45" s="16"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202" t="n"/>
      <c r="E45" s="202" t="n"/>
      <c r="F45" s="202" t="n"/>
      <c r="G45" s="202" t="n"/>
      <c r="H45" s="201" t="n"/>
    </row>
    <row r="46" ht="15" customHeight="1">
      <c r="A46" s="13" t="inlineStr">
        <is>
          <t>Complexity &amp; Expertise</t>
        </is>
      </c>
      <c r="B46" s="201" t="n"/>
      <c r="C46" s="16" t="inlineStr">
        <is>
          <t>The rest of the knowledge factor, plus 60% of problem solving / innovation · the thinking challenge</t>
        </is>
      </c>
      <c r="D46" s="202" t="n"/>
      <c r="E46" s="202" t="n"/>
      <c r="F46" s="202" t="n"/>
      <c r="G46" s="202" t="n"/>
      <c r="H46" s="201" t="n"/>
    </row>
    <row r="47" ht="28" customHeight="1">
      <c r="A47" s="13" t="inlineStr">
        <is>
          <t>Autonomy &amp; Decision</t>
        </is>
      </c>
      <c r="B47" s="201" t="n"/>
      <c r="C47" s="16" t="inlineStr">
        <is>
          <t>40% of problem solving / innovation · the thinking environment plus 40% of accountability / impact · freedom to act, Hay's heaviest element; the plans' own autonomy factor</t>
        </is>
      </c>
      <c r="D47" s="202" t="n"/>
      <c r="E47" s="202" t="n"/>
      <c r="F47" s="202" t="n"/>
      <c r="G47" s="202" t="n"/>
      <c r="H47" s="201" t="n"/>
    </row>
    <row r="48" ht="15" customHeight="1">
      <c r="A48" s="13" t="inlineStr">
        <is>
          <t>Accountability &amp; Impact</t>
        </is>
      </c>
      <c r="B48" s="201" t="n"/>
      <c r="C48" s="16" t="inlineStr">
        <is>
          <t>30% of accountability / impact — the area or magnitude of the job's scope; the plans' responsibility factors</t>
        </is>
      </c>
      <c r="D48" s="202" t="n"/>
      <c r="E48" s="202" t="n"/>
      <c r="F48" s="202" t="n"/>
      <c r="G48" s="202" t="n"/>
      <c r="H48" s="201" t="n"/>
    </row>
    <row r="49" ht="15" customHeight="1">
      <c r="A49" s="13" t="inlineStr">
        <is>
          <t>Business Impact</t>
        </is>
      </c>
      <c r="B49" s="201" t="n"/>
      <c r="C49" s="16" t="inlineStr">
        <is>
          <t>30% of accountability / impact — the nature of the job's impact on results; the plans' financial / consequences factor</t>
        </is>
      </c>
      <c r="D49" s="202" t="n"/>
      <c r="E49" s="202" t="n"/>
      <c r="F49" s="202" t="n"/>
      <c r="G49" s="202" t="n"/>
      <c r="H49" s="201" t="n"/>
    </row>
    <row r="50" ht="15" customHeight="1"/>
    <row r="51" ht="54" customHeight="1">
      <c r="A51" s="11"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1" t="inlineStr">
        <is>
          <t>Know-How / Problem Solving / Accountability points and shares. Canada's executive plan scores public-service jobs on the Hay guide charts, which makes these the best public evidence of Hay shares by level.</t>
        </is>
      </c>
    </row>
    <row r="54" ht="28" customHeight="1">
      <c r="A54" s="12" t="inlineStr">
        <is>
          <t>Job and level</t>
        </is>
      </c>
      <c r="B54" s="12" t="inlineStr">
        <is>
          <t>Know-How</t>
        </is>
      </c>
      <c r="C54" s="12" t="inlineStr">
        <is>
          <t>Problem Solving</t>
        </is>
      </c>
      <c r="D54" s="12" t="inlineStr">
        <is>
          <t>Accountability</t>
        </is>
      </c>
      <c r="E54" s="12" t="inlineStr">
        <is>
          <t>Shares KH / PS / AC</t>
        </is>
      </c>
      <c r="F54" s="230" t="inlineStr"/>
      <c r="G54" s="230" t="inlineStr"/>
      <c r="H54" s="12" t="inlineStr">
        <is>
          <t>Source</t>
        </is>
      </c>
    </row>
    <row r="55" ht="28" customHeight="1">
      <c r="A55" s="13" t="inlineStr">
        <is>
          <t>Junior · clerical typical profile</t>
        </is>
      </c>
      <c r="B55" s="15" t="inlineStr">
        <is>
          <t>—</t>
        </is>
      </c>
      <c r="C55" s="15" t="inlineStr">
        <is>
          <t>—</t>
        </is>
      </c>
      <c r="D55" s="15" t="inlineStr">
        <is>
          <t>—</t>
        </is>
      </c>
      <c r="E55" s="15" t="inlineStr">
        <is>
          <t>72.7 / 13.6 / 13.6</t>
        </is>
      </c>
      <c r="F55" s="16" t="inlineStr"/>
      <c r="G55" s="16" t="inlineStr"/>
      <c r="H55" s="16" t="inlineStr">
        <is>
          <t>Hay summary deck, typical profile 64/12/12 + 12% working conditions</t>
        </is>
      </c>
    </row>
    <row r="56" ht="28" customHeight="1">
      <c r="A56" s="13" t="inlineStr">
        <is>
          <t>Supervisor typical profile</t>
        </is>
      </c>
      <c r="B56" s="15" t="inlineStr">
        <is>
          <t>—</t>
        </is>
      </c>
      <c r="C56" s="15" t="inlineStr">
        <is>
          <t>—</t>
        </is>
      </c>
      <c r="D56" s="15" t="inlineStr">
        <is>
          <t>—</t>
        </is>
      </c>
      <c r="E56" s="15" t="inlineStr">
        <is>
          <t>47.4 / 20.6 / 32.0</t>
        </is>
      </c>
      <c r="F56" s="16" t="inlineStr"/>
      <c r="G56" s="16" t="inlineStr"/>
      <c r="H56" s="16" t="inlineStr">
        <is>
          <t>Hay summary deck, typical profile 46/20/31 + 3% working conditions</t>
        </is>
      </c>
    </row>
    <row r="57" ht="28" customHeight="1">
      <c r="A57" s="13" t="inlineStr">
        <is>
          <t>Professional · research scientist</t>
        </is>
      </c>
      <c r="B57" s="15" t="n">
        <v>460</v>
      </c>
      <c r="C57" s="15" t="n">
        <v>230</v>
      </c>
      <c r="D57" s="15" t="n">
        <v>132</v>
      </c>
      <c r="E57" s="15" t="inlineStr">
        <is>
          <t>56.0 / 28.0 / 16.1</t>
        </is>
      </c>
      <c r="F57" s="16" t="inlineStr"/>
      <c r="G57" s="16" t="inlineStr"/>
      <c r="H57" s="16" t="inlineStr">
        <is>
          <t>Hay summary deck</t>
        </is>
      </c>
    </row>
    <row r="58" ht="28" customHeight="1">
      <c r="A58" s="13" t="inlineStr">
        <is>
          <t>Manager · Regional Manager Finance &amp; Admin</t>
        </is>
      </c>
      <c r="B58" s="15" t="n">
        <v>460</v>
      </c>
      <c r="C58" s="15" t="n">
        <v>200</v>
      </c>
      <c r="D58" s="15" t="n">
        <v>230</v>
      </c>
      <c r="E58" s="15" t="inlineStr">
        <is>
          <t>51.7 / 22.5 / 25.8</t>
        </is>
      </c>
      <c r="F58" s="16" t="inlineStr"/>
      <c r="G58" s="16" t="inlineStr"/>
      <c r="H58" s="16" t="inlineStr">
        <is>
          <t>Canada TBS EX plan, 4-O-3</t>
        </is>
      </c>
    </row>
    <row r="59" ht="28" customHeight="1">
      <c r="A59" s="13" t="inlineStr">
        <is>
          <t>Director EX-1 · Director Financial Policies</t>
        </is>
      </c>
      <c r="B59" s="15" t="n">
        <v>460</v>
      </c>
      <c r="C59" s="15" t="n">
        <v>230</v>
      </c>
      <c r="D59" s="15" t="n">
        <v>264</v>
      </c>
      <c r="E59" s="15" t="inlineStr">
        <is>
          <t>48.2 / 24.1 / 27.7</t>
        </is>
      </c>
      <c r="F59" s="16" t="inlineStr"/>
      <c r="G59" s="16" t="inlineStr"/>
      <c r="H59" s="16" t="inlineStr">
        <is>
          <t>Canada TBS EX plan</t>
        </is>
      </c>
    </row>
    <row r="60" ht="28" customHeight="1">
      <c r="A60" s="13" t="inlineStr">
        <is>
          <t>Director EX-1 · Director Financial Management</t>
        </is>
      </c>
      <c r="B60" s="15" t="n">
        <v>528</v>
      </c>
      <c r="C60" s="15" t="n">
        <v>264</v>
      </c>
      <c r="D60" s="15" t="n">
        <v>264</v>
      </c>
      <c r="E60" s="15" t="inlineStr">
        <is>
          <t>50.0 / 25.0 / 25.0</t>
        </is>
      </c>
      <c r="F60" s="16" t="inlineStr"/>
      <c r="G60" s="16" t="inlineStr"/>
      <c r="H60" s="16" t="inlineStr">
        <is>
          <t>Canada TBS EX plan, 5-M-1</t>
        </is>
      </c>
    </row>
    <row r="61" ht="28" customHeight="1">
      <c r="A61" s="13" t="inlineStr">
        <is>
          <t>Director EX-1 · Regional Director</t>
        </is>
      </c>
      <c r="B61" s="15" t="n">
        <v>528</v>
      </c>
      <c r="C61" s="15" t="n">
        <v>264</v>
      </c>
      <c r="D61" s="15" t="n">
        <v>304</v>
      </c>
      <c r="E61" s="15" t="inlineStr">
        <is>
          <t>48.2 / 24.1 / 27.7</t>
        </is>
      </c>
      <c r="F61" s="16" t="inlineStr"/>
      <c r="G61" s="16" t="inlineStr"/>
      <c r="H61" s="16" t="inlineStr">
        <is>
          <t>Canada TBS EX plan, 5-A-1</t>
        </is>
      </c>
    </row>
    <row r="62" ht="28" customHeight="1">
      <c r="A62" s="13" t="inlineStr">
        <is>
          <t>Senior executive EX-2 · ADC Operations</t>
        </is>
      </c>
      <c r="B62" s="15" t="n">
        <v>608</v>
      </c>
      <c r="C62" s="15" t="n">
        <v>304</v>
      </c>
      <c r="D62" s="15" t="n">
        <v>350</v>
      </c>
      <c r="E62" s="15" t="inlineStr">
        <is>
          <t>48.2 / 24.1 / 27.7</t>
        </is>
      </c>
      <c r="F62" s="16" t="inlineStr"/>
      <c r="G62" s="16" t="inlineStr"/>
      <c r="H62" s="16" t="inlineStr">
        <is>
          <t>Canada TBS EX plan, 6-A-2</t>
        </is>
      </c>
    </row>
    <row r="63" ht="28" customHeight="1">
      <c r="A63" s="13" t="inlineStr">
        <is>
          <t>Senior executive EX-2 · DG Resource Management</t>
        </is>
      </c>
      <c r="B63" s="15" t="n">
        <v>608</v>
      </c>
      <c r="C63" s="15" t="n">
        <v>350</v>
      </c>
      <c r="D63" s="15" t="n">
        <v>350</v>
      </c>
      <c r="E63" s="15" t="inlineStr">
        <is>
          <t>46.5 / 26.8 / 26.8</t>
        </is>
      </c>
      <c r="F63" s="16" t="inlineStr"/>
      <c r="G63" s="16" t="inlineStr"/>
      <c r="H63" s="16" t="inlineStr">
        <is>
          <t>Canada TBS EX plan, 6-O-2</t>
        </is>
      </c>
    </row>
    <row r="64" ht="28" customHeight="1">
      <c r="A64" s="13" t="inlineStr">
        <is>
          <t>Executive EX-3 · DG Regional Operations</t>
        </is>
      </c>
      <c r="B64" s="15" t="n">
        <v>700</v>
      </c>
      <c r="C64" s="15" t="n">
        <v>400</v>
      </c>
      <c r="D64" s="15" t="n">
        <v>528</v>
      </c>
      <c r="E64" s="15" t="inlineStr">
        <is>
          <t>43.0 / 24.6 / 32.4</t>
        </is>
      </c>
      <c r="F64" s="16" t="inlineStr"/>
      <c r="G64" s="16" t="inlineStr"/>
      <c r="H64" s="16" t="inlineStr">
        <is>
          <t>Canada TBS EX plan, 7-A-2</t>
        </is>
      </c>
    </row>
    <row r="65" ht="15" customHeight="1"/>
    <row r="66" ht="15" customHeight="1">
      <c r="A66" s="11"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1"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12" t="inlineStr">
        <is>
          <t>Row</t>
        </is>
      </c>
      <c r="B69" s="12" t="inlineStr">
        <is>
          <t>Impact</t>
        </is>
      </c>
      <c r="C69" s="12" t="inlineStr">
        <is>
          <t>Communication</t>
        </is>
      </c>
      <c r="D69" s="12" t="inlineStr">
        <is>
          <t>Innovation</t>
        </is>
      </c>
      <c r="E69" s="12" t="inlineStr">
        <is>
          <t>Knowledge</t>
        </is>
      </c>
      <c r="F69" s="230" t="inlineStr"/>
      <c r="G69" s="230" t="inlineStr"/>
      <c r="H69" s="12" t="inlineStr">
        <is>
          <t>Shares</t>
        </is>
      </c>
    </row>
    <row r="70" ht="28" customHeight="1">
      <c r="A70" s="13" t="inlineStr">
        <is>
          <t>Maximum points per factor · Mercer IPE v3.1</t>
        </is>
      </c>
      <c r="B70" s="15" t="inlineStr">
        <is>
          <t>705</t>
        </is>
      </c>
      <c r="C70" s="15" t="inlineStr">
        <is>
          <t>115</t>
        </is>
      </c>
      <c r="D70" s="15" t="inlineStr">
        <is>
          <t>130</t>
        </is>
      </c>
      <c r="E70" s="15" t="inlineStr">
        <is>
          <t>260</t>
        </is>
      </c>
      <c r="F70" s="16" t="inlineStr"/>
      <c r="G70" s="16" t="inlineStr"/>
      <c r="H70" s="16" t="inlineStr">
        <is>
          <t>Impact 58.3% · Communication 9.5% · Innovation 10.7% · Knowledge 21.5% at the maximum</t>
        </is>
      </c>
    </row>
    <row r="71" ht="28" customHeight="1">
      <c r="A71" s="13" t="inlineStr">
        <is>
          <t>Junior · illustrative rating, organisation size 5</t>
        </is>
      </c>
      <c r="B71" s="15" t="inlineStr">
        <is>
          <t>25</t>
        </is>
      </c>
      <c r="C71" s="15" t="inlineStr">
        <is>
          <t>10</t>
        </is>
      </c>
      <c r="D71" s="15" t="inlineStr">
        <is>
          <t>25</t>
        </is>
      </c>
      <c r="E71" s="15" t="inlineStr">
        <is>
          <t>30</t>
        </is>
      </c>
      <c r="F71" s="16" t="inlineStr"/>
      <c r="G71" s="16" t="inlineStr"/>
      <c r="H71" s="16" t="inlineStr">
        <is>
          <t>27.8 / 11.1 / 27.8 / 33.3%</t>
        </is>
      </c>
    </row>
    <row r="72" ht="15" customHeight="1">
      <c r="A72" s="13" t="inlineStr">
        <is>
          <t>Professional · illustrative</t>
        </is>
      </c>
      <c r="B72" s="15" t="inlineStr">
        <is>
          <t>60</t>
        </is>
      </c>
      <c r="C72" s="15" t="inlineStr">
        <is>
          <t>40</t>
        </is>
      </c>
      <c r="D72" s="15" t="inlineStr">
        <is>
          <t>45</t>
        </is>
      </c>
      <c r="E72" s="15" t="inlineStr">
        <is>
          <t>90</t>
        </is>
      </c>
      <c r="F72" s="16" t="inlineStr"/>
      <c r="G72" s="16" t="inlineStr"/>
      <c r="H72" s="16" t="inlineStr">
        <is>
          <t>25.5 / 17.0 / 19.1 / 38.3%</t>
        </is>
      </c>
    </row>
    <row r="73" ht="15" customHeight="1">
      <c r="A73" s="13" t="inlineStr">
        <is>
          <t>Manager · illustrative</t>
        </is>
      </c>
      <c r="B73" s="15" t="inlineStr">
        <is>
          <t>131</t>
        </is>
      </c>
      <c r="C73" s="15" t="inlineStr">
        <is>
          <t>60</t>
        </is>
      </c>
      <c r="D73" s="15" t="inlineStr">
        <is>
          <t>75</t>
        </is>
      </c>
      <c r="E73" s="15" t="inlineStr">
        <is>
          <t>173</t>
        </is>
      </c>
      <c r="F73" s="16" t="inlineStr"/>
      <c r="G73" s="16" t="inlineStr"/>
      <c r="H73" s="16" t="inlineStr">
        <is>
          <t>29.8 / 13.7 / 17.1 / 39.4%</t>
        </is>
      </c>
    </row>
    <row r="74" ht="15" customHeight="1">
      <c r="A74" s="13" t="inlineStr">
        <is>
          <t>Executive · illustrative</t>
        </is>
      </c>
      <c r="B74" s="15" t="inlineStr">
        <is>
          <t>207</t>
        </is>
      </c>
      <c r="C74" s="15" t="inlineStr">
        <is>
          <t>100</t>
        </is>
      </c>
      <c r="D74" s="15" t="inlineStr">
        <is>
          <t>105</t>
        </is>
      </c>
      <c r="E74" s="15" t="inlineStr">
        <is>
          <t>218</t>
        </is>
      </c>
      <c r="F74" s="16" t="inlineStr"/>
      <c r="G74" s="16" t="inlineStr"/>
      <c r="H74" s="16" t="inlineStr">
        <is>
          <t>32.9 / 15.9 / 16.7 / 34.6%</t>
        </is>
      </c>
    </row>
    <row r="75" ht="15" customHeight="1"/>
    <row r="76" ht="15" customHeight="1">
      <c r="A76" s="11"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1"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12" t="inlineStr">
        <is>
          <t>Plan</t>
        </is>
      </c>
      <c r="B79" s="12" t="inlineStr">
        <is>
          <t>Complexity &amp; Expertise</t>
        </is>
      </c>
      <c r="C79" s="12" t="inlineStr">
        <is>
          <t>Autonomy &amp; Decision</t>
        </is>
      </c>
      <c r="D79" s="12" t="inlineStr">
        <is>
          <t>Accountability &amp; Impact</t>
        </is>
      </c>
      <c r="E79" s="12" t="inlineStr">
        <is>
          <t>Leadership &amp; Strategy</t>
        </is>
      </c>
      <c r="F79" s="12" t="inlineStr">
        <is>
          <t>Business Impact</t>
        </is>
      </c>
      <c r="G79" s="12" t="inlineStr">
        <is>
          <t>Effort and conditions removed</t>
        </is>
      </c>
      <c r="H79" s="12" t="inlineStr">
        <is>
          <t>Source</t>
        </is>
      </c>
    </row>
    <row r="80" ht="41" customHeight="1">
      <c r="A80" s="13" t="inlineStr">
        <is>
          <t>NHS Agenda for Change Job Evaluation Scheme · 16 factors, 1,000 points</t>
        </is>
      </c>
      <c r="B80" s="15" t="inlineStr">
        <is>
          <t>40.0%</t>
        </is>
      </c>
      <c r="C80" s="15" t="inlineStr">
        <is>
          <t>6.7%</t>
        </is>
      </c>
      <c r="D80" s="15" t="inlineStr">
        <is>
          <t>20.0%</t>
        </is>
      </c>
      <c r="E80" s="15" t="inlineStr">
        <is>
          <t>26.7%</t>
        </is>
      </c>
      <c r="F80" s="15" t="inlineStr">
        <is>
          <t>6.7%</t>
        </is>
      </c>
      <c r="G80" s="15" t="inlineStr">
        <is>
          <t>10.0%</t>
        </is>
      </c>
      <c r="H80" s="16" t="inlineStr">
        <is>
          <t>NHS Job Evaluation Handbook, ch. 6 para 1.5 — nhsemployers.org/sites/default/files/pdf/22/165.pdf</t>
        </is>
      </c>
    </row>
    <row r="81" ht="54" customHeight="1">
      <c r="A81" s="13" t="inlineStr">
        <is>
          <t>UK local government 13-factor scheme · Police Staff Council version of the NJC scheme, 1,000 points</t>
        </is>
      </c>
      <c r="B81" s="15" t="inlineStr">
        <is>
          <t>38.3%</t>
        </is>
      </c>
      <c r="C81" s="15" t="inlineStr">
        <is>
          <t>13.0%</t>
        </is>
      </c>
      <c r="D81" s="15" t="inlineStr">
        <is>
          <t>19.5%</t>
        </is>
      </c>
      <c r="E81" s="15" t="inlineStr">
        <is>
          <t>19.5%</t>
        </is>
      </c>
      <c r="F81" s="15" t="inlineStr">
        <is>
          <t>9.8%</t>
        </is>
      </c>
      <c r="G81" s="15" t="inlineStr">
        <is>
          <t>20.0%</t>
        </is>
      </c>
      <c r="H81" s="16" t="inlineStr">
        <is>
          <t>PSC Handbook pp. 47–48 — lb2.local.gov.uk/sites/default/files/documents/police-staff-council-13-f-342.pdf · NJC's own table sits behind the LGA log-in · Exact for PSC; NJC assumed equal</t>
        </is>
      </c>
    </row>
    <row r="82" ht="41" customHeight="1">
      <c r="A82" s="13" t="inlineStr">
        <is>
          <t>Greater London Provincial Council scheme · 11 factors, 948 points</t>
        </is>
      </c>
      <c r="B82" s="15" t="inlineStr">
        <is>
          <t>45.0%</t>
        </is>
      </c>
      <c r="C82" s="15" t="inlineStr">
        <is>
          <t>12.1%</t>
        </is>
      </c>
      <c r="D82" s="15" t="inlineStr">
        <is>
          <t>6.0%</t>
        </is>
      </c>
      <c r="E82" s="15" t="inlineStr">
        <is>
          <t>29.7%</t>
        </is>
      </c>
      <c r="F82" s="15" t="inlineStr">
        <is>
          <t>7.2%</t>
        </is>
      </c>
      <c r="G82" s="15" t="inlineStr">
        <is>
          <t>12.7%</t>
        </is>
      </c>
      <c r="H82" s="16" t="inlineStr">
        <is>
          <t>GLPC points weighting — sirddinbych.gov.uk/en/documents/jobs-and-employees/my-employment/reorganisation-and-change/glpc-points-weighting.pdf</t>
        </is>
      </c>
    </row>
    <row r="83" ht="28" customHeight="1">
      <c r="A83" s="13" t="inlineStr">
        <is>
          <t>Scottish Joint Council scheme · 13 factors, 1,000 points</t>
        </is>
      </c>
      <c r="B83" s="15" t="inlineStr">
        <is>
          <t>38.3%</t>
        </is>
      </c>
      <c r="C83" s="15" t="inlineStr">
        <is>
          <t>13.0%</t>
        </is>
      </c>
      <c r="D83" s="15" t="inlineStr">
        <is>
          <t>19.5%</t>
        </is>
      </c>
      <c r="E83" s="15" t="inlineStr">
        <is>
          <t>19.5%</t>
        </is>
      </c>
      <c r="F83" s="15" t="inlineStr">
        <is>
          <t>9.8%</t>
        </is>
      </c>
      <c r="G83" s="15" t="inlineStr">
        <is>
          <t>20.0%</t>
        </is>
      </c>
      <c r="H83" s="16" t="inlineStr">
        <is>
          <t>Highland Council SJC scoring matrix — highland.gov.uk/download/downloads/id/3889/scoring_matrix.pdf</t>
        </is>
      </c>
    </row>
    <row r="84" ht="28" customHeight="1">
      <c r="A84" s="13" t="inlineStr">
        <is>
          <t>US OPM Factor Evaluation System · 9 factors, 4,480 points</t>
        </is>
      </c>
      <c r="B84" s="15" t="inlineStr">
        <is>
          <t>52.5%</t>
        </is>
      </c>
      <c r="C84" s="15" t="inlineStr">
        <is>
          <t>29.7%</t>
        </is>
      </c>
      <c r="D84" s="15" t="inlineStr">
        <is>
          <t>10.3%</t>
        </is>
      </c>
      <c r="E84" s="15" t="inlineStr">
        <is>
          <t>7.5%</t>
        </is>
      </c>
      <c r="F84" s="15" t="inlineStr">
        <is>
          <t>0.0%</t>
        </is>
      </c>
      <c r="G84" s="15" t="inlineStr">
        <is>
          <t>2.2%</t>
        </is>
      </c>
      <c r="H84" s="16" t="inlineStr">
        <is>
          <t>OPM Introduction to the Position Classification Standards, Appendix 3 — opm.gov/…/positionclassificationintro.pdf</t>
        </is>
      </c>
    </row>
    <row r="85" ht="15" customHeight="1">
      <c r="A85" s="13" t="inlineStr">
        <is>
          <t>Average of the five plans</t>
        </is>
      </c>
      <c r="B85" s="15" t="inlineStr">
        <is>
          <t>42.8%</t>
        </is>
      </c>
      <c r="C85" s="15" t="inlineStr">
        <is>
          <t>14.9%</t>
        </is>
      </c>
      <c r="D85" s="15" t="inlineStr">
        <is>
          <t>15.1%</t>
        </is>
      </c>
      <c r="E85" s="15" t="inlineStr">
        <is>
          <t>20.6%</t>
        </is>
      </c>
      <c r="F85" s="15" t="inlineStr">
        <is>
          <t>6.7%</t>
        </is>
      </c>
      <c r="G85" s="15" t="inlineStr"/>
      <c r="H85" s="16" t="inlineStr">
        <is>
          <r>
            <rPr>
              <rFont val="Calibri"/>
              <b val="1"/>
              <sz val="10"/>
            </rPr>
            <t>Experience as a separate factor:</t>
          </r>
          <r>
            <rPr>
              <rFont val="Calibri"/>
              <sz val="10"/>
            </rPr>
            <t xml:space="preserve"> none of the five</t>
          </r>
        </is>
      </c>
    </row>
    <row r="86" ht="15" customHeight="1">
      <c r="A86" s="13" t="inlineStr">
        <is>
          <t>Range</t>
        </is>
      </c>
      <c r="B86" s="15" t="inlineStr">
        <is>
          <t>38–52%</t>
        </is>
      </c>
      <c r="C86" s="15" t="inlineStr">
        <is>
          <t>7–30%</t>
        </is>
      </c>
      <c r="D86" s="15" t="inlineStr">
        <is>
          <t>6–20%</t>
        </is>
      </c>
      <c r="E86" s="15" t="inlineStr">
        <is>
          <t>8–30%</t>
        </is>
      </c>
      <c r="F86" s="15" t="inlineStr">
        <is>
          <t>0–10%</t>
        </is>
      </c>
      <c r="G86" s="15" t="inlineStr"/>
      <c r="H86" s="16" t="inlineStr"/>
    </row>
    <row r="87" ht="15" customHeight="1"/>
    <row r="88" ht="15" customHeight="1">
      <c r="A88" s="12" t="inlineStr">
        <is>
          <t>Plan</t>
        </is>
      </c>
      <c r="B88" s="12" t="inlineStr">
        <is>
          <t>How its factors were mapped to the IRIS factors</t>
        </is>
      </c>
      <c r="C88" s="202" t="n"/>
      <c r="D88" s="202" t="n"/>
      <c r="E88" s="202" t="n"/>
      <c r="F88" s="202" t="n"/>
      <c r="G88" s="202" t="n"/>
      <c r="H88" s="201" t="n"/>
    </row>
    <row r="89" ht="41" customHeight="1">
      <c r="A89" s="13" t="inlineStr">
        <is>
          <t>NHS Agenda for Change Job Evaluation Scheme · 16 factors, 1,000 points</t>
        </is>
      </c>
      <c r="B89" s="16" t="inlineStr">
        <is>
          <t>Knowledge, training &amp; experience 240 + analytical and physical skills 120 → Complexity; freedom to act 60; patient care, information, R&amp;D 180; communication, planning, HR, policy 240; financial &amp; physical resources 60</t>
        </is>
      </c>
      <c r="C89" s="202" t="n"/>
      <c r="D89" s="202" t="n"/>
      <c r="E89" s="202" t="n"/>
      <c r="F89" s="202" t="n"/>
      <c r="G89" s="202" t="n"/>
      <c r="H89" s="201" t="n"/>
    </row>
    <row r="90" ht="41" customHeight="1">
      <c r="A90" s="13" t="inlineStr">
        <is>
          <t>UK local government 13-factor scheme · Police Staff Council version of the NJC scheme, 1,000 points</t>
        </is>
      </c>
      <c r="B90" s="16" t="inlineStr">
        <is>
          <t>Knowledge 163 + mental and physical skills 143; initiative &amp; independence 104; responsibility for people and physical resources 156; interpersonal and supervision 156; financial resources 78</t>
        </is>
      </c>
      <c r="C90" s="202" t="n"/>
      <c r="D90" s="202" t="n"/>
      <c r="E90" s="202" t="n"/>
      <c r="F90" s="202" t="n"/>
      <c r="G90" s="202" t="n"/>
      <c r="H90" s="201" t="n"/>
    </row>
    <row r="91" ht="28" customHeight="1">
      <c r="A91" s="13" t="inlineStr">
        <is>
          <t>Greater London Provincial Council scheme · 11 factors, 948 points</t>
        </is>
      </c>
      <c r="B91" s="16" t="inlineStr">
        <is>
          <t>Knowledge &amp; skill 272 + creativity 100; discretion 100; resources 50; contacts and supervision 246; consequences 60</t>
        </is>
      </c>
      <c r="C91" s="202" t="n"/>
      <c r="D91" s="202" t="n"/>
      <c r="E91" s="202" t="n"/>
      <c r="F91" s="202" t="n"/>
      <c r="G91" s="202" t="n"/>
      <c r="H91" s="201" t="n"/>
    </row>
    <row r="92" ht="28" customHeight="1">
      <c r="A92" s="13" t="inlineStr">
        <is>
          <t>Scottish Joint Council scheme · 13 factors, 1,000 points</t>
        </is>
      </c>
      <c r="B92" s="16" t="inlineStr">
        <is>
          <t>Knowledge 163 + mental skills and physical co-ordination 143; initiative 104; services to others and resources 156; communication and employees 156; financial 78</t>
        </is>
      </c>
      <c r="C92" s="202" t="n"/>
      <c r="D92" s="202" t="n"/>
      <c r="E92" s="202" t="n"/>
      <c r="F92" s="202" t="n"/>
      <c r="G92" s="202" t="n"/>
      <c r="H92" s="201" t="n"/>
    </row>
    <row r="93" ht="28" customHeight="1">
      <c r="A93" s="13" t="inlineStr">
        <is>
          <t>US OPM Factor Evaluation System · 9 factors, 4,480 points</t>
        </is>
      </c>
      <c r="B93" s="16" t="inlineStr">
        <is>
          <t>Knowledge required 1,850 + complexity 450; supervisory controls and guidelines 1,300; scope &amp; effect 450; personal contacts and purpose 330</t>
        </is>
      </c>
      <c r="C93" s="202" t="n"/>
      <c r="D93" s="202" t="n"/>
      <c r="E93" s="202" t="n"/>
      <c r="F93" s="202" t="n"/>
      <c r="G93" s="202" t="n"/>
      <c r="H93" s="201" t="n"/>
    </row>
    <row r="94" ht="15" customHeight="1"/>
    <row r="95" ht="15" customHeight="1">
      <c r="A95" s="11"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1"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12" t="inlineStr">
        <is>
          <t>Job type</t>
        </is>
      </c>
      <c r="B98" s="12" t="inlineStr">
        <is>
          <t>Know-How</t>
        </is>
      </c>
      <c r="C98" s="12" t="inlineStr">
        <is>
          <t>Problem Solving</t>
        </is>
      </c>
      <c r="D98" s="12" t="inlineStr">
        <is>
          <t>Accountability</t>
        </is>
      </c>
      <c r="E98" s="230" t="inlineStr"/>
      <c r="F98" s="230" t="inlineStr"/>
      <c r="G98" s="230" t="inlineStr"/>
      <c r="H98" s="12" t="inlineStr">
        <is>
          <t>Read as</t>
        </is>
      </c>
    </row>
    <row r="99" ht="15" customHeight="1">
      <c r="A99" s="13" t="inlineStr">
        <is>
          <t>Clerical</t>
        </is>
      </c>
      <c r="B99" s="15" t="inlineStr">
        <is>
          <t>73%</t>
        </is>
      </c>
      <c r="C99" s="15" t="inlineStr">
        <is>
          <t>14%</t>
        </is>
      </c>
      <c r="D99" s="15" t="inlineStr">
        <is>
          <t>14%</t>
        </is>
      </c>
      <c r="E99" s="16" t="inlineStr"/>
      <c r="F99" s="16" t="inlineStr"/>
      <c r="G99" s="16" t="inlineStr"/>
      <c r="H99" s="16" t="inlineStr">
        <is>
          <r>
            <rPr>
              <rFont val="Calibri"/>
              <b val="1"/>
              <sz val="10"/>
            </rPr>
            <t>Junior:</t>
          </r>
          <r>
            <rPr>
              <rFont val="Calibri"/>
              <sz val="10"/>
            </rPr>
            <t xml:space="preserve"> the work itself is almost everything</t>
          </r>
        </is>
      </c>
    </row>
    <row r="100" ht="15" customHeight="1">
      <c r="A100" s="13" t="inlineStr">
        <is>
          <t>Trade / technical</t>
        </is>
      </c>
      <c r="B100" s="15" t="inlineStr">
        <is>
          <t>66%</t>
        </is>
      </c>
      <c r="C100" s="15" t="inlineStr">
        <is>
          <t>15%</t>
        </is>
      </c>
      <c r="D100" s="15" t="inlineStr">
        <is>
          <t>19%</t>
        </is>
      </c>
      <c r="E100" s="16" t="inlineStr"/>
      <c r="F100" s="16" t="inlineStr"/>
      <c r="G100" s="16" t="inlineStr"/>
      <c r="H100" s="16" t="inlineStr">
        <is>
          <r>
            <rPr>
              <rFont val="Calibri"/>
              <b val="1"/>
              <sz val="10"/>
            </rPr>
            <t>Junior:</t>
          </r>
          <r>
            <rPr>
              <rFont val="Calibri"/>
              <sz val="10"/>
            </rPr>
            <t xml:space="preserve"> mostly know-how</t>
          </r>
        </is>
      </c>
    </row>
    <row r="101" ht="15" customHeight="1">
      <c r="A101" s="13" t="inlineStr">
        <is>
          <t>Specialist · research scientist</t>
        </is>
      </c>
      <c r="B101" s="15" t="inlineStr">
        <is>
          <t>56%</t>
        </is>
      </c>
      <c r="C101" s="15" t="inlineStr">
        <is>
          <t>28%</t>
        </is>
      </c>
      <c r="D101" s="15" t="inlineStr">
        <is>
          <t>16%</t>
        </is>
      </c>
      <c r="E101" s="16" t="inlineStr"/>
      <c r="F101" s="16" t="inlineStr"/>
      <c r="G101" s="16" t="inlineStr"/>
      <c r="H101" s="16" t="inlineStr">
        <is>
          <r>
            <rPr>
              <rFont val="Calibri"/>
              <b val="1"/>
              <sz val="10"/>
            </rPr>
            <t>Expert:</t>
          </r>
          <r>
            <rPr>
              <rFont val="Calibri"/>
              <sz val="10"/>
            </rPr>
            <t xml:space="preserve"> know-how and problem solving</t>
          </r>
        </is>
      </c>
    </row>
    <row r="102" ht="15" customHeight="1">
      <c r="A102" s="13" t="inlineStr">
        <is>
          <t>'Level' profile · staff functions</t>
        </is>
      </c>
      <c r="B102" s="15" t="inlineStr">
        <is>
          <t>50%</t>
        </is>
      </c>
      <c r="C102" s="15" t="inlineStr">
        <is>
          <t>25%</t>
        </is>
      </c>
      <c r="D102" s="15" t="inlineStr">
        <is>
          <t>25%</t>
        </is>
      </c>
      <c r="E102" s="16" t="inlineStr"/>
      <c r="F102" s="16" t="inlineStr"/>
      <c r="G102" s="16" t="inlineStr"/>
      <c r="H102" s="16" t="inlineStr">
        <is>
          <r>
            <rPr>
              <rFont val="Calibri"/>
              <b val="1"/>
              <sz val="10"/>
            </rPr>
            <t>Professional:</t>
          </r>
          <r>
            <rPr>
              <rFont val="Calibri"/>
              <sz val="10"/>
            </rPr>
            <t xml:space="preserve"> balanced</t>
          </r>
        </is>
      </c>
    </row>
    <row r="103" ht="15" customHeight="1">
      <c r="A103" s="13" t="inlineStr">
        <is>
          <t>Supervisory / line manager</t>
        </is>
      </c>
      <c r="B103" s="15" t="inlineStr">
        <is>
          <t>47%</t>
        </is>
      </c>
      <c r="C103" s="15" t="inlineStr">
        <is>
          <t>21%</t>
        </is>
      </c>
      <c r="D103" s="15" t="inlineStr">
        <is>
          <t>32%</t>
        </is>
      </c>
      <c r="E103" s="16" t="inlineStr"/>
      <c r="F103" s="16" t="inlineStr"/>
      <c r="G103" s="16" t="inlineStr"/>
      <c r="H103" s="16" t="inlineStr">
        <is>
          <r>
            <rPr>
              <rFont val="Calibri"/>
              <b val="1"/>
              <sz val="10"/>
            </rPr>
            <t>Manager:</t>
          </r>
          <r>
            <rPr>
              <rFont val="Calibri"/>
              <sz val="10"/>
            </rPr>
            <t xml:space="preserve"> accountability rises to a third</t>
          </r>
        </is>
      </c>
    </row>
    <row r="104" ht="15" customHeight="1"/>
    <row r="105" ht="41" customHeight="1">
      <c r="A105" s="11"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12" t="inlineStr">
        <is>
          <t>Method or study</t>
        </is>
      </c>
      <c r="B107" s="201" t="n"/>
      <c r="C107" s="12" t="inlineStr">
        <is>
          <t>What it says</t>
        </is>
      </c>
      <c r="D107" s="202" t="n"/>
      <c r="E107" s="202" t="n"/>
      <c r="F107" s="201" t="n"/>
      <c r="G107" s="12" t="inlineStr">
        <is>
          <t>Source</t>
        </is>
      </c>
      <c r="H107" s="201" t="n"/>
    </row>
    <row r="108" ht="41" customHeight="1">
      <c r="A108" s="13" t="inlineStr">
        <is>
          <t>Korn Ferry Hay</t>
        </is>
      </c>
      <c r="B108" s="201" t="n"/>
      <c r="C108" s="16" t="inlineStr">
        <is>
          <r>
            <rPr>
              <rFont val="Calibri"/>
              <b val="1"/>
              <sz val="10"/>
            </rPr>
            <t>Experience sits inside Know-How:</t>
          </r>
          <r>
            <rPr>
              <rFont val="Calibri"/>
              <sz val="10"/>
            </rPr>
            <t xml:space="preserve"> 'the sum total of every kind of knowledge and skill, however acquired' — no separate experience factor</t>
          </r>
        </is>
      </c>
      <c r="D108" s="202" t="n"/>
      <c r="E108" s="202" t="n"/>
      <c r="F108" s="201" t="n"/>
      <c r="G108" s="16" t="inlineStr">
        <is>
          <t>S05, S46, S49 · Canada TBS Executive Group plan; Lincolnshire CC Hay guide</t>
        </is>
      </c>
      <c r="H108" s="201" t="n"/>
    </row>
    <row r="109" ht="54" customHeight="1">
      <c r="A109" s="13" t="inlineStr">
        <is>
          <t>Mercer IPE</t>
        </is>
      </c>
      <c r="B109" s="201" t="n"/>
      <c r="C109" s="16"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202" t="n"/>
      <c r="E109" s="202" t="n"/>
      <c r="F109" s="201" t="n"/>
      <c r="G109" s="16" t="inlineStr">
        <is>
          <t>S04, S52 · mercer.com/en-in · IPE factor sheet · third-party copy</t>
        </is>
      </c>
      <c r="H109" s="201" t="n"/>
    </row>
    <row r="110" ht="54" customHeight="1">
      <c r="A110" s="13" t="inlineStr">
        <is>
          <t>WTW Global Grading System</t>
        </is>
      </c>
      <c r="B110" s="201" t="n"/>
      <c r="C110" s="16"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202" t="n"/>
      <c r="E110" s="202" t="n"/>
      <c r="F110" s="201" t="n"/>
      <c r="G110" s="16" t="inlineStr">
        <is>
          <t>S07 · WTW report to the School Teachers' Review Body, p. 19 · assets.publishing.service.gov.uk</t>
        </is>
      </c>
      <c r="H110" s="201" t="n"/>
    </row>
    <row r="111" ht="28" customHeight="1">
      <c r="A111" s="13" t="inlineStr">
        <is>
          <t>Public point-factor plans above</t>
        </is>
      </c>
      <c r="B111" s="201" t="n"/>
      <c r="C111" s="16" t="inlineStr">
        <is>
          <t>Knowledge factors rate what the job requires, not the person's years; none scores tenure</t>
        </is>
      </c>
      <c r="D111" s="202" t="n"/>
      <c r="E111" s="202" t="n"/>
      <c r="F111" s="201" t="n"/>
      <c r="G111" s="16" t="inlineStr">
        <is>
          <t>S53–S57 · NHS, PSC/NJC, GLPC, SJC, OPM</t>
        </is>
      </c>
      <c r="H111" s="201" t="n"/>
    </row>
    <row r="112" ht="28" customHeight="1">
      <c r="A112" s="13" t="inlineStr">
        <is>
          <t>McKinsey, 2022</t>
        </is>
      </c>
      <c r="B112" s="201" t="n"/>
      <c r="C112" s="16" t="inlineStr">
        <is>
          <t>Hiring for skills is 'more than two times more predictive than hiring for work experience'</t>
        </is>
      </c>
      <c r="D112" s="202" t="n"/>
      <c r="E112" s="202" t="n"/>
      <c r="F112" s="201" t="n"/>
      <c r="G112" s="16" t="inlineStr">
        <is>
          <t>S58 · mckinsey.com — Taking a skills-based approach</t>
        </is>
      </c>
      <c r="H112" s="201" t="n"/>
    </row>
    <row r="113" ht="28" customHeight="1">
      <c r="A113" s="13" t="inlineStr">
        <is>
          <t>Deloitte Human Capital Trends, 2023</t>
        </is>
      </c>
      <c r="B113" s="201" t="n"/>
      <c r="C113" s="16" t="inlineStr">
        <is>
          <t>Promote and deploy on skills 'versus tenure, job history, or network'</t>
        </is>
      </c>
      <c r="D113" s="202" t="n"/>
      <c r="E113" s="202" t="n"/>
      <c r="F113" s="201" t="n"/>
      <c r="G113" s="16" t="inlineStr">
        <is>
          <t>S59 · deloitte.com/us/en/insights</t>
        </is>
      </c>
      <c r="H113" s="201" t="n"/>
    </row>
    <row r="114" ht="28" customHeight="1">
      <c r="A114" s="13" t="inlineStr">
        <is>
          <t>World Economic Forum, 2024</t>
        </is>
      </c>
      <c r="B114" s="201" t="n"/>
      <c r="C114" s="16" t="inlineStr">
        <is>
          <t>Rethink 'educational achievement and previous experience as proxies'</t>
        </is>
      </c>
      <c r="D114" s="202" t="n"/>
      <c r="E114" s="202" t="n"/>
      <c r="F114" s="201" t="n"/>
      <c r="G114" s="16" t="inlineStr">
        <is>
          <t>S60 · weforum.org — skills-first</t>
        </is>
      </c>
      <c r="H114" s="201" t="n"/>
    </row>
    <row r="115" ht="41" customHeight="1">
      <c r="A115" s="13" t="inlineStr">
        <is>
          <t>EY Future of Pay, India 2026</t>
        </is>
      </c>
      <c r="B115" s="201" t="n"/>
      <c r="C115" s="16" t="inlineStr">
        <is>
          <t>India pay moving 'away from tenure-based increases towards skills-led and performance-driven frameworks'</t>
        </is>
      </c>
      <c r="D115" s="202" t="n"/>
      <c r="E115" s="202" t="n"/>
      <c r="F115" s="201" t="n"/>
      <c r="G115" s="16" t="inlineStr">
        <is>
          <t>S61 · peoplematters.in, Feb 2026</t>
        </is>
      </c>
      <c r="H115" s="201" t="n"/>
    </row>
    <row r="116" ht="15" customHeight="1"/>
    <row r="117" ht="20" customHeight="1">
      <c r="A117" s="6" t="inlineStr">
        <is>
          <t>4. Business Impact — how the methods measure it</t>
        </is>
      </c>
    </row>
    <row r="118" ht="15" customHeight="1">
      <c r="A118" s="12" t="inlineStr">
        <is>
          <t>Method</t>
        </is>
      </c>
      <c r="B118" s="201" t="n"/>
      <c r="C118" s="12" t="inlineStr">
        <is>
          <t>How impact is measured</t>
        </is>
      </c>
      <c r="D118" s="202" t="n"/>
      <c r="E118" s="202" t="n"/>
      <c r="F118" s="202" t="n"/>
      <c r="G118" s="201" t="n"/>
      <c r="H118" s="12" t="inlineStr">
        <is>
          <t>Source</t>
        </is>
      </c>
    </row>
    <row r="119" ht="41" customHeight="1">
      <c r="A119" s="13" t="inlineStr">
        <is>
          <t>Korn Ferry Hay</t>
        </is>
      </c>
      <c r="B119" s="201" t="n"/>
      <c r="C119" s="16" t="inlineStr">
        <is>
          <t>Accountability = freedom to act + area / magnitude + nature of impact · remote → contributory → shared → prime; its share rises with seniority</t>
        </is>
      </c>
      <c r="D119" s="202" t="n"/>
      <c r="E119" s="202" t="n"/>
      <c r="F119" s="202" t="n"/>
      <c r="G119" s="201" t="n"/>
      <c r="H119" s="16" t="inlineStr">
        <is>
          <t>S05, S46</t>
        </is>
      </c>
    </row>
    <row r="120" ht="41" customHeight="1">
      <c r="A120" s="13" t="inlineStr">
        <is>
          <t>Mercer IPE</t>
        </is>
      </c>
      <c r="B120" s="201" t="n"/>
      <c r="C120" s="16" t="inlineStr">
        <is>
          <t>Impact = depth and breadth of influence on the organisation, scaled by organisation size; contribution rated limited → some → direct → significant → major</t>
        </is>
      </c>
      <c r="D120" s="202" t="n"/>
      <c r="E120" s="202" t="n"/>
      <c r="F120" s="202" t="n"/>
      <c r="G120" s="201" t="n"/>
      <c r="H120" s="16" t="inlineStr">
        <is>
          <t>S04, S52</t>
        </is>
      </c>
    </row>
    <row r="121" ht="28" customHeight="1">
      <c r="A121" s="13" t="inlineStr">
        <is>
          <t>WTW GGS</t>
        </is>
      </c>
      <c r="B121" s="201" t="n"/>
      <c r="C121" s="16" t="inlineStr">
        <is>
          <r>
            <rPr>
              <rFont val="Calibri"/>
              <b val="1"/>
              <sz val="10"/>
            </rPr>
            <t>Two impact factors:</t>
          </r>
          <r>
            <rPr>
              <rFont val="Calibri"/>
              <sz val="10"/>
            </rPr>
            <t xml:space="preserve"> nature of impact · how the job affects the business and area of impact · which part of the organisation</t>
          </r>
        </is>
      </c>
      <c r="D121" s="202" t="n"/>
      <c r="E121" s="202" t="n"/>
      <c r="F121" s="202" t="n"/>
      <c r="G121" s="201" t="n"/>
      <c r="H121" s="16" t="inlineStr">
        <is>
          <t>S07</t>
        </is>
      </c>
    </row>
    <row r="122" ht="28" customHeight="1">
      <c r="A122" s="13" t="inlineStr">
        <is>
          <t>Public point-factor plans</t>
        </is>
      </c>
      <c r="B122" s="201" t="n"/>
      <c r="C122" s="16" t="inlineStr">
        <is>
          <t>A separate financial / consequences factor carries 7–10% of points · mean 6.7%, OPM none</t>
        </is>
      </c>
      <c r="D122" s="202" t="n"/>
      <c r="E122" s="202" t="n"/>
      <c r="F122" s="202" t="n"/>
      <c r="G122" s="201" t="n"/>
      <c r="H122" s="16" t="inlineStr">
        <is>
          <t>S53–S57</t>
        </is>
      </c>
    </row>
    <row r="123" ht="15" customHeight="1"/>
    <row r="124" ht="20" customHeight="1">
      <c r="A124" s="6" t="inlineStr">
        <is>
          <t>5. IRIS defaults against the benchmark</t>
        </is>
      </c>
    </row>
    <row r="125" ht="67" customHeight="1">
      <c r="A125" s="11"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12" t="inlineStr">
        <is>
          <t>Factor</t>
        </is>
      </c>
      <c r="B126" s="12" t="inlineStr">
        <is>
          <t>IRIS, average of 23 scored roles</t>
        </is>
      </c>
      <c r="C126" s="12" t="inlineStr">
        <is>
          <t>Plans' average</t>
        </is>
      </c>
      <c r="D126" s="12" t="inlineStr">
        <is>
          <t>Plans' range</t>
        </is>
      </c>
      <c r="E126" s="12" t="inlineStr">
        <is>
          <t>Result</t>
        </is>
      </c>
      <c r="F126" s="230" t="inlineStr"/>
      <c r="G126" s="230" t="inlineStr"/>
      <c r="H126" s="12" t="inlineStr">
        <is>
          <t>Why</t>
        </is>
      </c>
    </row>
    <row r="127" ht="28" customHeight="1">
      <c r="A127" s="13" t="inlineStr">
        <is>
          <t>Complexity &amp; Expertise</t>
        </is>
      </c>
      <c r="B127" s="15" t="inlineStr">
        <is>
          <t>51.9%</t>
        </is>
      </c>
      <c r="C127" s="15" t="inlineStr">
        <is>
          <t>42.8%</t>
        </is>
      </c>
      <c r="D127" s="15" t="inlineStr">
        <is>
          <t>38–52%</t>
        </is>
      </c>
      <c r="E127" s="15" t="inlineStr">
        <is>
          <t>Inside</t>
        </is>
      </c>
      <c r="F127" s="16" t="inlineStr"/>
      <c r="G127" s="16" t="inlineStr"/>
      <c r="H127" s="16" t="inlineStr">
        <is>
          <t>The job's knowledge and problem solving — the largest share, as in every plan</t>
        </is>
      </c>
    </row>
    <row r="128" ht="15" customHeight="1">
      <c r="A128" s="13" t="inlineStr">
        <is>
          <t>Autonomy &amp; Decision</t>
        </is>
      </c>
      <c r="B128" s="15" t="inlineStr">
        <is>
          <t>16.4%</t>
        </is>
      </c>
      <c r="C128" s="15" t="inlineStr">
        <is>
          <t>14.9%</t>
        </is>
      </c>
      <c r="D128" s="15" t="inlineStr">
        <is>
          <t>7–30%</t>
        </is>
      </c>
      <c r="E128" s="15" t="inlineStr">
        <is>
          <t>Inside</t>
        </is>
      </c>
      <c r="F128" s="16" t="inlineStr"/>
      <c r="G128" s="16" t="inlineStr"/>
      <c r="H128" s="16" t="inlineStr">
        <is>
          <t>Close to the plans' average</t>
        </is>
      </c>
    </row>
    <row r="129" ht="15" customHeight="1">
      <c r="A129" s="13" t="inlineStr">
        <is>
          <t>Accountability &amp; Impact</t>
        </is>
      </c>
      <c r="B129" s="15" t="inlineStr">
        <is>
          <t>12.3%</t>
        </is>
      </c>
      <c r="C129" s="15" t="inlineStr">
        <is>
          <t>15.1%</t>
        </is>
      </c>
      <c r="D129" s="15" t="inlineStr">
        <is>
          <t>6–20%</t>
        </is>
      </c>
      <c r="E129" s="15" t="inlineStr">
        <is>
          <t>Inside</t>
        </is>
      </c>
      <c r="F129" s="16" t="inlineStr"/>
      <c r="G129" s="16" t="inlineStr"/>
      <c r="H129" s="16" t="inlineStr">
        <is>
          <t>Close to the plans' average; rises with level</t>
        </is>
      </c>
    </row>
    <row r="130" ht="41" customHeight="1">
      <c r="A130" s="13" t="inlineStr">
        <is>
          <t>Leadership &amp; Strategy</t>
        </is>
      </c>
      <c r="B130" s="15" t="inlineStr">
        <is>
          <t>2.8%</t>
        </is>
      </c>
      <c r="C130" s="15" t="inlineStr">
        <is>
          <t>20.6%</t>
        </is>
      </c>
      <c r="D130" s="15" t="inlineStr">
        <is>
          <t>8–30%</t>
        </is>
      </c>
      <c r="E130" s="15" t="inlineStr">
        <is>
          <t>Below</t>
        </is>
      </c>
      <c r="F130" s="16" t="inlineStr"/>
      <c r="G130" s="16" t="inlineStr"/>
      <c r="H130" s="16" t="inlineStr">
        <is>
          <t>IRIS counts people leadership only, so individual contributors score 0–10%; managers and leaders 20–25%, inside the range</t>
        </is>
      </c>
    </row>
    <row r="131" ht="28" customHeight="1">
      <c r="A131" s="13" t="inlineStr">
        <is>
          <t>Business Impact</t>
        </is>
      </c>
      <c r="B131" s="15" t="inlineStr">
        <is>
          <t>6.6%</t>
        </is>
      </c>
      <c r="C131" s="15" t="inlineStr">
        <is>
          <t>6.7%</t>
        </is>
      </c>
      <c r="D131" s="15" t="inlineStr">
        <is>
          <t>0–10%</t>
        </is>
      </c>
      <c r="E131" s="15" t="inlineStr">
        <is>
          <t>Inside</t>
        </is>
      </c>
      <c r="F131" s="16" t="inlineStr"/>
      <c r="G131" s="16" t="inlineStr"/>
      <c r="H131" s="16" t="inlineStr">
        <is>
          <t>The nature-of-impact part of accountability, as in Hay and Mercer IPE; in line with the plans' financial factor</t>
        </is>
      </c>
    </row>
    <row r="132" ht="41" customHeight="1">
      <c r="A132" s="13" t="inlineStr">
        <is>
          <t>Experience &amp; Qualification</t>
        </is>
      </c>
      <c r="B132" s="15" t="inlineStr">
        <is>
          <t>10.0%</t>
        </is>
      </c>
      <c r="C132" s="15" t="inlineStr">
        <is>
          <t>—</t>
        </is>
      </c>
      <c r="D132" s="15" t="inlineStr">
        <is>
          <t>not a separate factor</t>
        </is>
      </c>
      <c r="E132" s="15" t="inlineStr">
        <is>
          <t>Policy</t>
        </is>
      </c>
      <c r="F132" s="16" t="inlineStr"/>
      <c r="G132" s="16" t="inlineStr"/>
      <c r="H132" s="16"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1" t="inlineStr">
        <is>
          <t>The default weights by role group are on sheet 1c and the Weightage Matrix; each department's row there can be changed by its leaders.</t>
        </is>
      </c>
    </row>
    <row r="135" ht="28" customHeight="1">
      <c r="A135" s="12" t="inlineStr">
        <is>
          <t>Role group</t>
        </is>
      </c>
      <c r="B135" s="12" t="inlineStr">
        <is>
          <t>Complexity</t>
        </is>
      </c>
      <c r="C135" s="12" t="inlineStr">
        <is>
          <t>Autonomy</t>
        </is>
      </c>
      <c r="D135" s="12" t="inlineStr">
        <is>
          <t>Accountability</t>
        </is>
      </c>
      <c r="E135" s="12" t="inlineStr">
        <is>
          <t>Leadership</t>
        </is>
      </c>
      <c r="F135" s="12" t="inlineStr">
        <is>
          <t>Experience</t>
        </is>
      </c>
      <c r="G135" s="12" t="inlineStr">
        <is>
          <t>Business impact</t>
        </is>
      </c>
      <c r="H135" s="12" t="inlineStr">
        <is>
          <t>Why</t>
        </is>
      </c>
    </row>
    <row r="136" ht="80" customHeight="1">
      <c r="A136" s="13" t="inlineStr">
        <is>
          <t>Band A</t>
        </is>
      </c>
      <c r="B136" s="15" t="inlineStr">
        <is>
          <t>59%</t>
        </is>
      </c>
      <c r="C136" s="15" t="inlineStr">
        <is>
          <t>16%</t>
        </is>
      </c>
      <c r="D136" s="15" t="inlineStr">
        <is>
          <t>9%</t>
        </is>
      </c>
      <c r="E136" s="15" t="inlineStr">
        <is>
          <t>0%</t>
        </is>
      </c>
      <c r="F136" s="15" t="inlineStr">
        <is>
          <t>10%</t>
        </is>
      </c>
      <c r="G136" s="15" t="inlineStr">
        <is>
          <t>6%</t>
        </is>
      </c>
      <c r="H136" s="16"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3" t="inlineStr">
        <is>
          <t>Band B · IC / POD Lead</t>
        </is>
      </c>
      <c r="B137" s="15" t="inlineStr">
        <is>
          <t>51%</t>
        </is>
      </c>
      <c r="C137" s="15" t="inlineStr">
        <is>
          <t>17%</t>
        </is>
      </c>
      <c r="D137" s="15" t="inlineStr">
        <is>
          <t>10%</t>
        </is>
      </c>
      <c r="E137" s="15" t="inlineStr">
        <is>
          <t>5%</t>
        </is>
      </c>
      <c r="F137" s="15" t="inlineStr">
        <is>
          <t>10%</t>
        </is>
      </c>
      <c r="G137" s="15" t="inlineStr">
        <is>
          <t>7%</t>
        </is>
      </c>
      <c r="H137" s="16"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3" t="inlineStr">
        <is>
          <t>Band B · People Manager</t>
        </is>
      </c>
      <c r="B138" s="15" t="inlineStr">
        <is>
          <t>37%</t>
        </is>
      </c>
      <c r="C138" s="15" t="inlineStr">
        <is>
          <t>18%</t>
        </is>
      </c>
      <c r="D138" s="15" t="inlineStr">
        <is>
          <t>11%</t>
        </is>
      </c>
      <c r="E138" s="15" t="inlineStr">
        <is>
          <t>15%</t>
        </is>
      </c>
      <c r="F138" s="15" t="inlineStr">
        <is>
          <t>10%</t>
        </is>
      </c>
      <c r="G138" s="15" t="inlineStr">
        <is>
          <t>9%</t>
        </is>
      </c>
      <c r="H138" s="16"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3" t="inlineStr">
        <is>
          <t>Band C · Principal specialist</t>
        </is>
      </c>
      <c r="B139" s="15" t="inlineStr">
        <is>
          <t>54%</t>
        </is>
      </c>
      <c r="C139" s="15" t="inlineStr">
        <is>
          <t>18%</t>
        </is>
      </c>
      <c r="D139" s="15" t="inlineStr">
        <is>
          <t>10%</t>
        </is>
      </c>
      <c r="E139" s="15" t="inlineStr">
        <is>
          <t>5%</t>
        </is>
      </c>
      <c r="F139" s="15" t="inlineStr">
        <is>
          <t>5%</t>
        </is>
      </c>
      <c r="G139" s="15" t="inlineStr">
        <is>
          <t>8%</t>
        </is>
      </c>
      <c r="H139" s="16"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3" t="inlineStr">
        <is>
          <t>Band C · Head / manager</t>
        </is>
      </c>
      <c r="B140" s="15" t="inlineStr">
        <is>
          <t>43%</t>
        </is>
      </c>
      <c r="C140" s="15" t="inlineStr">
        <is>
          <t>18%</t>
        </is>
      </c>
      <c r="D140" s="15" t="inlineStr">
        <is>
          <t>11%</t>
        </is>
      </c>
      <c r="E140" s="15" t="inlineStr">
        <is>
          <t>15%</t>
        </is>
      </c>
      <c r="F140" s="15" t="inlineStr">
        <is>
          <t>5%</t>
        </is>
      </c>
      <c r="G140" s="15" t="inlineStr">
        <is>
          <t>8%</t>
        </is>
      </c>
      <c r="H140"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3" t="inlineStr">
        <is>
          <t>Bands D–E</t>
        </is>
      </c>
      <c r="B141" s="15" t="inlineStr">
        <is>
          <t>37%</t>
        </is>
      </c>
      <c r="C141" s="15" t="inlineStr">
        <is>
          <t>19%</t>
        </is>
      </c>
      <c r="D141" s="15" t="inlineStr">
        <is>
          <t>11%</t>
        </is>
      </c>
      <c r="E141" s="15" t="inlineStr">
        <is>
          <t>20%</t>
        </is>
      </c>
      <c r="F141" s="15" t="inlineStr">
        <is>
          <t>5%</t>
        </is>
      </c>
      <c r="G141" s="15" t="inlineStr">
        <is>
          <t>8%</t>
        </is>
      </c>
      <c r="H141" s="16"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3" t="inlineStr">
        <is>
          <t>Player-Coach · B+</t>
        </is>
      </c>
      <c r="B142" s="15" t="inlineStr">
        <is>
          <t>44%</t>
        </is>
      </c>
      <c r="C142" s="15" t="inlineStr">
        <is>
          <t>18%</t>
        </is>
      </c>
      <c r="D142" s="15" t="inlineStr">
        <is>
          <t>10%</t>
        </is>
      </c>
      <c r="E142" s="15" t="inlineStr">
        <is>
          <t>10%</t>
        </is>
      </c>
      <c r="F142" s="15" t="inlineStr">
        <is>
          <t>10%</t>
        </is>
      </c>
      <c r="G142" s="15" t="inlineStr">
        <is>
          <t>8%</t>
        </is>
      </c>
      <c r="H142" s="16"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3" t="inlineStr">
        <is>
          <t>Player-Coach · C+</t>
        </is>
      </c>
      <c r="B143" s="15" t="inlineStr">
        <is>
          <t>38%</t>
        </is>
      </c>
      <c r="C143" s="15" t="inlineStr">
        <is>
          <t>18%</t>
        </is>
      </c>
      <c r="D143" s="15" t="inlineStr">
        <is>
          <t>11%</t>
        </is>
      </c>
      <c r="E143" s="15" t="inlineStr">
        <is>
          <t>20%</t>
        </is>
      </c>
      <c r="F143" s="15" t="inlineStr">
        <is>
          <t>5%</t>
        </is>
      </c>
      <c r="G143" s="15" t="inlineStr">
        <is>
          <t>8%</t>
        </is>
      </c>
      <c r="H143" s="16"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12" t="inlineStr">
        <is>
          <t>Decision</t>
        </is>
      </c>
      <c r="B146" s="201" t="n"/>
      <c r="C146" s="12" t="inlineStr">
        <is>
          <t>Why</t>
        </is>
      </c>
      <c r="D146" s="202" t="n"/>
      <c r="E146" s="202" t="n"/>
      <c r="F146" s="201" t="n"/>
      <c r="G146" s="12" t="inlineStr">
        <is>
          <t>Source</t>
        </is>
      </c>
      <c r="H146" s="201" t="n"/>
    </row>
    <row r="147" ht="119" customHeight="1">
      <c r="A147" s="13" t="inlineStr">
        <is>
          <t>No 'Director' title</t>
        </is>
      </c>
      <c r="B147" s="201" t="n"/>
      <c r="C147"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202" t="n"/>
      <c r="E147" s="202" t="n"/>
      <c r="F147" s="201" t="n"/>
      <c r="G147" s="16" t="inlineStr">
        <is>
          <t>S63 iPleaders, Companies Act 2013 section 2, clause 34 · S64 Kaanoon practitioner Q&amp;A.</t>
        </is>
      </c>
      <c r="H147" s="201" t="n"/>
    </row>
    <row r="148" ht="145" customHeight="1">
      <c r="A148" s="13" t="inlineStr">
        <is>
          <t>No 'Fellow' title — two options for the heads</t>
        </is>
      </c>
      <c r="B148" s="201" t="n"/>
      <c r="C148"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202" t="n"/>
      <c r="E148" s="202" t="n"/>
      <c r="F148" s="201" t="n"/>
      <c r="G148" s="16"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201" t="n"/>
    </row>
    <row r="149" ht="15" customHeight="1"/>
    <row r="150" ht="20" customHeight="1">
      <c r="A150" s="6" t="inlineStr">
        <is>
          <t>7. Limits of the benchmark</t>
        </is>
      </c>
    </row>
    <row r="151" ht="15" customHeight="1">
      <c r="A151" s="199" t="inlineStr">
        <is>
          <t>• Vendor methods — Hay, Mercer IPE, WTW, Radford — keep their weights proprietary; their structure is public, their points are not.</t>
        </is>
      </c>
    </row>
    <row r="152" ht="15" customHeight="1">
      <c r="A152" s="199" t="inlineStr">
        <is>
          <t>• The plans are public-sector schemes with one weight set for every job; IRIS varies weights by level, following Hay's published direction.</t>
        </is>
      </c>
    </row>
    <row r="153" ht="41" customHeight="1">
      <c r="A153" s="199"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199"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1"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BV29"/>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16" customWidth="1" min="4" max="4"/>
    <col width="7" customWidth="1" min="5" max="5"/>
    <col width="7" customWidth="1" min="6" max="6"/>
    <col width="12" customWidth="1" min="7" max="7"/>
    <col width="20" customWidth="1" min="8" max="8"/>
    <col width="26" customWidth="1" min="9" max="9"/>
    <col width="18" customWidth="1" min="10" max="10"/>
    <col width="24" customWidth="1" min="11" max="11"/>
    <col width="12" customWidth="1" min="12" max="12"/>
    <col width="8" customWidth="1" min="13" max="13"/>
    <col width="16" customWidth="1" min="14" max="14"/>
    <col width="6" customWidth="1" min="15" max="15"/>
    <col width="11" customWidth="1" min="16" max="16"/>
    <col width="10" customWidth="1" min="17" max="17"/>
    <col width="64" customWidth="1" min="18" max="18"/>
    <col width="46" customWidth="1" min="19" max="19"/>
    <col width="30" customWidth="1" min="20" max="20"/>
    <col width="44" customWidth="1" min="21" max="21"/>
    <col width="44" customWidth="1" min="22" max="22"/>
    <col width="60" customWidth="1" min="23" max="23"/>
    <col width="64" customWidth="1" min="24" max="24"/>
    <col width="30" customWidth="1" min="25" max="25"/>
    <col width="10"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9" customWidth="1" min="44" max="44"/>
    <col width="8" customWidth="1" min="45" max="45"/>
    <col width="44" customWidth="1" min="46" max="46"/>
    <col width="42" customWidth="1" min="47" max="47"/>
    <col width="52" customWidth="1" min="48" max="48"/>
    <col width="58" customWidth="1" min="49" max="49"/>
    <col width="58" customWidth="1" min="50" max="50"/>
    <col width="58" customWidth="1" min="51" max="51"/>
    <col width="58" customWidth="1" min="52" max="52"/>
    <col width="58" customWidth="1" min="53" max="53"/>
    <col width="58" customWidth="1" min="54" max="54"/>
    <col width="34" customWidth="1" min="55" max="55"/>
    <col width="36" customWidth="1" min="56" max="56"/>
    <col width="46" customWidth="1" min="57" max="57"/>
    <col width="9" customWidth="1" min="58" max="58"/>
    <col width="30" customWidth="1" min="59" max="59"/>
    <col width="22" customWidth="1" min="60" max="60"/>
    <col width="11" customWidth="1" min="61" max="61"/>
    <col width="10" customWidth="1" min="62" max="62"/>
    <col width="10" customWidth="1" min="63" max="63"/>
    <col width="10" customWidth="1" min="64" max="64"/>
    <col width="8" customWidth="1" min="65" max="65"/>
    <col width="11" customWidth="1" min="66" max="66"/>
    <col width="26" customWidth="1" min="67" max="67"/>
    <col width="10" customWidth="1" min="68" max="68"/>
    <col width="9" customWidth="1" min="69" max="69"/>
    <col width="20" customWidth="1" min="70" max="70"/>
    <col width="9" customWidth="1" min="71" max="71"/>
    <col width="13" customWidth="1" min="72" max="72"/>
    <col width="11" customWidth="1" min="73" max="73"/>
    <col hidden="1" width="6" customWidth="1" min="74" max="74"/>
  </cols>
  <sheetData>
    <row r="1" ht="34" customHeight="1">
      <c r="A1" s="1" t="inlineStr">
        <is>
          <t>Talent Mapping — role, weightage, score → level, and the justification for every rating</t>
        </is>
      </c>
      <c r="AA1" s="232" t="inlineStr">
        <is>
          <t>◂ Contents</t>
        </is>
      </c>
    </row>
    <row r="2" ht="30" customHeight="1">
      <c r="A2" s="3" t="inlineStr">
        <is>
          <r>
            <rPr>
              <rFont val="Calibri"/>
              <b val="1"/>
              <i val="1"/>
              <color rgb="00404040"/>
              <sz val="10"/>
            </rPr>
            <t>Sheet 2 · Read left to right:</t>
          </r>
          <r>
            <rPr>
              <rFont val="Calibri"/>
              <i val="1"/>
              <color rgb="00404040"/>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 Ratings use the ladder scale: A1 = 1 … E2 = 12. Weights come live from the Weightage Matrix; points, score and indicated level recalculate when a leader edits it. Managers can overwrite the Business Impact rating, in yellow. Pay columns are left blank for HR.</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H4" s="65" t="inlineStr">
        <is>
          <t>Level up</t>
        </is>
      </c>
      <c r="I4" s="66" t="inlineStr">
        <is>
          <t>Level down — pay &amp; title protected</t>
        </is>
      </c>
      <c r="J4" s="67" t="inlineStr">
        <is>
          <t>Newly mapped</t>
        </is>
      </c>
      <c r="K4" s="68" t="inlineStr">
        <is>
          <t>Player-Coach · B+ · C+</t>
        </is>
      </c>
      <c r="L4" s="69" t="inlineStr">
        <is>
          <t>RED = critical input needed · could change or confirm the level</t>
        </is>
      </c>
      <c r="P4" s="71" t="inlineStr">
        <is>
          <t>YELLOW = to complete in validation</t>
        </is>
      </c>
    </row>
    <row r="5" ht="32" customHeight="1">
      <c r="A5" s="73" t="inlineStr">
        <is>
          <t>PERSON</t>
        </is>
      </c>
      <c r="H5" s="74" t="inlineStr">
        <is>
          <t>ROLE — BEFORE → AFTER</t>
        </is>
      </c>
      <c r="R5" s="76" t="inlineStr">
        <is>
          <t>ROLE PROFILE — what they do · role-holders' survey themes + catalogue</t>
        </is>
      </c>
      <c r="S5" s="77" t="inlineStr">
        <is>
          <t>BUSINESS IMPACT — what the person's role means for the business</t>
        </is>
      </c>
      <c r="U5" s="79" t="inlineStr">
        <is>
          <t>RECRUITMENT — REPLACEMENT PROFILE · to hire a like-for-like replacement</t>
        </is>
      </c>
      <c r="Y5" s="81" t="inlineStr">
        <is>
          <t>WEIGHTAGE — rating × weight = points · weights live from the Weightage Matrix</t>
        </is>
      </c>
      <c r="AT5" s="83" t="inlineStr">
        <is>
          <t>HOW THE SCORE BECOMES THE LEVEL</t>
        </is>
      </c>
      <c r="AW5" s="85" t="inlineStr">
        <is>
          <t>JUSTIFICATION FOR EACH RATING — start point, evidence, market standard</t>
        </is>
      </c>
      <c r="BC5" s="87" t="inlineStr">
        <is>
          <t>DATA SOURCES, INPUTS NEEDED &amp; MARKET STANDARD</t>
        </is>
      </c>
      <c r="BI5" s="89" t="inlineStr">
        <is>
          <t>PAY — set later from the pay survey · left blank</t>
        </is>
      </c>
      <c r="BN5" s="73" t="inlineStr">
        <is>
          <t>VALIDATION — manager &amp; HR</t>
        </is>
      </c>
    </row>
    <row r="6" ht="58" customHeight="1">
      <c r="A6" s="91" t="inlineStr">
        <is>
          <t>Emp ID</t>
        </is>
      </c>
      <c r="B6" s="92" t="inlineStr">
        <is>
          <t>Employee name</t>
        </is>
      </c>
      <c r="C6" s="92" t="inlineStr">
        <is>
          <t>Department</t>
        </is>
      </c>
      <c r="D6" s="92" t="inlineStr">
        <is>
          <t>Reporting manager</t>
        </is>
      </c>
      <c r="E6" s="92" t="inlineStr">
        <is>
          <t>Total exp. · yrs</t>
        </is>
      </c>
      <c r="F6" s="92" t="inlineStr">
        <is>
          <t>Exp. at IRIS · yrs</t>
        </is>
      </c>
      <c r="G6" s="92" t="inlineStr">
        <is>
          <t>Qualification</t>
        </is>
      </c>
      <c r="H6" s="93" t="inlineStr">
        <is>
          <t>Current designation</t>
        </is>
      </c>
      <c r="I6" s="12" t="inlineStr">
        <is>
          <t>Final designation</t>
        </is>
      </c>
      <c r="J6" s="12" t="inlineStr">
        <is>
          <t>Job family</t>
        </is>
      </c>
      <c r="K6" s="12" t="inlineStr">
        <is>
          <t>Sub-family · what they do</t>
        </is>
      </c>
      <c r="L6" s="12" t="inlineStr">
        <is>
          <t>Current level</t>
        </is>
      </c>
      <c r="M6" s="12" t="inlineStr">
        <is>
          <t>FINAL LEVEL</t>
        </is>
      </c>
      <c r="N6" s="12" t="inlineStr">
        <is>
          <t>Level title</t>
        </is>
      </c>
      <c r="O6" s="12" t="inlineStr">
        <is>
          <t>Band</t>
        </is>
      </c>
      <c r="P6" s="12" t="inlineStr">
        <is>
          <t>Track</t>
        </is>
      </c>
      <c r="Q6" s="12" t="inlineStr">
        <is>
          <t>Change vs current</t>
        </is>
      </c>
      <c r="R6" s="94" t="inlineStr">
        <is>
          <t>Role profile — what they do, responsibilities &amp; competencies required</t>
        </is>
      </c>
      <c r="S6" s="95" t="inlineStr">
        <is>
          <t>Business impact — from survey and data</t>
        </is>
      </c>
      <c r="T6" s="96" t="inlineStr">
        <is>
          <t>Business impact — from manager / head · to complete</t>
        </is>
      </c>
      <c r="U6" s="97" t="inlineStr">
        <is>
          <t>Replacement — what they do · simple</t>
        </is>
      </c>
      <c r="V6" s="98" t="inlineStr">
        <is>
          <t>Hire equivalent · external market</t>
        </is>
      </c>
      <c r="W6" s="98" t="inlineStr">
        <is>
          <t>Competencies &amp; skill level to hire for</t>
        </is>
      </c>
      <c r="X6" s="98" t="inlineStr">
        <is>
          <t>Interview questions for the perfect fit</t>
        </is>
      </c>
      <c r="Y6" s="99" t="inlineStr">
        <is>
          <t>Weight row — Weightage Matrix</t>
        </is>
      </c>
      <c r="Z6" s="100" t="inlineStr">
        <is>
          <t>Complexity rating</t>
        </is>
      </c>
      <c r="AA6" s="100" t="inlineStr">
        <is>
          <t>Complexity weight</t>
        </is>
      </c>
      <c r="AB6" s="100" t="inlineStr">
        <is>
          <t>Complexity points</t>
        </is>
      </c>
      <c r="AC6" s="100" t="inlineStr">
        <is>
          <t>Autonomy rating</t>
        </is>
      </c>
      <c r="AD6" s="100" t="inlineStr">
        <is>
          <t>Autonomy weight</t>
        </is>
      </c>
      <c r="AE6" s="100" t="inlineStr">
        <is>
          <t>Autonomy points</t>
        </is>
      </c>
      <c r="AF6" s="100" t="inlineStr">
        <is>
          <t>Accountab. rating</t>
        </is>
      </c>
      <c r="AG6" s="100" t="inlineStr">
        <is>
          <t>Accountab. weight</t>
        </is>
      </c>
      <c r="AH6" s="100" t="inlineStr">
        <is>
          <t>Accountab. points</t>
        </is>
      </c>
      <c r="AI6" s="100" t="inlineStr">
        <is>
          <t>Leadership rating</t>
        </is>
      </c>
      <c r="AJ6" s="100" t="inlineStr">
        <is>
          <t>Leadership weight</t>
        </is>
      </c>
      <c r="AK6" s="100" t="inlineStr">
        <is>
          <t>Leadership points</t>
        </is>
      </c>
      <c r="AL6" s="100" t="inlineStr">
        <is>
          <t>Exp + Qual rating</t>
        </is>
      </c>
      <c r="AM6" s="100" t="inlineStr">
        <is>
          <t>Exp + Qual weight</t>
        </is>
      </c>
      <c r="AN6" s="100" t="inlineStr">
        <is>
          <t>Exp + Qual points</t>
        </is>
      </c>
      <c r="AO6" s="100" t="inlineStr">
        <is>
          <t>Bus. Impact rating</t>
        </is>
      </c>
      <c r="AP6" s="100" t="inlineStr">
        <is>
          <t>Bus. Impact weight</t>
        </is>
      </c>
      <c r="AQ6" s="100" t="inlineStr">
        <is>
          <t>Bus. Impact points</t>
        </is>
      </c>
      <c r="AR6" s="100" t="inlineStr">
        <is>
          <t>WEIGHTED SCORE = Σ points</t>
        </is>
      </c>
      <c r="AS6" s="100" t="inlineStr">
        <is>
          <t>Level the score indicates</t>
        </is>
      </c>
      <c r="AT6" s="101" t="inlineStr">
        <is>
          <t>Why these weights</t>
        </is>
      </c>
      <c r="AU6" s="102" t="inlineStr">
        <is>
          <t>Calculation</t>
        </is>
      </c>
      <c r="AV6" s="102" t="inlineStr">
        <is>
          <t>Gates, limits &amp; Player-Coach transition steps applied — with the numbers</t>
        </is>
      </c>
      <c r="AW6" s="103" t="inlineStr">
        <is>
          <t>Complexity &amp; Expertise — justification</t>
        </is>
      </c>
      <c r="AX6" s="104" t="inlineStr">
        <is>
          <t>Autonomy &amp; Decision — justification</t>
        </is>
      </c>
      <c r="AY6" s="104" t="inlineStr">
        <is>
          <t>Accountability &amp; Impact — justification</t>
        </is>
      </c>
      <c r="AZ6" s="104" t="inlineStr">
        <is>
          <t>Leadership &amp; Strategy — justification</t>
        </is>
      </c>
      <c r="BA6" s="104" t="inlineStr">
        <is>
          <t>Experience &amp; Qualification — justification</t>
        </is>
      </c>
      <c r="BB6" s="104" t="inlineStr">
        <is>
          <t>Business Impact — justification</t>
        </is>
      </c>
      <c r="BC6" s="105" t="inlineStr">
        <is>
          <t>ADDITIONAL INPUTS NEEDED — what, and who provides it</t>
        </is>
      </c>
      <c r="BD6" s="106" t="inlineStr">
        <is>
          <t>Data used for this person</t>
        </is>
      </c>
      <c r="BE6" s="106" t="inlineStr">
        <is>
          <t>Market standard for this role and level</t>
        </is>
      </c>
      <c r="BF6" s="106" t="inlineStr">
        <is>
          <t>Confidence</t>
        </is>
      </c>
      <c r="BG6" s="106" t="inlineStr">
        <is>
          <t>Points to confirm</t>
        </is>
      </c>
      <c r="BH6" s="106" t="inlineStr">
        <is>
          <t>Player-Coach / calibration flag</t>
        </is>
      </c>
      <c r="BI6" s="107" t="inlineStr">
        <is>
          <t>Current fixed pay · annual CTC</t>
        </is>
      </c>
      <c r="BJ6" s="108" t="inlineStr">
        <is>
          <t>Proposed range — minimum</t>
        </is>
      </c>
      <c r="BK6" s="108" t="inlineStr">
        <is>
          <t>Proposed range — midpoint</t>
        </is>
      </c>
      <c r="BL6" s="108" t="inlineStr">
        <is>
          <t>Proposed range — maximum</t>
        </is>
      </c>
      <c r="BM6" s="108" t="inlineStr">
        <is>
          <t>Compa-ratio</t>
        </is>
      </c>
      <c r="BN6" s="91" t="inlineStr">
        <is>
          <t>Manager validation</t>
        </is>
      </c>
      <c r="BO6" s="92" t="inlineStr">
        <is>
          <t>Manager comment / proposed change</t>
        </is>
      </c>
      <c r="BP6" s="92" t="inlineStr">
        <is>
          <t>HR decision</t>
        </is>
      </c>
      <c r="BQ6" s="92" t="inlineStr">
        <is>
          <t>Approved level</t>
        </is>
      </c>
      <c r="BR6" s="92" t="inlineStr">
        <is>
          <t>Approved designation</t>
        </is>
      </c>
      <c r="BS6" s="92" t="inlineStr">
        <is>
          <t>Pay / title protection · Y/N</t>
        </is>
      </c>
      <c r="BT6" s="92" t="inlineStr">
        <is>
          <t>Reviewer</t>
        </is>
      </c>
      <c r="BU6" s="92" t="inlineStr">
        <is>
          <t>Decision date</t>
        </is>
      </c>
      <c r="BV6" s="92" t="inlineStr">
        <is>
          <t>Bus. Impact — model start</t>
        </is>
      </c>
    </row>
    <row r="7" ht="340" customHeight="1">
      <c r="A7" s="109" t="inlineStr">
        <is>
          <t>IRIS0114</t>
        </is>
      </c>
      <c r="B7" s="110" t="inlineStr">
        <is>
          <t>Shraddha Patil</t>
        </is>
      </c>
      <c r="C7" s="111" t="inlineStr">
        <is>
          <t>Digitizing</t>
        </is>
      </c>
      <c r="D7" s="111" t="inlineStr">
        <is>
          <t>Vijay Parulekar</t>
        </is>
      </c>
      <c r="E7" s="112" t="n">
        <v>19.1</v>
      </c>
      <c r="F7" s="112" t="n">
        <v>19.1</v>
      </c>
      <c r="G7" s="111" t="inlineStr">
        <is>
          <t>BA</t>
        </is>
      </c>
      <c r="H7" s="113" t="inlineStr">
        <is>
          <t>Image Processing Specialist</t>
        </is>
      </c>
      <c r="I7" s="114" t="inlineStr">
        <is>
          <t>Digitization Manager</t>
        </is>
      </c>
      <c r="J7" s="115" t="inlineStr">
        <is>
          <t>Data Operations &amp; Digitization</t>
        </is>
      </c>
      <c r="K7" s="115" t="inlineStr">
        <is>
          <t>Document Conversion, Formatting &amp; Web Publishing</t>
        </is>
      </c>
      <c r="L7" s="114" t="inlineStr">
        <is>
          <t>L3 – Professional / Associate</t>
        </is>
      </c>
      <c r="M7" s="116" t="inlineStr">
        <is>
          <t>B2</t>
        </is>
      </c>
      <c r="N7" s="21" t="inlineStr">
        <is>
          <t>Manager</t>
        </is>
      </c>
      <c r="O7" s="23" t="inlineStr">
        <is>
          <t>B</t>
        </is>
      </c>
      <c r="P7" s="115" t="inlineStr">
        <is>
          <t>People Manager</t>
        </is>
      </c>
      <c r="Q7" s="117" t="inlineStr">
        <is>
          <t>▲ Up</t>
        </is>
      </c>
      <c r="R7" s="118" t="inlineStr">
        <is>
          <r>
            <rPr>
              <rFont val="Calibri"/>
              <b val="1"/>
              <sz val="10"/>
            </rPr>
            <t>WHAT THE ROLE DOES:</t>
          </r>
          <r>
            <rPr>
              <rFont val="Calibri"/>
              <sz val="10"/>
            </rPr>
            <t xml:space="preserve"> 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
</t>
          </r>
          <r>
            <rPr>
              <rFont val="Calibri"/>
              <b val="1"/>
              <sz val="10"/>
            </rPr>
            <t>KEY RESPONSIBILITIES:</t>
          </r>
          <r>
            <rPr>
              <rFont val="Calibri"/>
              <sz val="10"/>
            </rPr>
            <t xml:space="preserve"> 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html · pdf · word · deliver · formatted · documents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am · accountable · accuracy · quality · every · formatting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formatting · independently · html · validate · allocate · cipc
</t>
          </r>
          <r>
            <rPr>
              <rFont val="Calibri"/>
              <b val="1"/>
              <sz val="10"/>
            </rPr>
            <t>SKILLS &amp; KNOWLEDGE · role-holders:</t>
          </r>
          <r>
            <rPr>
              <rFont val="Calibri"/>
              <sz val="10"/>
            </rPr>
            <t xml:space="preserve"> OCR/Image procesing · attention to detail · quality checking · Excel · timely delivery · HTML · Word · ABYYY Fine Reader
</t>
          </r>
          <r>
            <rPr>
              <rFont val="Calibri"/>
              <b val="1"/>
              <sz val="10"/>
            </rPr>
            <t>TOOLS &amp; SYSTEMS:</t>
          </r>
          <r>
            <rPr>
              <rFont val="Calibri"/>
              <sz val="10"/>
            </rPr>
            <t xml:space="preserve"> Excel · Office 365 word · Carbon applications · Abby FineReader · Web Expression HTML editor · DM · HTML Editor · US DM - Carbon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sub-family themes · 3+ answered — 2 holders, 2 answered the survey; sub-family 30 answered; catalogue RC-050</t>
          </r>
        </is>
      </c>
      <c r="S7"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8 direct reports.
From the survey and manager mapping — critical role: yes; successor named: no.
</t>
          </r>
          <r>
            <rPr>
              <rFont val="Calibri"/>
              <b val="1"/>
              <sz val="10"/>
            </rPr>
            <t>If the work is missed · role-holders' themes:</t>
          </r>
          <r>
            <rPr>
              <rFont val="Calibri"/>
              <sz val="10"/>
            </rPr>
            <t xml:space="preserve"> rework · delays · errors · quality · incorrect.
Manager talent mapping — Latest rating: 5 · Potential: High · 9-Box Grid placement: Core Contributor.</t>
          </r>
        </is>
      </c>
      <c r="T7" s="120" t="n"/>
      <c r="U7" s="121" t="inlineStr">
        <is>
          <r>
            <rPr>
              <rFont val="Calibri"/>
              <sz val="10"/>
            </rPr>
            <t xml:space="preserve">Digitization Manager in Digitizing · Consume, B2 — People Manager.
</t>
          </r>
          <r>
            <rPr>
              <rFont val="Calibri"/>
              <b val="1"/>
              <sz val="10"/>
            </rPr>
            <t>The work:</t>
          </r>
          <r>
            <rPr>
              <rFont val="Calibri"/>
              <sz val="10"/>
            </rPr>
            <t xml:space="preserve"> Converts and formats documents into HTML/PDF/Word to filing or web standards, and publishes content · incl. RBI website.
At this level the role owns deep domain expertise, or one team.
</t>
          </r>
          <r>
            <rPr>
              <rFont val="Calibri"/>
              <b val="1"/>
              <sz val="10"/>
            </rPr>
            <t>Key responsibilities:</t>
          </r>
          <r>
            <rPr>
              <rFont val="Calibri"/>
              <sz val="10"/>
            </rPr>
            <t xml:space="preserve"> Converts and formats documents into HTML/PDF/Word to filing or web standards, and publishes content · incl. RBI website; Hardest problems in the domain; One team or a client portfolio.
</t>
          </r>
          <r>
            <rPr>
              <rFont val="Calibri"/>
              <b val="1"/>
              <sz val="10"/>
            </rPr>
            <t>Holders describe it with:</t>
          </r>
          <r>
            <rPr>
              <rFont val="Calibri"/>
              <sz val="10"/>
            </rPr>
            <t xml:space="preserve"> quality · document · formatting · html · accuracy · conversion.
Leads 8 direct reports.</t>
          </r>
        </is>
      </c>
      <c r="V7"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 commerce preferred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Accenture Operations – L8 Associate Manager · IRIS Vs Competitor Benchmark — operations roles – Operations Manager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7" s="122" t="inlineStr">
        <is>
          <r>
            <rPr>
              <rFont val="Calibri"/>
              <sz val="10"/>
            </rPr>
            <t xml:space="preserve">FUNCTIONAL — skill level 4 of 5 · Advanced
 ★ Advanced Excel &amp; Productivity Tools: Builds templates and automation used by the team
 ★ Process Improvement &amp; Quality Mindset: Redesigns team processes; reduces error rates measurably
 • </t>
          </r>
          <r>
            <rPr>
              <rFont val="Calibri"/>
              <b val="1"/>
              <sz val="10"/>
            </rPr>
            <t>Regulatory &amp; BFSI Domain:</t>
          </r>
          <r>
            <rPr>
              <rFont val="Calibri"/>
              <sz val="10"/>
            </rPr>
            <t xml:space="preserve"> Interprets new regulation; advises clients and product
 • </t>
          </r>
          <r>
            <rPr>
              <rFont val="Calibri"/>
              <b val="1"/>
              <sz val="10"/>
            </rPr>
            <t>XBRL, iXBRL &amp; Taxonomy:</t>
          </r>
          <r>
            <rPr>
              <rFont val="Calibri"/>
              <sz val="10"/>
            </rPr>
            <t xml:space="preserve"> Resolves complex tagging and taxonomy issues; builds extensions; reviews others
 • </t>
          </r>
          <r>
            <rPr>
              <rFont val="Calibri"/>
              <b val="1"/>
              <sz val="10"/>
            </rPr>
            <t>AI, GenAI &amp; Prompt Engineering:</t>
          </r>
          <r>
            <rPr>
              <rFont val="Calibri"/>
              <sz val="10"/>
            </rPr>
            <t xml:space="preserve"> Builds AI features or AI-enabled processes; sets safe-use practice
 • </t>
          </r>
          <r>
            <rPr>
              <rFont val="Calibri"/>
              <b val="1"/>
              <sz val="10"/>
            </rPr>
            <t>Time, Priority &amp; Self-Management:</t>
          </r>
          <r>
            <rPr>
              <rFont val="Calibri"/>
              <sz val="10"/>
            </rPr>
            <t xml:space="preserve"> Plans team capacity and peak-season loads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OCR/Image procesing · attention to detail · quality checking · Excel · timely delivery · HTML · Word · ABYYY Fine Reader
</t>
          </r>
          <r>
            <rPr>
              <rFont val="Calibri"/>
              <b val="1"/>
              <sz val="10"/>
            </rPr>
            <t>TOOLS:</t>
          </r>
          <r>
            <rPr>
              <rFont val="Calibri"/>
              <sz val="10"/>
            </rPr>
            <t xml:space="preserve"> Excel · Office 365 word · Carbon applications · Abby FineReader · Web Expression HTML editor · DM · HTML Editor · US DM - Carbon
★ = must-have for the family. Scale: 1 Awareness · 2 Working · 3 Practitioner · 4 Advanced · 5 Expert.</t>
          </r>
        </is>
      </c>
      <c r="X7" s="122" t="inlineStr">
        <is>
          <r>
            <rPr>
              <rFont val="Calibri"/>
              <sz val="10"/>
            </rPr>
            <t xml:space="preserve">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 s="123" t="inlineStr">
        <is>
          <t>Consume · Digitizing · Band B · People Manager</t>
        </is>
      </c>
      <c r="Z7" s="124" t="n">
        <v>3.5</v>
      </c>
      <c r="AA7" s="125">
        <f>IFERROR(INDEX(WM_C,MATCH($Y7,WM_KEY,0)),"")</f>
        <v>0.32</v>
      </c>
      <c r="AB7" s="126">
        <f>IF(Z7="","",Z7*AA7)</f>
        <v>1.12</v>
      </c>
      <c r="AC7" s="124" t="n">
        <v>4.5</v>
      </c>
      <c r="AD7" s="125">
        <f>IFERROR(INDEX(WM_AU,MATCH($Y7,WM_KEY,0)),"")</f>
        <v>0.18</v>
      </c>
      <c r="AE7" s="126">
        <f>IF(AC7="","",AC7*AD7)</f>
        <v>0.81</v>
      </c>
      <c r="AF7" s="124" t="n">
        <v>5</v>
      </c>
      <c r="AG7" s="125">
        <f>IFERROR(INDEX(WM_AC,MATCH($Y7,WM_KEY,0)),"")</f>
        <v>0.16</v>
      </c>
      <c r="AH7" s="126">
        <f>IF(AF7="","",AF7*AG7)</f>
        <v>0.8</v>
      </c>
      <c r="AI7" s="124" t="n">
        <v>5</v>
      </c>
      <c r="AJ7" s="125">
        <f>IFERROR(INDEX(WM_L,MATCH($Y7,WM_KEY,0)),"")</f>
        <v>0.15</v>
      </c>
      <c r="AK7" s="126">
        <f>IF(AI7="","",AI7*AJ7)</f>
        <v>0.75</v>
      </c>
      <c r="AL7" s="124" t="n">
        <v>9.5</v>
      </c>
      <c r="AM7" s="125">
        <f>IFERROR(INDEX(WM_E,MATCH($Y7,WM_KEY,0)),"")</f>
        <v>0.1</v>
      </c>
      <c r="AN7" s="126">
        <f>IF(AL7="","",AL7*AM7)</f>
        <v>0.95</v>
      </c>
      <c r="AO7" s="127" t="n">
        <v>5.5</v>
      </c>
      <c r="AP7" s="125">
        <f>IFERROR(INDEX(WM_BI,MATCH($Y7,WM_KEY,0)),"")</f>
        <v>0.09</v>
      </c>
      <c r="AQ7" s="126">
        <f>IF(AO7="","",AO7*AP7)</f>
        <v>0.495</v>
      </c>
      <c r="AR7" s="126">
        <f>IF(COUNT(AB7,AE7,AH7,AK7,AN7,AQ7)&lt;6,"",SUM(AB7,AE7,AH7,AK7,AN7,AQ7))</f>
        <v>4.925</v>
      </c>
      <c r="AS7" s="128" t="str">
        <f>IF(AR7="","",INDEX({"A1","A2","A3","B1","B2","B3","C1","C2","D1","D2","E1","E2"},MAX(1,MIN(12,ROUND(AR7,0)))))</f>
        <v>B2</v>
      </c>
      <c r="AT7" s="129"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7" s="130" t="inlineStr">
        <is>
          <r>
            <rPr>
              <rFont val="Calibri"/>
              <b val="1"/>
              <sz val="10"/>
            </rPr>
            <t>At build:</t>
          </r>
          <r>
            <rPr>
              <rFont val="Calibri"/>
              <sz val="10"/>
            </rPr>
            <t xml:space="preserve"> Complexity 1.12 + Autonomy 0.81 + Accountability 0.80 + Leadership 0.75 + Experience 0.95 + Business impact 0.49
= 4.92 points → nearest level 5 = B2
</t>
          </r>
          <r>
            <rPr>
              <rFont val="Calibri"/>
              <b val="1"/>
              <sz val="10"/>
            </rPr>
            <t>Final level:</t>
          </r>
          <r>
            <rPr>
              <rFont val="Calibri"/>
              <sz val="10"/>
            </rPr>
            <t xml:space="preserve"> B2 · same as the score</t>
          </r>
        </is>
      </c>
      <c r="AV7" s="130" t="inlineStr">
        <is>
          <r>
            <rPr>
              <rFont val="Calibri"/>
              <b val="1"/>
              <sz val="10"/>
            </rPr>
            <t>No rule applied:</t>
          </r>
          <r>
            <rPr>
              <rFont val="Calibri"/>
              <sz val="10"/>
            </rPr>
            <t xml:space="preserve"> the score decides.</t>
          </r>
        </is>
      </c>
      <c r="AW7"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Runs RBI website maintenance delivery: client coordination, root-cause analysis, quality management, release plans → moved up 0.5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A3 = Varied and non-standard work; handles exceptions · B1 = Domain specialist work</t>
          </r>
        </is>
      </c>
      <c r="AX7" s="132" t="inlineStr">
        <is>
          <r>
            <rPr>
              <rFont val="Calibri"/>
              <sz val="10"/>
            </rPr>
            <t xml:space="preserve">Rated 4.5 of 12 · between B1 and B2
</t>
          </r>
          <r>
            <rPr>
              <rFont val="Calibri"/>
              <b val="1"/>
              <sz val="10"/>
            </rPr>
            <t>Start:</t>
          </r>
          <r>
            <rPr>
              <rFont val="Calibri"/>
              <sz val="10"/>
            </rPr>
            <t xml:space="preserve"> 4.0 · senior practitioner title; reporting lines show a bigger role: 8 direct reports
</t>
          </r>
          <r>
            <rPr>
              <rFont val="Calibri"/>
              <b val="1"/>
              <sz val="10"/>
            </rPr>
            <t>Evidence reads like B2:</t>
          </r>
          <r>
            <rPr>
              <rFont val="Calibri"/>
              <sz val="10"/>
            </rPr>
            <t xml:space="preserve"> Decides team workload and major release plans → moved up 0.5
</t>
          </r>
          <r>
            <rPr>
              <rFont val="Calibri"/>
              <b val="1"/>
              <sz val="10"/>
            </rPr>
            <t>Market:</t>
          </r>
          <r>
            <rPr>
              <rFont val="Calibri"/>
              <sz val="10"/>
            </rPr>
            <t xml:space="preserve"> B1 = Technical / QC / client calls for the domain · B2 = Allocates people and sets team priorities</t>
          </r>
        </is>
      </c>
      <c r="AY7" s="132" t="inlineStr">
        <is>
          <r>
            <rPr>
              <rFont val="Calibri"/>
              <sz val="10"/>
            </rPr>
            <t xml:space="preserve">Rated 5 of 12
</t>
          </r>
          <r>
            <rPr>
              <rFont val="Calibri"/>
              <b val="1"/>
              <sz val="10"/>
            </rPr>
            <t>Start:</t>
          </r>
          <r>
            <rPr>
              <rFont val="Calibri"/>
              <sz val="10"/>
            </rPr>
            <t xml:space="preserve"> 5.0 · senior practitioner title; 8 direct reports
</t>
          </r>
          <r>
            <rPr>
              <rFont val="Calibri"/>
              <b val="1"/>
              <sz val="10"/>
            </rPr>
            <t>Evidence reads like B2:</t>
          </r>
          <r>
            <rPr>
              <rFont val="Calibri"/>
              <sz val="10"/>
            </rPr>
            <t xml:space="preserve"> As team leader, accountable for overall delivery of the Website Maintenance Project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B2 = One team or a client portfolio</t>
          </r>
        </is>
      </c>
      <c r="AZ7"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Manages performance and workload of the team; 8 direct reports → matches the start
</t>
          </r>
          <r>
            <rPr>
              <rFont val="Calibri"/>
              <b val="1"/>
              <sz val="10"/>
            </rPr>
            <t>Team:</t>
          </r>
          <r>
            <rPr>
              <rFont val="Calibri"/>
              <sz val="10"/>
            </rPr>
            <t xml:space="preserve"> 8 direct reports · People Manager
</t>
          </r>
          <r>
            <rPr>
              <rFont val="Calibri"/>
              <b val="1"/>
              <sz val="10"/>
            </rPr>
            <t>Market:</t>
          </r>
          <r>
            <rPr>
              <rFont val="Calibri"/>
              <sz val="10"/>
            </rPr>
            <t xml:space="preserve"> B2 = IC: guides others in the domain · People: manages a team of 6+</t>
          </r>
        </is>
      </c>
      <c r="BA7" s="132" t="inlineStr">
        <is>
          <r>
            <rPr>
              <rFont val="Calibri"/>
              <sz val="10"/>
            </rPr>
            <t xml:space="preserve">Rated 9.5 of 12 · between D1 and D2
</t>
          </r>
          <r>
            <rPr>
              <rFont val="Calibri"/>
              <b val="1"/>
              <sz val="10"/>
            </rPr>
            <t>Experience:</t>
          </r>
          <r>
            <rPr>
              <rFont val="Calibri"/>
              <sz val="10"/>
            </rPr>
            <t xml:space="preserve"> 19.1 yrs total · 19.1 at IRIS; none recorded before IRIS = 9.5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B2 roles typically have 6–10 yrs · IRIS guide 6–9</t>
          </r>
        </is>
      </c>
      <c r="BB7"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7" s="133" t="inlineStr">
        <is>
          <t>• Confirm the reporting line — Manager</t>
        </is>
      </c>
      <c r="BD7" s="134" t="inlineStr">
        <is>
          <t>✓ HRIS: 19.1 yrs, BA, 8 direct reports
✓ Survey: 20 of 20 questions answered
✓ KRAs: submitted, reported deliverables
✓ Manager mapping: rating, potential, 9-box
✗ Job description: not on file</t>
        </is>
      </c>
      <c r="BE7"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Accenture Operations – L8 Associate Manager · IRIS Vs Competitor Benchmark — operations roles: Operations Manager
</t>
          </r>
          <r>
            <rPr>
              <rFont val="Calibri"/>
              <b val="1"/>
              <sz val="10"/>
            </rPr>
            <t>Typical experience:</t>
          </r>
          <r>
            <rPr>
              <rFont val="Calibri"/>
              <sz val="10"/>
            </rPr>
            <t xml:space="preserve"> 6–10 yrs · IRIS guide 6–9
</t>
          </r>
          <r>
            <rPr>
              <rFont val="Calibri"/>
              <b val="1"/>
              <sz val="10"/>
            </rPr>
            <t>Standard:</t>
          </r>
          <r>
            <rPr>
              <rFont val="Calibri"/>
              <sz val="10"/>
            </rPr>
            <t xml:space="preserve"> COPC CX Standard; ISO 9001</t>
          </r>
        </is>
      </c>
      <c r="BF7" s="134" t="inlineStr">
        <is>
          <t>Medium</t>
        </is>
      </c>
      <c r="BG7" s="134" t="inlineStr">
        <is>
          <t>• Work described is bigger than the current designation suggests — manager to confirm the actual role
• Reporting lines show a much bigger role than the designation suggests — confirm the mandate; the designation may need to change
• Final level B2 is 3 levels above the current level on record · L3 ≈ A2 — the record looks out of date; HR to confirm</t>
        </is>
      </c>
      <c r="BH7" s="134" t="inlineStr"/>
      <c r="BI7" s="135" t="n"/>
      <c r="BJ7" s="136" t="n"/>
      <c r="BK7" s="136" t="n"/>
      <c r="BL7" s="136" t="n"/>
      <c r="BM7" s="136" t="n"/>
      <c r="BN7" s="137" t="n"/>
      <c r="BO7" s="120" t="n"/>
      <c r="BP7" s="120" t="n"/>
      <c r="BQ7" s="120" t="n"/>
      <c r="BR7" s="120" t="n"/>
      <c r="BS7" s="120" t="n"/>
      <c r="BT7" s="120" t="n"/>
      <c r="BU7" s="120" t="n"/>
      <c r="BV7" s="120" t="n">
        <v>5.5</v>
      </c>
    </row>
    <row r="8" ht="340" customHeight="1">
      <c r="A8" s="109" t="inlineStr">
        <is>
          <t>IRIS0167</t>
        </is>
      </c>
      <c r="B8" s="110" t="inlineStr">
        <is>
          <t>Nitin Bhoir</t>
        </is>
      </c>
      <c r="C8" s="111" t="inlineStr">
        <is>
          <t>Digitizing</t>
        </is>
      </c>
      <c r="D8" s="111" t="inlineStr">
        <is>
          <t>Shraddha Patil</t>
        </is>
      </c>
      <c r="E8" s="112" t="n">
        <v>18.9</v>
      </c>
      <c r="F8" s="112" t="n">
        <v>18.7</v>
      </c>
      <c r="G8" s="111" t="inlineStr">
        <is>
          <t>BA</t>
        </is>
      </c>
      <c r="H8" s="113" t="inlineStr">
        <is>
          <t>Image Processing Specialist</t>
        </is>
      </c>
      <c r="I8" s="114" t="inlineStr">
        <is>
          <t>Digitization Specialist</t>
        </is>
      </c>
      <c r="J8" s="115" t="inlineStr">
        <is>
          <t>Data Operations &amp; Digitization</t>
        </is>
      </c>
      <c r="K8" s="115" t="inlineStr">
        <is>
          <t>Document Conversion, Formatting &amp; Web Publishing</t>
        </is>
      </c>
      <c r="L8" s="114" t="inlineStr">
        <is>
          <t>L3 – Professional / Associate</t>
        </is>
      </c>
      <c r="M8" s="116" t="inlineStr">
        <is>
          <t>B1</t>
        </is>
      </c>
      <c r="N8" s="21" t="inlineStr">
        <is>
          <t>Specialist</t>
        </is>
      </c>
      <c r="O8" s="23" t="inlineStr">
        <is>
          <t>B</t>
        </is>
      </c>
      <c r="P8" s="115" t="inlineStr">
        <is>
          <t>IC</t>
        </is>
      </c>
      <c r="Q8" s="117" t="inlineStr">
        <is>
          <t>▲ Up</t>
        </is>
      </c>
      <c r="R8" s="118" t="inlineStr">
        <is>
          <r>
            <rPr>
              <rFont val="Calibri"/>
              <b val="1"/>
              <sz val="10"/>
            </rPr>
            <t>WHAT THE ROLE DOES:</t>
          </r>
          <r>
            <rPr>
              <rFont val="Calibri"/>
              <sz val="10"/>
            </rPr>
            <t xml:space="preserve"> 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word · pdf · html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am · every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Carbon applications · Office 365 word · Excel · Abby FineReader · Web Expression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RC-048</t>
          </r>
        </is>
      </c>
      <c r="S8"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3 · Potential: Medium · 9-Box Grid placement: Core Contributor.</t>
          </r>
        </is>
      </c>
      <c r="T8" s="120" t="n"/>
      <c r="U8" s="121" t="inlineStr">
        <is>
          <r>
            <rPr>
              <rFont val="Calibri"/>
              <sz val="10"/>
            </rPr>
            <t xml:space="preserve">Digitization Specialist in Digitizing · Consume, B1 — IC.
</t>
          </r>
          <r>
            <rPr>
              <rFont val="Calibri"/>
              <b val="1"/>
              <sz val="10"/>
            </rPr>
            <t>The work:</t>
          </r>
          <r>
            <rPr>
              <rFont val="Calibri"/>
              <sz val="10"/>
            </rPr>
            <t xml:space="preserve"> Converts and formats documents into HTML/PDF/Word to filing or web standards, and publishes content · incl. RBI website.
At this level the role owns a domain / module, or a small team.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Holders describe it with:</t>
          </r>
          <r>
            <rPr>
              <rFont val="Calibri"/>
              <sz val="10"/>
            </rPr>
            <t xml:space="preserve"> files · quality · html · received · correctly · checking.</t>
          </r>
        </is>
      </c>
      <c r="V8" s="122" t="inlineStr">
        <is>
          <r>
            <rPr>
              <rFont val="Calibri"/>
              <b val="1"/>
              <sz val="10"/>
            </rPr>
            <t>Hire as:</t>
          </r>
          <r>
            <rPr>
              <rFont val="Calibri"/>
              <sz val="10"/>
            </rPr>
            <t xml:space="preserve"> Specialist / QC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 commerce preferred
</t>
          </r>
          <r>
            <rPr>
              <rFont val="Calibri"/>
              <b val="1"/>
              <sz val="10"/>
            </rPr>
            <t>Equivalent titles at peers:</t>
          </r>
          <r>
            <rPr>
              <rFont val="Calibri"/>
              <sz val="10"/>
            </rPr>
            <t xml:space="preserve"> Accenture Operations – L9 Team Lead · IRIS Vs Competitor Benchmark — operations roles – Team Lead / Quality Lead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8"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OCR/Image procesing
</t>
          </r>
          <r>
            <rPr>
              <rFont val="Calibri"/>
              <b val="1"/>
              <sz val="10"/>
            </rPr>
            <t>TOOLS:</t>
          </r>
          <r>
            <rPr>
              <rFont val="Calibri"/>
              <sz val="10"/>
            </rPr>
            <t xml:space="preserve"> Carbon applications · Office 365 word · Excel · Abby FineReader · Web Expression HTML Editor
★ = must-have for the family. Scale: 1 Awareness · 2 Working · 3 Practitioner · 4 Advanced · 5 Expert.</t>
          </r>
        </is>
      </c>
      <c r="X8"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 s="123" t="inlineStr">
        <is>
          <t>Consume · Digitizing · Band B · Expert / POD Lead</t>
        </is>
      </c>
      <c r="Z8" s="124" t="n">
        <v>3</v>
      </c>
      <c r="AA8" s="125">
        <f>IFERROR(INDEX(WM_C,MATCH($Y8,WM_KEY,0)),"")</f>
        <v>0.46</v>
      </c>
      <c r="AB8" s="126">
        <f>IF(Z8="","",Z8*AA8)</f>
        <v>1.38</v>
      </c>
      <c r="AC8" s="124" t="n">
        <v>2.5</v>
      </c>
      <c r="AD8" s="125">
        <f>IFERROR(INDEX(WM_AU,MATCH($Y8,WM_KEY,0)),"")</f>
        <v>0.17</v>
      </c>
      <c r="AE8" s="126">
        <f>IF(AC8="","",AC8*AD8)</f>
        <v>0.425</v>
      </c>
      <c r="AF8" s="124" t="n">
        <v>3</v>
      </c>
      <c r="AG8" s="125">
        <f>IFERROR(INDEX(WM_AC,MATCH($Y8,WM_KEY,0)),"")</f>
        <v>0.15</v>
      </c>
      <c r="AH8" s="126">
        <f>IF(AF8="","",AF8*AG8)</f>
        <v>0.45</v>
      </c>
      <c r="AI8" s="124" t="n">
        <v>2</v>
      </c>
      <c r="AJ8" s="125">
        <f>IFERROR(INDEX(WM_L,MATCH($Y8,WM_KEY,0)),"")</f>
        <v>0.05</v>
      </c>
      <c r="AK8" s="126">
        <f>IF(AI8="","",AI8*AJ8)</f>
        <v>0.1</v>
      </c>
      <c r="AL8" s="124" t="n">
        <v>9.5</v>
      </c>
      <c r="AM8" s="125">
        <f>IFERROR(INDEX(WM_E,MATCH($Y8,WM_KEY,0)),"")</f>
        <v>0.1</v>
      </c>
      <c r="AN8" s="126">
        <f>IF(AL8="","",AL8*AM8)</f>
        <v>0.95</v>
      </c>
      <c r="AO8" s="127" t="n">
        <v>3.5</v>
      </c>
      <c r="AP8" s="125">
        <f>IFERROR(INDEX(WM_BI,MATCH($Y8,WM_KEY,0)),"")</f>
        <v>0.07</v>
      </c>
      <c r="AQ8" s="126">
        <f>IF(AO8="","",AO8*AP8)</f>
        <v>0.245</v>
      </c>
      <c r="AR8" s="126">
        <f>IF(COUNT(AB8,AE8,AH8,AK8,AN8,AQ8)&lt;6,"",SUM(AB8,AE8,AH8,AK8,AN8,AQ8))</f>
        <v>3.55</v>
      </c>
      <c r="AS8" s="128" t="str">
        <f>IF(AR8="","",INDEX({"A1","A2","A3","B1","B2","B3","C1","C2","D1","D2","E1","E2"},MAX(1,MIN(12,ROUND(AR8,0)))))</f>
        <v>B1</v>
      </c>
      <c r="AT8" s="129"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8" s="130" t="inlineStr">
        <is>
          <r>
            <rPr>
              <rFont val="Calibri"/>
              <b val="1"/>
              <sz val="10"/>
            </rPr>
            <t>At build:</t>
          </r>
          <r>
            <rPr>
              <rFont val="Calibri"/>
              <sz val="10"/>
            </rPr>
            <t xml:space="preserve"> Complexity 1.38 + Autonomy 0.43 + Accountability 0.45 + Leadership 0.10 + Experience 0.95 + Business impact 0.25
= 3.55 points → nearest level 4 = B1
</t>
          </r>
          <r>
            <rPr>
              <rFont val="Calibri"/>
              <b val="1"/>
              <sz val="10"/>
            </rPr>
            <t>Final level:</t>
          </r>
          <r>
            <rPr>
              <rFont val="Calibri"/>
              <sz val="10"/>
            </rPr>
            <t xml:space="preserve"> B1 · same as the score</t>
          </r>
        </is>
      </c>
      <c r="AV8" s="130" t="inlineStr">
        <is>
          <r>
            <rPr>
              <rFont val="Calibri"/>
              <b val="1"/>
              <sz val="10"/>
            </rPr>
            <t>No rule applied:</t>
          </r>
          <r>
            <rPr>
              <rFont val="Calibri"/>
              <sz val="10"/>
            </rPr>
            <t xml:space="preserve"> the score decides.</t>
          </r>
        </is>
      </c>
      <c r="AW8"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QCs HTML files, fixes syntax errors in Dreamweaver, resolves team and client RBI queries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A3 = Varied and non-standard work; handles exceptions</t>
          </r>
        </is>
      </c>
      <c r="AX8"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Independently corrects document syntax; nothing broader stated → moved down 0.5
</t>
          </r>
          <r>
            <rPr>
              <rFont val="Calibri"/>
              <b val="1"/>
              <sz val="10"/>
            </rPr>
            <t>Market:</t>
          </r>
          <r>
            <rPr>
              <rFont val="Calibri"/>
              <sz val="10"/>
            </rPr>
            <t xml:space="preserve"> A2 = Chooses own approach within standards · A3 = Technical / QC / client calls on own work</t>
          </r>
        </is>
      </c>
      <c r="AY8"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Accuracy and timeliness of updates published on RBI's live site before effective dates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A3 = A module / process, or work with client or regulatory consequences</t>
          </r>
        </is>
      </c>
      <c r="AZ8" s="132" t="inlineStr">
        <is>
          <r>
            <rPr>
              <rFont val="Calibri"/>
              <sz val="10"/>
            </rPr>
            <t xml:space="preserve">Rated 2 of 12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Resolves queries from team members; no formal guidance role described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8" s="132" t="inlineStr">
        <is>
          <r>
            <rPr>
              <rFont val="Calibri"/>
              <sz val="10"/>
            </rPr>
            <t xml:space="preserve">Rated 9.5 of 12 · between D1 and D2
</t>
          </r>
          <r>
            <rPr>
              <rFont val="Calibri"/>
              <b val="1"/>
              <sz val="10"/>
            </rPr>
            <t>Experience:</t>
          </r>
          <r>
            <rPr>
              <rFont val="Calibri"/>
              <sz val="10"/>
            </rPr>
            <t xml:space="preserve"> 18.9 yrs total · 0.2 before IRIS + 18.7 at IRIS = 9.4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B1 roles typically have 4–8 yrs · IRIS guide 4–7</t>
          </r>
        </is>
      </c>
      <c r="BB8"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8" s="138" t="inlineStr"/>
      <c r="BD8" s="134" t="inlineStr">
        <is>
          <t>✓ HRIS: 18.9 yrs, BA, 0 direct reports
✓ Survey: 20 of 20 questions answered
✓ KRAs: submitted, reported deliverables
✓ Manager mapping: rating, potential, 9-box
✗ Job description: not on file</t>
        </is>
      </c>
      <c r="BE8" s="134"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BF8" s="134" t="inlineStr">
        <is>
          <t>High</t>
        </is>
      </c>
      <c r="BG8" s="134" t="inlineStr"/>
      <c r="BH8" s="134" t="inlineStr"/>
      <c r="BI8" s="135" t="n"/>
      <c r="BJ8" s="136" t="n"/>
      <c r="BK8" s="136" t="n"/>
      <c r="BL8" s="136" t="n"/>
      <c r="BM8" s="136" t="n"/>
      <c r="BN8" s="137" t="n"/>
      <c r="BO8" s="120" t="n"/>
      <c r="BP8" s="120" t="n"/>
      <c r="BQ8" s="120" t="n"/>
      <c r="BR8" s="120" t="n"/>
      <c r="BS8" s="120" t="n"/>
      <c r="BT8" s="120" t="n"/>
      <c r="BU8" s="120" t="n"/>
      <c r="BV8" s="120" t="n">
        <v>3.5</v>
      </c>
    </row>
    <row r="9" ht="340" customHeight="1">
      <c r="A9" s="109" t="inlineStr">
        <is>
          <t>IRIS0110</t>
        </is>
      </c>
      <c r="B9" s="110" t="inlineStr">
        <is>
          <t>Aniket Manval</t>
        </is>
      </c>
      <c r="C9" s="111" t="inlineStr">
        <is>
          <t>Digitizing</t>
        </is>
      </c>
      <c r="D9" s="111" t="inlineStr">
        <is>
          <t>Shraddha Patil</t>
        </is>
      </c>
      <c r="E9" s="112" t="n">
        <v>19.4</v>
      </c>
      <c r="F9" s="112" t="n">
        <v>19.1</v>
      </c>
      <c r="G9" s="111" t="inlineStr">
        <is>
          <t>Undergraduate</t>
        </is>
      </c>
      <c r="H9" s="113" t="inlineStr">
        <is>
          <t>Image Processing Specialist</t>
        </is>
      </c>
      <c r="I9" s="114" t="inlineStr">
        <is>
          <t>Senior Digitization Associate</t>
        </is>
      </c>
      <c r="J9" s="115" t="inlineStr">
        <is>
          <t>Data Operations &amp; Digitization</t>
        </is>
      </c>
      <c r="K9" s="115" t="inlineStr">
        <is>
          <t>Document Conversion, Formatting &amp; Web Publishing</t>
        </is>
      </c>
      <c r="L9" s="114" t="inlineStr">
        <is>
          <t>L3 – Professional / Associate</t>
        </is>
      </c>
      <c r="M9" s="116" t="inlineStr">
        <is>
          <t>A3</t>
        </is>
      </c>
      <c r="N9" s="139" t="inlineStr">
        <is>
          <t>Senior Associate</t>
        </is>
      </c>
      <c r="O9" s="26" t="inlineStr">
        <is>
          <t>A</t>
        </is>
      </c>
      <c r="P9" s="115" t="inlineStr">
        <is>
          <t>IC</t>
        </is>
      </c>
      <c r="Q9" s="117" t="inlineStr">
        <is>
          <t>▲ Up</t>
        </is>
      </c>
      <c r="R9" s="118"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4 · Potential: High · 9-Box Grid placement: Core Contributor.</t>
          </r>
        </is>
      </c>
      <c r="T9" s="120" t="n"/>
      <c r="U9" s="121" t="inlineStr">
        <is>
          <r>
            <rPr>
              <rFont val="Calibri"/>
              <sz val="10"/>
            </rPr>
            <t xml:space="preserve">Senior Digitization Associate in Digitizing · Consume,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9" s="122"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9"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9"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9" s="123" t="inlineStr">
        <is>
          <t>Consume · Digitizing · Band A · Early career</t>
        </is>
      </c>
      <c r="Z9" s="124" t="n">
        <v>2.5</v>
      </c>
      <c r="AA9" s="125">
        <f>IFERROR(INDEX(WM_C,MATCH($Y9,WM_KEY,0)),"")</f>
        <v>0.54</v>
      </c>
      <c r="AB9" s="126">
        <f>IF(Z9="","",Z9*AA9)</f>
        <v>1.35</v>
      </c>
      <c r="AC9" s="124" t="n">
        <v>2.5</v>
      </c>
      <c r="AD9" s="125">
        <f>IFERROR(INDEX(WM_AU,MATCH($Y9,WM_KEY,0)),"")</f>
        <v>0.16</v>
      </c>
      <c r="AE9" s="126">
        <f>IF(AC9="","",AC9*AD9)</f>
        <v>0.4</v>
      </c>
      <c r="AF9" s="124" t="n">
        <v>2.5</v>
      </c>
      <c r="AG9" s="125">
        <f>IFERROR(INDEX(WM_AC,MATCH($Y9,WM_KEY,0)),"")</f>
        <v>0.14</v>
      </c>
      <c r="AH9" s="126">
        <f>IF(AF9="","",AF9*AG9)</f>
        <v>0.35</v>
      </c>
      <c r="AI9" s="124" t="n">
        <v>1.5</v>
      </c>
      <c r="AJ9" s="125">
        <f>IFERROR(INDEX(WM_L,MATCH($Y9,WM_KEY,0)),"")</f>
        <v>0</v>
      </c>
      <c r="AK9" s="126">
        <f>IF(AI9="","",AI9*AJ9)</f>
        <v>0</v>
      </c>
      <c r="AL9" s="124" t="n">
        <v>9</v>
      </c>
      <c r="AM9" s="125">
        <f>IFERROR(INDEX(WM_E,MATCH($Y9,WM_KEY,0)),"")</f>
        <v>0.1</v>
      </c>
      <c r="AN9" s="126">
        <f>IF(AL9="","",AL9*AM9)</f>
        <v>0.9</v>
      </c>
      <c r="AO9" s="127" t="n">
        <v>3</v>
      </c>
      <c r="AP9" s="125">
        <f>IFERROR(INDEX(WM_BI,MATCH($Y9,WM_KEY,0)),"")</f>
        <v>0.06</v>
      </c>
      <c r="AQ9" s="126">
        <f>IF(AO9="","",AO9*AP9)</f>
        <v>0.18</v>
      </c>
      <c r="AR9" s="126">
        <f>IF(COUNT(AB9,AE9,AH9,AK9,AN9,AQ9)&lt;6,"",SUM(AB9,AE9,AH9,AK9,AN9,AQ9))</f>
        <v>3.18</v>
      </c>
      <c r="AS9" s="128" t="str">
        <f>IF(AR9="","",INDEX({"A1","A2","A3","B1","B2","B3","C1","C2","D1","D2","E1","E2"},MAX(1,MIN(12,ROUND(AR9,0)))))</f>
        <v>A3</v>
      </c>
      <c r="AT9"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 s="130" t="inlineStr">
        <is>
          <r>
            <rPr>
              <rFont val="Calibri"/>
              <b val="1"/>
              <sz val="10"/>
            </rPr>
            <t>At build:</t>
          </r>
          <r>
            <rPr>
              <rFont val="Calibri"/>
              <sz val="10"/>
            </rPr>
            <t xml:space="preserve"> Complexity 1.35 + Autonomy 0.40 + Accountability 0.35 + Leadership 0.00 + Experience 0.90 + Business impact 0.18
= 3.18 points → nearest level 3 = A3
</t>
          </r>
          <r>
            <rPr>
              <rFont val="Calibri"/>
              <b val="1"/>
              <sz val="10"/>
            </rPr>
            <t>Final level:</t>
          </r>
          <r>
            <rPr>
              <rFont val="Calibri"/>
              <sz val="10"/>
            </rPr>
            <t xml:space="preserve"> A3 · same as the score</t>
          </r>
        </is>
      </c>
      <c r="AV9" s="130" t="inlineStr">
        <is>
          <r>
            <rPr>
              <rFont val="Calibri"/>
              <b val="1"/>
              <sz val="10"/>
            </rPr>
            <t>No rule applied:</t>
          </r>
          <r>
            <rPr>
              <rFont val="Calibri"/>
              <sz val="10"/>
            </rPr>
            <t xml:space="preserve"> the score decides.</t>
          </r>
        </is>
      </c>
      <c r="AW9"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Uploads content to RBI website from client site; routine publishing task → moved down 0.5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Standard work of the discipline · A3 = Varied and non-standard work; handles exceptions</t>
          </r>
        </is>
      </c>
      <c r="AX9"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Independently uploads content that has already been validated and approved → moved down 0.5
</t>
          </r>
          <r>
            <rPr>
              <rFont val="Calibri"/>
              <b val="1"/>
              <sz val="10"/>
            </rPr>
            <t>Market:</t>
          </r>
          <r>
            <rPr>
              <rFont val="Calibri"/>
              <sz val="10"/>
            </rPr>
            <t xml:space="preserve"> A2 = Chooses own approach within standards · A3 = Technical / QC / client calls on own work</t>
          </r>
        </is>
      </c>
      <c r="AY9"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uploads; says errors are 'usually easy to fix' by revising → moved down 0.5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Own deliverables · accuracy, TAT · A3 = A module / process, or work with client or regulatory consequences</t>
          </r>
        </is>
      </c>
      <c r="AZ9"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9" s="132" t="inlineStr">
        <is>
          <r>
            <rPr>
              <rFont val="Calibri"/>
              <sz val="10"/>
            </rPr>
            <t xml:space="preserve">Rated 9 of 12
</t>
          </r>
          <r>
            <rPr>
              <rFont val="Calibri"/>
              <b val="1"/>
              <sz val="10"/>
            </rPr>
            <t>Experience:</t>
          </r>
          <r>
            <rPr>
              <rFont val="Calibri"/>
              <sz val="10"/>
            </rPr>
            <t xml:space="preserve"> 19.4 yrs total · 0.3 before IRIS + 19.1 at IRIS = 9.5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9"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9" s="138" t="inlineStr"/>
      <c r="BD9" s="134" t="inlineStr">
        <is>
          <t>✓ HRIS: 19.4 yrs, Undergraduate, 0 direct reports
✓ Survey: 20 of 20 questions answered
✓ KRAs: submitted, reported deliverables
✓ Manager mapping: rating, potential, 9-box
✗ Job description: not on file</t>
        </is>
      </c>
      <c r="BE9"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9" s="134" t="inlineStr">
        <is>
          <t>Medium</t>
        </is>
      </c>
      <c r="BG9" s="134" t="inlineStr">
        <is>
          <t>• 19.4 yrs of experience in a role that reads as Band A work — a career-path question for the manager: can the role be widened · Specialist, B1 or is it correctly sized?</t>
        </is>
      </c>
      <c r="BH9" s="134" t="inlineStr"/>
      <c r="BI9" s="135" t="n"/>
      <c r="BJ9" s="136" t="n"/>
      <c r="BK9" s="136" t="n"/>
      <c r="BL9" s="136" t="n"/>
      <c r="BM9" s="136" t="n"/>
      <c r="BN9" s="137" t="n"/>
      <c r="BO9" s="120" t="n"/>
      <c r="BP9" s="120" t="n"/>
      <c r="BQ9" s="120" t="n"/>
      <c r="BR9" s="120" t="n"/>
      <c r="BS9" s="120" t="n"/>
      <c r="BT9" s="120" t="n"/>
      <c r="BU9" s="120" t="n"/>
      <c r="BV9" s="120" t="n">
        <v>3</v>
      </c>
    </row>
    <row r="10" ht="340" customHeight="1">
      <c r="A10" s="109" t="inlineStr">
        <is>
          <t>IRIS0170</t>
        </is>
      </c>
      <c r="B10" s="110" t="inlineStr">
        <is>
          <t>Manish Paithankar</t>
        </is>
      </c>
      <c r="C10" s="111" t="inlineStr">
        <is>
          <t>Digitizing</t>
        </is>
      </c>
      <c r="D10" s="111" t="inlineStr">
        <is>
          <t>Shraddha Patil</t>
        </is>
      </c>
      <c r="E10" s="112" t="n">
        <v>18.7</v>
      </c>
      <c r="F10" s="112" t="n">
        <v>18.7</v>
      </c>
      <c r="G10" s="111" t="inlineStr">
        <is>
          <t>B.Com</t>
        </is>
      </c>
      <c r="H10" s="113" t="inlineStr">
        <is>
          <t>Image Processing Specialist</t>
        </is>
      </c>
      <c r="I10" s="114" t="inlineStr">
        <is>
          <t>Senior Digitization Associate</t>
        </is>
      </c>
      <c r="J10" s="115" t="inlineStr">
        <is>
          <t>Data Operations &amp; Digitization</t>
        </is>
      </c>
      <c r="K10" s="115" t="inlineStr">
        <is>
          <t>Document Conversion, Formatting &amp; Web Publishing</t>
        </is>
      </c>
      <c r="L10" s="114" t="inlineStr">
        <is>
          <t>L3 – Professional / Associate</t>
        </is>
      </c>
      <c r="M10" s="116" t="inlineStr">
        <is>
          <t>A3</t>
        </is>
      </c>
      <c r="N10" s="139" t="inlineStr">
        <is>
          <t>Senior Associate</t>
        </is>
      </c>
      <c r="O10" s="26" t="inlineStr">
        <is>
          <t>A</t>
        </is>
      </c>
      <c r="P10" s="115" t="inlineStr">
        <is>
          <t>IC</t>
        </is>
      </c>
      <c r="Q10" s="117" t="inlineStr">
        <is>
          <t>▲ Up</t>
        </is>
      </c>
      <c r="R10" s="118"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10" s="120" t="n"/>
      <c r="U10" s="121" t="inlineStr">
        <is>
          <r>
            <rPr>
              <rFont val="Calibri"/>
              <sz val="10"/>
            </rPr>
            <t xml:space="preserve">Senior Digitization Associate in Digitizing · Consume,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0" s="122"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0"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0"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 s="123" t="inlineStr">
        <is>
          <t>Consume · Digitizing · Band A · Early career</t>
        </is>
      </c>
      <c r="Z10" s="124" t="n">
        <v>3</v>
      </c>
      <c r="AA10" s="125">
        <f>IFERROR(INDEX(WM_C,MATCH($Y10,WM_KEY,0)),"")</f>
        <v>0.54</v>
      </c>
      <c r="AB10" s="126">
        <f>IF(Z10="","",Z10*AA10)</f>
        <v>1.62</v>
      </c>
      <c r="AC10" s="124" t="n">
        <v>3</v>
      </c>
      <c r="AD10" s="125">
        <f>IFERROR(INDEX(WM_AU,MATCH($Y10,WM_KEY,0)),"")</f>
        <v>0.16</v>
      </c>
      <c r="AE10" s="126">
        <f>IF(AC10="","",AC10*AD10)</f>
        <v>0.48</v>
      </c>
      <c r="AF10" s="124" t="n">
        <v>2.5</v>
      </c>
      <c r="AG10" s="125">
        <f>IFERROR(INDEX(WM_AC,MATCH($Y10,WM_KEY,0)),"")</f>
        <v>0.14</v>
      </c>
      <c r="AH10" s="126">
        <f>IF(AF10="","",AF10*AG10)</f>
        <v>0.35</v>
      </c>
      <c r="AI10" s="124" t="n">
        <v>1.5</v>
      </c>
      <c r="AJ10" s="125">
        <f>IFERROR(INDEX(WM_L,MATCH($Y10,WM_KEY,0)),"")</f>
        <v>0</v>
      </c>
      <c r="AK10" s="126">
        <f>IF(AI10="","",AI10*AJ10)</f>
        <v>0</v>
      </c>
      <c r="AL10" s="124" t="n">
        <v>9.5</v>
      </c>
      <c r="AM10" s="125">
        <f>IFERROR(INDEX(WM_E,MATCH($Y10,WM_KEY,0)),"")</f>
        <v>0.1</v>
      </c>
      <c r="AN10" s="126">
        <f>IF(AL10="","",AL10*AM10)</f>
        <v>0.95</v>
      </c>
      <c r="AO10" s="127" t="n">
        <v>3</v>
      </c>
      <c r="AP10" s="125">
        <f>IFERROR(INDEX(WM_BI,MATCH($Y10,WM_KEY,0)),"")</f>
        <v>0.06</v>
      </c>
      <c r="AQ10" s="126">
        <f>IF(AO10="","",AO10*AP10)</f>
        <v>0.18</v>
      </c>
      <c r="AR10" s="126">
        <f>IF(COUNT(AB10,AE10,AH10,AK10,AN10,AQ10)&lt;6,"",SUM(AB10,AE10,AH10,AK10,AN10,AQ10))</f>
        <v>3.58</v>
      </c>
      <c r="AS10" s="128" t="str">
        <f>IF(AR10="","",INDEX({"A1","A2","A3","B1","B2","B3","C1","C2","D1","D2","E1","E2"},MAX(1,MIN(12,ROUND(AR10,0)))))</f>
        <v>B1</v>
      </c>
      <c r="AT10"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 s="130" t="inlineStr">
        <is>
          <r>
            <rPr>
              <rFont val="Calibri"/>
              <b val="1"/>
              <sz val="10"/>
            </rPr>
            <t>At build:</t>
          </r>
          <r>
            <rPr>
              <rFont val="Calibri"/>
              <sz val="10"/>
            </rPr>
            <t xml:space="preserve"> Complexity 1.62 + Autonomy 0.48 + Accountability 0.35 + Leadership 0.00 + Experience 0.95 + Business impact 0.18
= 3.58 points → nearest level 4 = B1
</t>
          </r>
          <r>
            <rPr>
              <rFont val="Calibri"/>
              <b val="1"/>
              <sz val="10"/>
            </rPr>
            <t>Final level:</t>
          </r>
          <r>
            <rPr>
              <rFont val="Calibri"/>
              <sz val="10"/>
            </rPr>
            <t xml:space="preserve"> A3 · a rule applied: see the next column</t>
          </r>
        </is>
      </c>
      <c r="AV10" s="130" t="inlineStr">
        <is>
          <r>
            <rPr>
              <rFont val="Calibri"/>
              <sz val="10"/>
            </rPr>
            <t xml:space="preserve">• </t>
          </r>
          <r>
            <rPr>
              <rFont val="Calibri"/>
              <b val="1"/>
              <sz val="10"/>
            </rPr>
            <t>Lowered from B1 to A3:</t>
          </r>
          <r>
            <rPr>
              <rFont val="Calibri"/>
              <sz val="10"/>
            </rPr>
            <t xml:space="preserve"> the work itself · complexity 3, accountability 2.5, average 2.75 supports at most A3.
</t>
          </r>
          <r>
            <rPr>
              <rFont val="Calibri"/>
              <b val="1"/>
              <sz val="10"/>
            </rPr>
            <t>Final level:</t>
          </r>
          <r>
            <rPr>
              <rFont val="Calibri"/>
              <sz val="10"/>
            </rPr>
            <t xml:space="preserve"> A3.</t>
          </r>
        </is>
      </c>
      <c r="AW10"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A3 = Varied and non-standard work; handles exceptions</t>
          </r>
        </is>
      </c>
      <c r="AX10"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A3 = Technical / QC / client calls on own work</t>
          </r>
        </is>
      </c>
      <c r="AY1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moved −0.5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Own deliverables · accuracy, TAT · A3 = A module / process, or work with client or regulatory consequences</t>
          </r>
        </is>
      </c>
      <c r="AZ10"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8 colleagues in the same role and department · own answers too general to rate → moved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0" s="132" t="inlineStr">
        <is>
          <r>
            <rPr>
              <rFont val="Calibri"/>
              <sz val="10"/>
            </rPr>
            <t xml:space="preserve">Rated 9.5 of 12 · between D1 and D2
</t>
          </r>
          <r>
            <rPr>
              <rFont val="Calibri"/>
              <b val="1"/>
              <sz val="10"/>
            </rPr>
            <t>Experience:</t>
          </r>
          <r>
            <rPr>
              <rFont val="Calibri"/>
              <sz val="10"/>
            </rPr>
            <t xml:space="preserve"> 18.7 yrs total · 18.7 at IRIS; none recorded before IRIS = 9.3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0"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 s="138" t="inlineStr"/>
      <c r="BD10" s="134" t="inlineStr">
        <is>
          <t>✓ HRIS: 18.7 yrs, B.Com, 0 direct reports
✓ Survey: 20 of 20 questions answered
✓ KRAs: submitted, reported deliverables
✓ Manager mapping: rating, potential, 9-box
✗ Job description: not on file</t>
        </is>
      </c>
      <c r="BE10"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0" s="134" t="inlineStr">
        <is>
          <t>Low</t>
        </is>
      </c>
      <c r="BG10" s="134" t="inlineStr">
        <is>
          <r>
            <rPr>
              <rFont val="Calibri"/>
              <sz val="10"/>
            </rPr>
            <t xml:space="preserve">• Survey answers are generic or do not match the role — not used as evidence; manager input needed
• 18.7 yrs of experience in a role that reads as Band A work — a career-path question for the manager: can the role be widened · Specialist, B1 or is it correctly sized?
• </t>
          </r>
          <r>
            <rPr>
              <rFont val="Calibri"/>
              <b val="1"/>
              <sz val="10"/>
            </rPr>
            <t>Near a gate:</t>
          </r>
          <r>
            <rPr>
              <rFont val="Calibri"/>
              <sz val="10"/>
            </rPr>
            <t xml:space="preserve"> role substance: complexity–accountability average 2.75 is 0.25 short of 3, which would lift the limit by one level — calibrate before confirming</t>
          </r>
        </is>
      </c>
      <c r="BH10" s="140" t="inlineStr">
        <is>
          <t>Near a gate: role substance: complexity–accountability average 2.75 is 0.25 short of 3, which would lift the limit by one level</t>
        </is>
      </c>
      <c r="BI10" s="135" t="n"/>
      <c r="BJ10" s="136" t="n"/>
      <c r="BK10" s="136" t="n"/>
      <c r="BL10" s="136" t="n"/>
      <c r="BM10" s="136" t="n"/>
      <c r="BN10" s="137" t="n"/>
      <c r="BO10" s="120" t="n"/>
      <c r="BP10" s="120" t="n"/>
      <c r="BQ10" s="120" t="n"/>
      <c r="BR10" s="120" t="n"/>
      <c r="BS10" s="120" t="n"/>
      <c r="BT10" s="120" t="n"/>
      <c r="BU10" s="120" t="n"/>
      <c r="BV10" s="120" t="n">
        <v>3</v>
      </c>
    </row>
    <row r="11" ht="340" customHeight="1">
      <c r="A11" s="109" t="inlineStr">
        <is>
          <t>IRIS1211</t>
        </is>
      </c>
      <c r="B11" s="110" t="inlineStr">
        <is>
          <t>Manoj Ravidas</t>
        </is>
      </c>
      <c r="C11" s="111" t="inlineStr">
        <is>
          <t>Digitizing</t>
        </is>
      </c>
      <c r="D11" s="111" t="inlineStr">
        <is>
          <t>Shraddha Patil</t>
        </is>
      </c>
      <c r="E11" s="112" t="n">
        <v>16.3</v>
      </c>
      <c r="F11" s="112" t="n">
        <v>16.3</v>
      </c>
      <c r="G11" s="111" t="inlineStr">
        <is>
          <t>B.Com</t>
        </is>
      </c>
      <c r="H11" s="113" t="inlineStr">
        <is>
          <t>Image Processing Specialist</t>
        </is>
      </c>
      <c r="I11" s="114" t="inlineStr">
        <is>
          <t>Senior Digitization Associate</t>
        </is>
      </c>
      <c r="J11" s="115" t="inlineStr">
        <is>
          <t>Data Operations &amp; Digitization</t>
        </is>
      </c>
      <c r="K11" s="115" t="inlineStr">
        <is>
          <t>Document Conversion, Formatting &amp; Web Publishing</t>
        </is>
      </c>
      <c r="L11" s="114" t="inlineStr">
        <is>
          <t>L3 – Professional / Associate</t>
        </is>
      </c>
      <c r="M11" s="116" t="inlineStr">
        <is>
          <t>A3</t>
        </is>
      </c>
      <c r="N11" s="139" t="inlineStr">
        <is>
          <t>Senior Associate</t>
        </is>
      </c>
      <c r="O11" s="26" t="inlineStr">
        <is>
          <t>A</t>
        </is>
      </c>
      <c r="P11" s="115" t="inlineStr">
        <is>
          <t>IC</t>
        </is>
      </c>
      <c r="Q11" s="117" t="inlineStr">
        <is>
          <t>▲ Up</t>
        </is>
      </c>
      <c r="R11" s="118"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4 · Potential: High · 9-Box Grid placement: Core Contributor.</t>
          </r>
        </is>
      </c>
      <c r="T11" s="120" t="n"/>
      <c r="U11" s="121" t="inlineStr">
        <is>
          <r>
            <rPr>
              <rFont val="Calibri"/>
              <sz val="10"/>
            </rPr>
            <t xml:space="preserve">Senior Digitization Associate in Digitizing · Consume,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1" s="122"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1"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1"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 s="123" t="inlineStr">
        <is>
          <t>Consume · Digitizing · Band A · Early career</t>
        </is>
      </c>
      <c r="Z11" s="124" t="n">
        <v>3</v>
      </c>
      <c r="AA11" s="125">
        <f>IFERROR(INDEX(WM_C,MATCH($Y11,WM_KEY,0)),"")</f>
        <v>0.54</v>
      </c>
      <c r="AB11" s="126">
        <f>IF(Z11="","",Z11*AA11)</f>
        <v>1.62</v>
      </c>
      <c r="AC11" s="124" t="n">
        <v>3</v>
      </c>
      <c r="AD11" s="125">
        <f>IFERROR(INDEX(WM_AU,MATCH($Y11,WM_KEY,0)),"")</f>
        <v>0.16</v>
      </c>
      <c r="AE11" s="126">
        <f>IF(AC11="","",AC11*AD11)</f>
        <v>0.48</v>
      </c>
      <c r="AF11" s="124" t="n">
        <v>2.5</v>
      </c>
      <c r="AG11" s="125">
        <f>IFERROR(INDEX(WM_AC,MATCH($Y11,WM_KEY,0)),"")</f>
        <v>0.14</v>
      </c>
      <c r="AH11" s="126">
        <f>IF(AF11="","",AF11*AG11)</f>
        <v>0.35</v>
      </c>
      <c r="AI11" s="124" t="n">
        <v>1.5</v>
      </c>
      <c r="AJ11" s="125">
        <f>IFERROR(INDEX(WM_L,MATCH($Y11,WM_KEY,0)),"")</f>
        <v>0</v>
      </c>
      <c r="AK11" s="126">
        <f>IF(AI11="","",AI11*AJ11)</f>
        <v>0</v>
      </c>
      <c r="AL11" s="124" t="n">
        <v>8.5</v>
      </c>
      <c r="AM11" s="125">
        <f>IFERROR(INDEX(WM_E,MATCH($Y11,WM_KEY,0)),"")</f>
        <v>0.1</v>
      </c>
      <c r="AN11" s="126">
        <f>IF(AL11="","",AL11*AM11)</f>
        <v>0.85</v>
      </c>
      <c r="AO11" s="127" t="n">
        <v>3</v>
      </c>
      <c r="AP11" s="125">
        <f>IFERROR(INDEX(WM_BI,MATCH($Y11,WM_KEY,0)),"")</f>
        <v>0.06</v>
      </c>
      <c r="AQ11" s="126">
        <f>IF(AO11="","",AO11*AP11)</f>
        <v>0.18</v>
      </c>
      <c r="AR11" s="126">
        <f>IF(COUNT(AB11,AE11,AH11,AK11,AN11,AQ11)&lt;6,"",SUM(AB11,AE11,AH11,AK11,AN11,AQ11))</f>
        <v>3.48</v>
      </c>
      <c r="AS11" s="128" t="str">
        <f>IF(AR11="","",INDEX({"A1","A2","A3","B1","B2","B3","C1","C2","D1","D2","E1","E2"},MAX(1,MIN(12,ROUND(AR11,0)))))</f>
        <v>A3</v>
      </c>
      <c r="AT11"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 s="130" t="inlineStr">
        <is>
          <r>
            <rPr>
              <rFont val="Calibri"/>
              <b val="1"/>
              <sz val="10"/>
            </rPr>
            <t>At build:</t>
          </r>
          <r>
            <rPr>
              <rFont val="Calibri"/>
              <sz val="10"/>
            </rPr>
            <t xml:space="preserve"> Complexity 1.62 + Autonomy 0.48 + Accountability 0.35 + Leadership 0.00 + Experience 0.85 + Business impact 0.18
= 3.48 points → nearest level 3 = A3
</t>
          </r>
          <r>
            <rPr>
              <rFont val="Calibri"/>
              <b val="1"/>
              <sz val="10"/>
            </rPr>
            <t>Final level:</t>
          </r>
          <r>
            <rPr>
              <rFont val="Calibri"/>
              <sz val="10"/>
            </rPr>
            <t xml:space="preserve"> A3 · same as the score</t>
          </r>
        </is>
      </c>
      <c r="AV11" s="130" t="inlineStr">
        <is>
          <r>
            <rPr>
              <rFont val="Calibri"/>
              <b val="1"/>
              <sz val="10"/>
            </rPr>
            <t>No rule applied:</t>
          </r>
          <r>
            <rPr>
              <rFont val="Calibri"/>
              <sz val="10"/>
            </rPr>
            <t xml:space="preserve"> the score decides.</t>
          </r>
        </is>
      </c>
      <c r="AW11"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A3 = Varied and non-standard work; handles exceptions</t>
          </r>
        </is>
      </c>
      <c r="AX11"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A3 = Technical / QC / client calls on own work</t>
          </r>
        </is>
      </c>
      <c r="AY1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moved −0.5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Own deliverables · accuracy, TAT · A3 = A module / process, or work with client or regulatory consequences</t>
          </r>
        </is>
      </c>
      <c r="AZ11"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8 colleagues in the same role and department · own answers too general to rate → moved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1" s="132" t="inlineStr">
        <is>
          <r>
            <rPr>
              <rFont val="Calibri"/>
              <sz val="10"/>
            </rPr>
            <t xml:space="preserve">Rated 8.5 of 12 · between C2 and D1
</t>
          </r>
          <r>
            <rPr>
              <rFont val="Calibri"/>
              <b val="1"/>
              <sz val="10"/>
            </rPr>
            <t>Experience:</t>
          </r>
          <r>
            <rPr>
              <rFont val="Calibri"/>
              <sz val="10"/>
            </rPr>
            <t xml:space="preserve"> 16.3 yrs total · 16.3 at IRIS; none recorded before IRIS = 8.6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1"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 s="138" t="inlineStr"/>
      <c r="BD11" s="134" t="inlineStr">
        <is>
          <t>✓ HRIS: 16.3 yrs, B.Com, 0 direct reports
✓ Survey: 20 of 20 questions answered
✓ KRAs: submitted, reported deliverables
✓ Manager mapping: rating, potential, 9-box
✗ Job description: not on file</t>
        </is>
      </c>
      <c r="BE11"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1" s="134" t="inlineStr">
        <is>
          <t>Low</t>
        </is>
      </c>
      <c r="BG11" s="134" t="inlineStr">
        <is>
          <r>
            <rPr>
              <rFont val="Calibri"/>
              <sz val="10"/>
            </rPr>
            <t xml:space="preserve">• Survey answers are generic or do not match the role — not used as evidence; manager input needed
• 16.3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3.48 is within 0.05 of a rounding point and the score decided the level — calibrate against peers before confirming</t>
          </r>
        </is>
      </c>
      <c r="BH11" s="140" t="inlineStr">
        <is>
          <t>Close call</t>
        </is>
      </c>
      <c r="BI11" s="135" t="n"/>
      <c r="BJ11" s="136" t="n"/>
      <c r="BK11" s="136" t="n"/>
      <c r="BL11" s="136" t="n"/>
      <c r="BM11" s="136" t="n"/>
      <c r="BN11" s="137" t="n"/>
      <c r="BO11" s="120" t="n"/>
      <c r="BP11" s="120" t="n"/>
      <c r="BQ11" s="120" t="n"/>
      <c r="BR11" s="120" t="n"/>
      <c r="BS11" s="120" t="n"/>
      <c r="BT11" s="120" t="n"/>
      <c r="BU11" s="120" t="n"/>
      <c r="BV11" s="120" t="n">
        <v>3</v>
      </c>
    </row>
    <row r="12" ht="340" customHeight="1">
      <c r="A12" s="109" t="inlineStr">
        <is>
          <t>IRIS1213</t>
        </is>
      </c>
      <c r="B12" s="110" t="inlineStr">
        <is>
          <t>Manoj Tiwari</t>
        </is>
      </c>
      <c r="C12" s="111" t="inlineStr">
        <is>
          <t>Digitizing</t>
        </is>
      </c>
      <c r="D12" s="111" t="inlineStr">
        <is>
          <t>Shraddha Patil</t>
        </is>
      </c>
      <c r="E12" s="112" t="n">
        <v>16.7</v>
      </c>
      <c r="F12" s="112" t="n">
        <v>15.7</v>
      </c>
      <c r="G12" s="111" t="inlineStr">
        <is>
          <t>B.Com</t>
        </is>
      </c>
      <c r="H12" s="113" t="inlineStr">
        <is>
          <t>Image Processing Specialist</t>
        </is>
      </c>
      <c r="I12" s="114" t="inlineStr">
        <is>
          <t>Senior Digitization Associate</t>
        </is>
      </c>
      <c r="J12" s="115" t="inlineStr">
        <is>
          <t>Data Operations &amp; Digitization</t>
        </is>
      </c>
      <c r="K12" s="115" t="inlineStr">
        <is>
          <t>Document Conversion, Formatting &amp; Web Publishing</t>
        </is>
      </c>
      <c r="L12" s="114" t="inlineStr">
        <is>
          <t>L3 – Professional / Associate</t>
        </is>
      </c>
      <c r="M12" s="116" t="inlineStr">
        <is>
          <t>A3</t>
        </is>
      </c>
      <c r="N12" s="139" t="inlineStr">
        <is>
          <t>Senior Associate</t>
        </is>
      </c>
      <c r="O12" s="26" t="inlineStr">
        <is>
          <t>A</t>
        </is>
      </c>
      <c r="P12" s="115" t="inlineStr">
        <is>
          <t>IC</t>
        </is>
      </c>
      <c r="Q12" s="117" t="inlineStr">
        <is>
          <t>▲ Up</t>
        </is>
      </c>
      <c r="R12" s="118"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4 · Potential: Medium · 9-Box Grid placement: Core Contributor.</t>
          </r>
        </is>
      </c>
      <c r="T12" s="120" t="n"/>
      <c r="U12" s="121" t="inlineStr">
        <is>
          <r>
            <rPr>
              <rFont val="Calibri"/>
              <sz val="10"/>
            </rPr>
            <t xml:space="preserve">Senior Digitization Associate in Digitizing · Consume,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2" s="122"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2"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2"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 s="123" t="inlineStr">
        <is>
          <t>Consume · Digitizing · Band A · Early career</t>
        </is>
      </c>
      <c r="Z12" s="124" t="n">
        <v>2.5</v>
      </c>
      <c r="AA12" s="125">
        <f>IFERROR(INDEX(WM_C,MATCH($Y12,WM_KEY,0)),"")</f>
        <v>0.54</v>
      </c>
      <c r="AB12" s="126">
        <f>IF(Z12="","",Z12*AA12)</f>
        <v>1.35</v>
      </c>
      <c r="AC12" s="124" t="n">
        <v>2.5</v>
      </c>
      <c r="AD12" s="125">
        <f>IFERROR(INDEX(WM_AU,MATCH($Y12,WM_KEY,0)),"")</f>
        <v>0.16</v>
      </c>
      <c r="AE12" s="126">
        <f>IF(AC12="","",AC12*AD12)</f>
        <v>0.4</v>
      </c>
      <c r="AF12" s="124" t="n">
        <v>3</v>
      </c>
      <c r="AG12" s="125">
        <f>IFERROR(INDEX(WM_AC,MATCH($Y12,WM_KEY,0)),"")</f>
        <v>0.14</v>
      </c>
      <c r="AH12" s="126">
        <f>IF(AF12="","",AF12*AG12)</f>
        <v>0.42</v>
      </c>
      <c r="AI12" s="124" t="n">
        <v>1.5</v>
      </c>
      <c r="AJ12" s="125">
        <f>IFERROR(INDEX(WM_L,MATCH($Y12,WM_KEY,0)),"")</f>
        <v>0</v>
      </c>
      <c r="AK12" s="126">
        <f>IF(AI12="","",AI12*AJ12)</f>
        <v>0</v>
      </c>
      <c r="AL12" s="124" t="n">
        <v>8.5</v>
      </c>
      <c r="AM12" s="125">
        <f>IFERROR(INDEX(WM_E,MATCH($Y12,WM_KEY,0)),"")</f>
        <v>0.1</v>
      </c>
      <c r="AN12" s="126">
        <f>IF(AL12="","",AL12*AM12)</f>
        <v>0.85</v>
      </c>
      <c r="AO12" s="127" t="n">
        <v>3.5</v>
      </c>
      <c r="AP12" s="125">
        <f>IFERROR(INDEX(WM_BI,MATCH($Y12,WM_KEY,0)),"")</f>
        <v>0.06</v>
      </c>
      <c r="AQ12" s="126">
        <f>IF(AO12="","",AO12*AP12)</f>
        <v>0.21</v>
      </c>
      <c r="AR12" s="126">
        <f>IF(COUNT(AB12,AE12,AH12,AK12,AN12,AQ12)&lt;6,"",SUM(AB12,AE12,AH12,AK12,AN12,AQ12))</f>
        <v>3.23</v>
      </c>
      <c r="AS12" s="128" t="str">
        <f>IF(AR12="","",INDEX({"A1","A2","A3","B1","B2","B3","C1","C2","D1","D2","E1","E2"},MAX(1,MIN(12,ROUND(AR12,0)))))</f>
        <v>A3</v>
      </c>
      <c r="AT12"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 s="130" t="inlineStr">
        <is>
          <r>
            <rPr>
              <rFont val="Calibri"/>
              <b val="1"/>
              <sz val="10"/>
            </rPr>
            <t>At build:</t>
          </r>
          <r>
            <rPr>
              <rFont val="Calibri"/>
              <sz val="10"/>
            </rPr>
            <t xml:space="preserve"> Complexity 1.35 + Autonomy 0.40 + Accountability 0.42 + Leadership 0.00 + Experience 0.85 + Business impact 0.21
= 3.23 points → nearest level 3 = A3
</t>
          </r>
          <r>
            <rPr>
              <rFont val="Calibri"/>
              <b val="1"/>
              <sz val="10"/>
            </rPr>
            <t>Final level:</t>
          </r>
          <r>
            <rPr>
              <rFont val="Calibri"/>
              <sz val="10"/>
            </rPr>
            <t xml:space="preserve"> A3 · same as the score</t>
          </r>
        </is>
      </c>
      <c r="AV12" s="130" t="inlineStr">
        <is>
          <r>
            <rPr>
              <rFont val="Calibri"/>
              <b val="1"/>
              <sz val="10"/>
            </rPr>
            <t>No rule applied:</t>
          </r>
          <r>
            <rPr>
              <rFont val="Calibri"/>
              <sz val="10"/>
            </rPr>
            <t xml:space="preserve"> the score decides.</t>
          </r>
        </is>
      </c>
      <c r="AW12"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Data QC, HTML validation, upload and post-upload verification to a defined process → moved down 0.5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Standard work of the discipline · A3 = Varied and non-standard work; handles exceptions</t>
          </r>
        </is>
      </c>
      <c r="AX1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Verifies and validates content, then uploads approved data; no wider decisions → moved down 0.5
</t>
          </r>
          <r>
            <rPr>
              <rFont val="Calibri"/>
              <b val="1"/>
              <sz val="10"/>
            </rPr>
            <t>Market:</t>
          </r>
          <r>
            <rPr>
              <rFont val="Calibri"/>
              <sz val="10"/>
            </rPr>
            <t xml:space="preserve"> A2 = Chooses own approach within standards · A3 = Technical / QC / client calls on own work</t>
          </r>
        </is>
      </c>
      <c r="AY1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uploads go live on RBI's public website; owns and corrects resulting errors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A3 = A module / process, or work with client or regulatory consequences</t>
          </r>
        </is>
      </c>
      <c r="AZ12"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 s="132" t="inlineStr">
        <is>
          <r>
            <rPr>
              <rFont val="Calibri"/>
              <sz val="10"/>
            </rPr>
            <t xml:space="preserve">Rated 8.5 of 12 · between C2 and D1
</t>
          </r>
          <r>
            <rPr>
              <rFont val="Calibri"/>
              <b val="1"/>
              <sz val="10"/>
            </rPr>
            <t>Experience:</t>
          </r>
          <r>
            <rPr>
              <rFont val="Calibri"/>
              <sz val="10"/>
            </rPr>
            <t xml:space="preserve"> 16.7 yrs total · 1.0 before IRIS + 15.7 at IRIS = 8.7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2" s="138" t="inlineStr"/>
      <c r="BD12" s="134" t="inlineStr">
        <is>
          <t>✓ HRIS: 16.7 yrs, B.Com, 0 direct reports
✓ Survey: 20 of 20 questions answered
✓ KRAs: submitted, reported deliverables
✓ Manager mapping: rating, potential, 9-box
✗ Job description: not on file</t>
        </is>
      </c>
      <c r="BE12"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2" s="134" t="inlineStr">
        <is>
          <t>Medium</t>
        </is>
      </c>
      <c r="BG12" s="134" t="inlineStr">
        <is>
          <t>• 16.7 yrs of experience in a role that reads as Band A work — a career-path question for the manager: can the role be widened · Specialist, B1 or is it correctly sized?</t>
        </is>
      </c>
      <c r="BH12" s="134" t="inlineStr"/>
      <c r="BI12" s="135" t="n"/>
      <c r="BJ12" s="136" t="n"/>
      <c r="BK12" s="136" t="n"/>
      <c r="BL12" s="136" t="n"/>
      <c r="BM12" s="136" t="n"/>
      <c r="BN12" s="137" t="n"/>
      <c r="BO12" s="120" t="n"/>
      <c r="BP12" s="120" t="n"/>
      <c r="BQ12" s="120" t="n"/>
      <c r="BR12" s="120" t="n"/>
      <c r="BS12" s="120" t="n"/>
      <c r="BT12" s="120" t="n"/>
      <c r="BU12" s="120" t="n"/>
      <c r="BV12" s="120" t="n">
        <v>3.5</v>
      </c>
    </row>
    <row r="13" ht="340" customHeight="1">
      <c r="A13" s="109" t="inlineStr">
        <is>
          <t>IRISC283</t>
        </is>
      </c>
      <c r="B13" s="110" t="inlineStr">
        <is>
          <t>Saurav Kamtekar</t>
        </is>
      </c>
      <c r="C13" s="111" t="inlineStr">
        <is>
          <t>Digitizing</t>
        </is>
      </c>
      <c r="D13" s="111" t="inlineStr">
        <is>
          <t>Shraddha Patil</t>
        </is>
      </c>
      <c r="E13" s="112" t="n">
        <v>2.6</v>
      </c>
      <c r="F13" s="112" t="n">
        <v>2.6</v>
      </c>
      <c r="G13" s="111" t="inlineStr">
        <is>
          <t>Undergraduate</t>
        </is>
      </c>
      <c r="H13" s="113" t="inlineStr">
        <is>
          <t>Consultant</t>
        </is>
      </c>
      <c r="I13" s="114" t="inlineStr">
        <is>
          <t>Senior Digitization Associate</t>
        </is>
      </c>
      <c r="J13" s="115" t="inlineStr">
        <is>
          <t>Data Operations &amp; Digitization</t>
        </is>
      </c>
      <c r="K13" s="115" t="inlineStr">
        <is>
          <t>Document Conversion, Formatting &amp; Web Publishing</t>
        </is>
      </c>
      <c r="L13" s="114" t="inlineStr">
        <is>
          <t>L3 – Professional / Associate</t>
        </is>
      </c>
      <c r="M13" s="116" t="inlineStr">
        <is>
          <t>A3</t>
        </is>
      </c>
      <c r="N13" s="139" t="inlineStr">
        <is>
          <t>Senior Associate</t>
        </is>
      </c>
      <c r="O13" s="26" t="inlineStr">
        <is>
          <t>A</t>
        </is>
      </c>
      <c r="P13" s="115" t="inlineStr">
        <is>
          <t>IC</t>
        </is>
      </c>
      <c r="Q13" s="117" t="inlineStr">
        <is>
          <t>▲ Up</t>
        </is>
      </c>
      <c r="R13" s="118"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13" s="120" t="n"/>
      <c r="U13" s="121" t="inlineStr">
        <is>
          <r>
            <rPr>
              <rFont val="Calibri"/>
              <sz val="10"/>
            </rPr>
            <t xml:space="preserve">Senior Digitization Associate in Digitizing · Consume,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3" s="122"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3"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3"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 s="123" t="inlineStr">
        <is>
          <t>Consume · Digitizing · Band A · Early career</t>
        </is>
      </c>
      <c r="Z13" s="124" t="n">
        <v>2</v>
      </c>
      <c r="AA13" s="125">
        <f>IFERROR(INDEX(WM_C,MATCH($Y13,WM_KEY,0)),"")</f>
        <v>0.54</v>
      </c>
      <c r="AB13" s="126">
        <f>IF(Z13="","",Z13*AA13)</f>
        <v>1.08</v>
      </c>
      <c r="AC13" s="124" t="n">
        <v>2</v>
      </c>
      <c r="AD13" s="125">
        <f>IFERROR(INDEX(WM_AU,MATCH($Y13,WM_KEY,0)),"")</f>
        <v>0.16</v>
      </c>
      <c r="AE13" s="126">
        <f>IF(AC13="","",AC13*AD13)</f>
        <v>0.32</v>
      </c>
      <c r="AF13" s="124" t="n">
        <v>2</v>
      </c>
      <c r="AG13" s="125">
        <f>IFERROR(INDEX(WM_AC,MATCH($Y13,WM_KEY,0)),"")</f>
        <v>0.14</v>
      </c>
      <c r="AH13" s="126">
        <f>IF(AF13="","",AF13*AG13)</f>
        <v>0.28</v>
      </c>
      <c r="AI13" s="124" t="n">
        <v>1</v>
      </c>
      <c r="AJ13" s="125">
        <f>IFERROR(INDEX(WM_L,MATCH($Y13,WM_KEY,0)),"")</f>
        <v>0</v>
      </c>
      <c r="AK13" s="126">
        <f>IF(AI13="","",AI13*AJ13)</f>
        <v>0</v>
      </c>
      <c r="AL13" s="124" t="n">
        <v>2.5</v>
      </c>
      <c r="AM13" s="125">
        <f>IFERROR(INDEX(WM_E,MATCH($Y13,WM_KEY,0)),"")</f>
        <v>0.1</v>
      </c>
      <c r="AN13" s="126">
        <f>IF(AL13="","",AL13*AM13)</f>
        <v>0.25</v>
      </c>
      <c r="AO13" s="127" t="n">
        <v>2.5</v>
      </c>
      <c r="AP13" s="125">
        <f>IFERROR(INDEX(WM_BI,MATCH($Y13,WM_KEY,0)),"")</f>
        <v>0.06</v>
      </c>
      <c r="AQ13" s="126">
        <f>IF(AO13="","",AO13*AP13)</f>
        <v>0.15</v>
      </c>
      <c r="AR13" s="126">
        <f>IF(COUNT(AB13,AE13,AH13,AK13,AN13,AQ13)&lt;6,"",SUM(AB13,AE13,AH13,AK13,AN13,AQ13))</f>
        <v>2.08</v>
      </c>
      <c r="AS13" s="128" t="str">
        <f>IF(AR13="","",INDEX({"A1","A2","A3","B1","B2","B3","C1","C2","D1","D2","E1","E2"},MAX(1,MIN(12,ROUND(AR13,0)))))</f>
        <v>A2</v>
      </c>
      <c r="AT13"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 s="130" t="inlineStr">
        <is>
          <r>
            <rPr>
              <rFont val="Calibri"/>
              <b val="1"/>
              <sz val="10"/>
            </rPr>
            <t>At build:</t>
          </r>
          <r>
            <rPr>
              <rFont val="Calibri"/>
              <sz val="10"/>
            </rPr>
            <t xml:space="preserve"> Complexity 1.08 + Autonomy 0.32 + Accountability 0.28 + Leadership 0.00 + Experience 0.25 + Business impact 0.15
= 2.08 points → nearest level 2 = A2
</t>
          </r>
          <r>
            <rPr>
              <rFont val="Calibri"/>
              <b val="1"/>
              <sz val="10"/>
            </rPr>
            <t>Final level:</t>
          </r>
          <r>
            <rPr>
              <rFont val="Calibri"/>
              <sz val="10"/>
            </rPr>
            <t xml:space="preserve"> A3 · a rule applied: see the next column</t>
          </r>
        </is>
      </c>
      <c r="AV13" s="130" t="inlineStr">
        <is>
          <r>
            <rPr>
              <rFont val="Calibri"/>
              <sz val="10"/>
            </rPr>
            <t xml:space="preserve">• </t>
          </r>
          <r>
            <rPr>
              <rFont val="Calibri"/>
              <b val="1"/>
              <sz val="10"/>
            </rPr>
            <t>Raised to A3:</t>
          </r>
          <r>
            <rPr>
              <rFont val="Calibri"/>
              <sz val="10"/>
            </rPr>
            <t xml:space="preserve"> 2.6 years' experience is 2 years or more.
</t>
          </r>
          <r>
            <rPr>
              <rFont val="Calibri"/>
              <b val="1"/>
              <sz val="10"/>
            </rPr>
            <t>Final level:</t>
          </r>
          <r>
            <rPr>
              <rFont val="Calibri"/>
              <sz val="10"/>
            </rPr>
            <t xml:space="preserve"> A3.</t>
          </r>
        </is>
      </c>
      <c r="AW1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Validates RBI website content against sources and flags errors; converts press releases, tenders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Standard work of the discipline</t>
          </r>
        </is>
      </c>
      <c r="AX1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Validates and flags errors; no authority beyond flagging → matches the start
</t>
          </r>
          <r>
            <rPr>
              <rFont val="Calibri"/>
              <b val="1"/>
              <sz val="10"/>
            </rPr>
            <t>Market:</t>
          </r>
          <r>
            <rPr>
              <rFont val="Calibri"/>
              <sz val="10"/>
            </rPr>
            <t xml:space="preserve"> A2 = Chooses own approach within standards</t>
          </r>
        </is>
      </c>
      <c r="AY1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of own validation; errors affect RBI website credibility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Own deliverables · accuracy, TAT</t>
          </r>
        </is>
      </c>
      <c r="AZ1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 s="132" t="inlineStr">
        <is>
          <r>
            <rPr>
              <rFont val="Calibri"/>
              <sz val="10"/>
            </rPr>
            <t xml:space="preserve">Rated 2.5 of 12 · between A2 and A3
</t>
          </r>
          <r>
            <rPr>
              <rFont val="Calibri"/>
              <b val="1"/>
              <sz val="10"/>
            </rPr>
            <t>Experience:</t>
          </r>
          <r>
            <rPr>
              <rFont val="Calibri"/>
              <sz val="10"/>
            </rPr>
            <t xml:space="preserve"> 2.6 yrs total · 2.6 at IRIS; none recorded before IRIS = 2.8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13"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 s="138" t="inlineStr"/>
      <c r="BD13" s="134" t="inlineStr">
        <is>
          <t>✓ HRIS: 2.6 yrs, Undergraduate, 0 direct reports
✓ Survey: 20 of 20 questions answered
✓ KRAs: submitted, reported deliverables
✓ Manager mapping: rating, potential, 9-box
✗ Job description: not on file</t>
        </is>
      </c>
      <c r="BE13"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3" s="134" t="inlineStr">
        <is>
          <t>Medium</t>
        </is>
      </c>
      <c r="BG13" s="134" t="inlineStr"/>
      <c r="BH13" s="134" t="inlineStr"/>
      <c r="BI13" s="135" t="n"/>
      <c r="BJ13" s="136" t="n"/>
      <c r="BK13" s="136" t="n"/>
      <c r="BL13" s="136" t="n"/>
      <c r="BM13" s="136" t="n"/>
      <c r="BN13" s="137" t="n"/>
      <c r="BO13" s="120" t="n"/>
      <c r="BP13" s="120" t="n"/>
      <c r="BQ13" s="120" t="n"/>
      <c r="BR13" s="120" t="n"/>
      <c r="BS13" s="120" t="n"/>
      <c r="BT13" s="120" t="n"/>
      <c r="BU13" s="120" t="n"/>
      <c r="BV13" s="120" t="n">
        <v>2.5</v>
      </c>
    </row>
    <row r="14" ht="340" customHeight="1">
      <c r="A14" s="109" t="inlineStr">
        <is>
          <t>IRISC338</t>
        </is>
      </c>
      <c r="B14" s="110" t="inlineStr">
        <is>
          <t>Snehal Bhavesh Farad</t>
        </is>
      </c>
      <c r="C14" s="111" t="inlineStr">
        <is>
          <t>Digitizing</t>
        </is>
      </c>
      <c r="D14" s="111" t="inlineStr">
        <is>
          <t>Shraddha Patil</t>
        </is>
      </c>
      <c r="E14" s="112" t="n">
        <v>5.1</v>
      </c>
      <c r="F14" s="112" t="n">
        <v>0.7</v>
      </c>
      <c r="G14" s="111" t="inlineStr">
        <is>
          <t>BA</t>
        </is>
      </c>
      <c r="H14" s="113" t="inlineStr">
        <is>
          <t>Consultant</t>
        </is>
      </c>
      <c r="I14" s="114" t="inlineStr">
        <is>
          <t>Senior Digitization Associate</t>
        </is>
      </c>
      <c r="J14" s="115" t="inlineStr">
        <is>
          <t>Data Operations &amp; Digitization</t>
        </is>
      </c>
      <c r="K14" s="115" t="inlineStr">
        <is>
          <t>Document Conversion, Formatting &amp; Web Publishing</t>
        </is>
      </c>
      <c r="L14" s="114" t="inlineStr">
        <is>
          <t>L3 – Professional / Associate</t>
        </is>
      </c>
      <c r="M14" s="116" t="inlineStr">
        <is>
          <t>A3</t>
        </is>
      </c>
      <c r="N14" s="139" t="inlineStr">
        <is>
          <t>Senior Associate</t>
        </is>
      </c>
      <c r="O14" s="26" t="inlineStr">
        <is>
          <t>A</t>
        </is>
      </c>
      <c r="P14" s="115" t="inlineStr">
        <is>
          <t>IC</t>
        </is>
      </c>
      <c r="Q14" s="117" t="inlineStr">
        <is>
          <t>▲ Up</t>
        </is>
      </c>
      <c r="R14" s="118"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14" s="120" t="n"/>
      <c r="U14" s="121" t="inlineStr">
        <is>
          <r>
            <rPr>
              <rFont val="Calibri"/>
              <sz val="10"/>
            </rPr>
            <t xml:space="preserve">Senior Digitization Associate in Digitizing · Consume,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4" s="122"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4" s="122"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4" s="122"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 s="123" t="inlineStr">
        <is>
          <t>Consume · Digitizing · Band A · Early career</t>
        </is>
      </c>
      <c r="Z14" s="124" t="n">
        <v>2</v>
      </c>
      <c r="AA14" s="125">
        <f>IFERROR(INDEX(WM_C,MATCH($Y14,WM_KEY,0)),"")</f>
        <v>0.54</v>
      </c>
      <c r="AB14" s="126">
        <f>IF(Z14="","",Z14*AA14)</f>
        <v>1.08</v>
      </c>
      <c r="AC14" s="124" t="n">
        <v>1.5</v>
      </c>
      <c r="AD14" s="125">
        <f>IFERROR(INDEX(WM_AU,MATCH($Y14,WM_KEY,0)),"")</f>
        <v>0.16</v>
      </c>
      <c r="AE14" s="126">
        <f>IF(AC14="","",AC14*AD14)</f>
        <v>0.24</v>
      </c>
      <c r="AF14" s="124" t="n">
        <v>2</v>
      </c>
      <c r="AG14" s="125">
        <f>IFERROR(INDEX(WM_AC,MATCH($Y14,WM_KEY,0)),"")</f>
        <v>0.14</v>
      </c>
      <c r="AH14" s="126">
        <f>IF(AF14="","",AF14*AG14)</f>
        <v>0.28</v>
      </c>
      <c r="AI14" s="124" t="n">
        <v>1</v>
      </c>
      <c r="AJ14" s="125">
        <f>IFERROR(INDEX(WM_L,MATCH($Y14,WM_KEY,0)),"")</f>
        <v>0</v>
      </c>
      <c r="AK14" s="126">
        <f>IF(AI14="","",AI14*AJ14)</f>
        <v>0</v>
      </c>
      <c r="AL14" s="124" t="n">
        <v>4</v>
      </c>
      <c r="AM14" s="125">
        <f>IFERROR(INDEX(WM_E,MATCH($Y14,WM_KEY,0)),"")</f>
        <v>0.1</v>
      </c>
      <c r="AN14" s="126">
        <f>IF(AL14="","",AL14*AM14)</f>
        <v>0.4</v>
      </c>
      <c r="AO14" s="127" t="n">
        <v>2.5</v>
      </c>
      <c r="AP14" s="125">
        <f>IFERROR(INDEX(WM_BI,MATCH($Y14,WM_KEY,0)),"")</f>
        <v>0.06</v>
      </c>
      <c r="AQ14" s="126">
        <f>IF(AO14="","",AO14*AP14)</f>
        <v>0.15</v>
      </c>
      <c r="AR14" s="126">
        <f>IF(COUNT(AB14,AE14,AH14,AK14,AN14,AQ14)&lt;6,"",SUM(AB14,AE14,AH14,AK14,AN14,AQ14))</f>
        <v>2.15</v>
      </c>
      <c r="AS14" s="128" t="str">
        <f>IF(AR14="","",INDEX({"A1","A2","A3","B1","B2","B3","C1","C2","D1","D2","E1","E2"},MAX(1,MIN(12,ROUND(AR14,0)))))</f>
        <v>A2</v>
      </c>
      <c r="AT14"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 s="130" t="inlineStr">
        <is>
          <r>
            <rPr>
              <rFont val="Calibri"/>
              <b val="1"/>
              <sz val="10"/>
            </rPr>
            <t>At build:</t>
          </r>
          <r>
            <rPr>
              <rFont val="Calibri"/>
              <sz val="10"/>
            </rPr>
            <t xml:space="preserve"> Complexity 1.08 + Autonomy 0.24 + Accountability 0.28 + Leadership 0.00 + Experience 0.40 + Business impact 0.15
= 2.15 points → nearest level 2 = A2
</t>
          </r>
          <r>
            <rPr>
              <rFont val="Calibri"/>
              <b val="1"/>
              <sz val="10"/>
            </rPr>
            <t>Final level:</t>
          </r>
          <r>
            <rPr>
              <rFont val="Calibri"/>
              <sz val="10"/>
            </rPr>
            <t xml:space="preserve"> A3 · a rule applied: see the next column</t>
          </r>
        </is>
      </c>
      <c r="AV14" s="130" t="inlineStr">
        <is>
          <r>
            <rPr>
              <rFont val="Calibri"/>
              <sz val="10"/>
            </rPr>
            <t xml:space="preserve">• </t>
          </r>
          <r>
            <rPr>
              <rFont val="Calibri"/>
              <b val="1"/>
              <sz val="10"/>
            </rPr>
            <t>Raised to A3:</t>
          </r>
          <r>
            <rPr>
              <rFont val="Calibri"/>
              <sz val="10"/>
            </rPr>
            <t xml:space="preserve"> 5.1 years' experience is 2 years or more.
</t>
          </r>
          <r>
            <rPr>
              <rFont val="Calibri"/>
              <b val="1"/>
              <sz val="10"/>
            </rPr>
            <t>Final level:</t>
          </r>
          <r>
            <rPr>
              <rFont val="Calibri"/>
              <sz val="10"/>
            </rPr>
            <t xml:space="preserve"> A3.</t>
          </r>
        </is>
      </c>
      <c r="AW14"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Daily upload of security rates and HTML conversion of press releases, tenders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Standard work of the discipline</t>
          </r>
        </is>
      </c>
      <c r="AX14" s="132"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Says 'Nothing' is decided independently → moved down 0.5
</t>
          </r>
          <r>
            <rPr>
              <rFont val="Calibri"/>
              <b val="1"/>
              <sz val="10"/>
            </rPr>
            <t>Market:</t>
          </r>
          <r>
            <rPr>
              <rFont val="Calibri"/>
              <sz val="10"/>
            </rPr>
            <t xml:space="preserve"> A1 = Needs approval / close guidance · A2 = Chooses own approach within standards</t>
          </r>
        </is>
      </c>
      <c r="AY1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conversions and uploads; manager note cites wrong upload on client site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Own deliverables · accuracy, TAT</t>
          </r>
        </is>
      </c>
      <c r="AZ14"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 s="132" t="inlineStr">
        <is>
          <r>
            <rPr>
              <rFont val="Calibri"/>
              <sz val="10"/>
            </rPr>
            <t xml:space="preserve">Rated 4 of 12
</t>
          </r>
          <r>
            <rPr>
              <rFont val="Calibri"/>
              <b val="1"/>
              <sz val="10"/>
            </rPr>
            <t>Experience:</t>
          </r>
          <r>
            <rPr>
              <rFont val="Calibri"/>
              <sz val="10"/>
            </rPr>
            <t xml:space="preserve"> 5.1 yrs total · 4.4 before IRIS + 0.7 at IRIS = 3.8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BA · graduate → no change
</t>
          </r>
          <r>
            <rPr>
              <rFont val="Calibri"/>
              <b val="1"/>
              <sz val="10"/>
            </rPr>
            <t>Market:</t>
          </r>
          <r>
            <rPr>
              <rFont val="Calibri"/>
              <sz val="10"/>
            </rPr>
            <t xml:space="preserve"> A3 roles typically have 2–5 yrs · IRIS guide 2–4</t>
          </r>
        </is>
      </c>
      <c r="BB14"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 s="133" t="inlineStr">
        <is>
          <t>• Correct the experience record — HR</t>
        </is>
      </c>
      <c r="BD14" s="134" t="inlineStr">
        <is>
          <t>✓ HRIS: 5.1 yrs, BA, 0 direct reports
✓ Survey: 17 of 20 questions answered
✓ KRAs: submitted, reported deliverables
✓ Manager mapping: rating, potential, 9-box
✗ Job description: not on file</t>
        </is>
      </c>
      <c r="BE14" s="134"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4" s="134" t="inlineStr">
        <is>
          <t>Low</t>
        </is>
      </c>
      <c r="BG14" s="134" t="inlineStr">
        <is>
          <t>• Experience on record · 5.1 yrs looks incomplete — experience before IRIS appears to be missing; HR to confirm</t>
        </is>
      </c>
      <c r="BH14" s="134" t="inlineStr"/>
      <c r="BI14" s="135" t="n"/>
      <c r="BJ14" s="136" t="n"/>
      <c r="BK14" s="136" t="n"/>
      <c r="BL14" s="136" t="n"/>
      <c r="BM14" s="136" t="n"/>
      <c r="BN14" s="137" t="n"/>
      <c r="BO14" s="120" t="n"/>
      <c r="BP14" s="120" t="n"/>
      <c r="BQ14" s="120" t="n"/>
      <c r="BR14" s="120" t="n"/>
      <c r="BS14" s="120" t="n"/>
      <c r="BT14" s="120" t="n"/>
      <c r="BU14" s="120" t="n"/>
      <c r="BV14" s="120" t="n">
        <v>2.5</v>
      </c>
    </row>
    <row r="15" ht="340" customHeight="1">
      <c r="A15" s="109" t="inlineStr">
        <is>
          <t>IRISC337</t>
        </is>
      </c>
      <c r="B15" s="110" t="inlineStr">
        <is>
          <t>Siddhesh Harishchandra Mali</t>
        </is>
      </c>
      <c r="C15" s="111" t="inlineStr">
        <is>
          <t>Digitizing</t>
        </is>
      </c>
      <c r="D15" s="111" t="inlineStr">
        <is>
          <t>Shraddha Patil</t>
        </is>
      </c>
      <c r="E15" s="112" t="n">
        <v>0.8</v>
      </c>
      <c r="F15" s="112" t="n">
        <v>0.7</v>
      </c>
      <c r="G15" s="111" t="inlineStr">
        <is>
          <t>B.Sc</t>
        </is>
      </c>
      <c r="H15" s="113" t="inlineStr">
        <is>
          <t>Consultant</t>
        </is>
      </c>
      <c r="I15" s="114" t="inlineStr">
        <is>
          <t>Digitization Associate</t>
        </is>
      </c>
      <c r="J15" s="115" t="inlineStr">
        <is>
          <t>Data Operations &amp; Digitization</t>
        </is>
      </c>
      <c r="K15" s="115" t="inlineStr">
        <is>
          <t>Document Conversion, Formatting &amp; Web Publishing</t>
        </is>
      </c>
      <c r="L15" s="115" t="inlineStr">
        <is>
          <t>L3 – Professional / Associate</t>
        </is>
      </c>
      <c r="M15" s="141" t="inlineStr">
        <is>
          <t>A2</t>
        </is>
      </c>
      <c r="N15" s="139" t="inlineStr">
        <is>
          <t>Associate</t>
        </is>
      </c>
      <c r="O15" s="26" t="inlineStr">
        <is>
          <t>A</t>
        </is>
      </c>
      <c r="P15" s="115" t="inlineStr">
        <is>
          <t>IC</t>
        </is>
      </c>
      <c r="Q15" s="142" t="inlineStr">
        <is>
          <t>• Same level</t>
        </is>
      </c>
      <c r="R15" s="118" t="inlineStr">
        <is>
          <r>
            <rPr>
              <rFont val="Calibri"/>
              <b val="1"/>
              <sz val="10"/>
            </rPr>
            <t>WHAT THE ROLE DOES:</t>
          </r>
          <r>
            <rPr>
              <rFont val="Calibri"/>
              <sz val="10"/>
            </rPr>
            <t xml:space="preserve"> 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formatted · documents · html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am · accountable · every · formatting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Office 365 word · Excel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RC-046</t>
          </r>
        </is>
      </c>
      <c r="S15"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T15" s="120" t="n"/>
      <c r="U15" s="121" t="inlineStr">
        <is>
          <r>
            <rPr>
              <rFont val="Calibri"/>
              <sz val="10"/>
            </rPr>
            <t xml:space="preserve">Digitization Associate in Digitizing · Consume, A2 — IC.
</t>
          </r>
          <r>
            <rPr>
              <rFont val="Calibri"/>
              <b val="1"/>
              <sz val="10"/>
            </rPr>
            <t>The work:</t>
          </r>
          <r>
            <rPr>
              <rFont val="Calibri"/>
              <sz val="10"/>
            </rPr>
            <t xml:space="preserve"> Converts and formats documents into HTML/PDF/Word to filing or web standards, and publishes content · incl. RBI website.
At this level the role owns standard work delivered independently.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Holders describe it with:</t>
          </r>
          <r>
            <rPr>
              <rFont val="Calibri"/>
              <sz val="10"/>
            </rPr>
            <t xml:space="preserve"> formatting · quality · review · data · checking · document.</t>
          </r>
        </is>
      </c>
      <c r="V15" s="122" t="inlineStr">
        <is>
          <r>
            <rPr>
              <rFont val="Calibri"/>
              <b val="1"/>
              <sz val="10"/>
            </rPr>
            <t>Hire as:</t>
          </r>
          <r>
            <rPr>
              <rFont val="Calibri"/>
              <sz val="10"/>
            </rPr>
            <t xml:space="preserve"> Associate / Processor / Senior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commerce preferred
</t>
          </r>
          <r>
            <rPr>
              <rFont val="Calibri"/>
              <b val="1"/>
              <sz val="10"/>
            </rPr>
            <t>Equivalent titles at peers:</t>
          </r>
          <r>
            <rPr>
              <rFont val="Calibri"/>
              <sz val="10"/>
            </rPr>
            <t xml:space="preserve"> DataTracks – Associate · Accenture Operations – L11 Analyst · IRIS Vs Competitor Benchmark — operations roles – Processor / Agent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5" s="122" t="inlineStr">
        <is>
          <r>
            <rPr>
              <rFont val="Calibri"/>
              <sz val="10"/>
            </rPr>
            <t xml:space="preserve">FUNCTIONAL — skill level 2 of 5 · Working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t>
          </r>
          <r>
            <rPr>
              <rFont val="Calibri"/>
              <b val="1"/>
              <sz val="10"/>
            </rPr>
            <t>TOOLS:</t>
          </r>
          <r>
            <rPr>
              <rFont val="Calibri"/>
              <sz val="10"/>
            </rPr>
            <t xml:space="preserve"> Office 365 word · Excel
★ = must-have for the family. Scale: 1 Awareness · 2 Working · 3 Practitioner · 4 Advanced · 5 Expert.</t>
          </r>
        </is>
      </c>
      <c r="X15" s="122" t="inlineStr">
        <is>
          <r>
            <rPr>
              <rFont val="Calibri"/>
              <sz val="10"/>
            </rPr>
            <t xml:space="preserve">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 s="123" t="inlineStr">
        <is>
          <t>Consume · Digitizing · Band A · Early career</t>
        </is>
      </c>
      <c r="Z15" s="124" t="n">
        <v>2</v>
      </c>
      <c r="AA15" s="125">
        <f>IFERROR(INDEX(WM_C,MATCH($Y15,WM_KEY,0)),"")</f>
        <v>0.54</v>
      </c>
      <c r="AB15" s="126">
        <f>IF(Z15="","",Z15*AA15)</f>
        <v>1.08</v>
      </c>
      <c r="AC15" s="124" t="n">
        <v>2</v>
      </c>
      <c r="AD15" s="125">
        <f>IFERROR(INDEX(WM_AU,MATCH($Y15,WM_KEY,0)),"")</f>
        <v>0.16</v>
      </c>
      <c r="AE15" s="126">
        <f>IF(AC15="","",AC15*AD15)</f>
        <v>0.32</v>
      </c>
      <c r="AF15" s="124" t="n">
        <v>2</v>
      </c>
      <c r="AG15" s="125">
        <f>IFERROR(INDEX(WM_AC,MATCH($Y15,WM_KEY,0)),"")</f>
        <v>0.14</v>
      </c>
      <c r="AH15" s="126">
        <f>IF(AF15="","",AF15*AG15)</f>
        <v>0.28</v>
      </c>
      <c r="AI15" s="124" t="n">
        <v>1</v>
      </c>
      <c r="AJ15" s="125">
        <f>IFERROR(INDEX(WM_L,MATCH($Y15,WM_KEY,0)),"")</f>
        <v>0</v>
      </c>
      <c r="AK15" s="126">
        <f>IF(AI15="","",AI15*AJ15)</f>
        <v>0</v>
      </c>
      <c r="AL15" s="124" t="n">
        <v>2</v>
      </c>
      <c r="AM15" s="125">
        <f>IFERROR(INDEX(WM_E,MATCH($Y15,WM_KEY,0)),"")</f>
        <v>0.1</v>
      </c>
      <c r="AN15" s="126">
        <f>IF(AL15="","",AL15*AM15)</f>
        <v>0.2</v>
      </c>
      <c r="AO15" s="127" t="n">
        <v>2.5</v>
      </c>
      <c r="AP15" s="125">
        <f>IFERROR(INDEX(WM_BI,MATCH($Y15,WM_KEY,0)),"")</f>
        <v>0.06</v>
      </c>
      <c r="AQ15" s="126">
        <f>IF(AO15="","",AO15*AP15)</f>
        <v>0.15</v>
      </c>
      <c r="AR15" s="126">
        <f>IF(COUNT(AB15,AE15,AH15,AK15,AN15,AQ15)&lt;6,"",SUM(AB15,AE15,AH15,AK15,AN15,AQ15))</f>
        <v>2.03</v>
      </c>
      <c r="AS15" s="128" t="str">
        <f>IF(AR15="","",INDEX({"A1","A2","A3","B1","B2","B3","C1","C2","D1","D2","E1","E2"},MAX(1,MIN(12,ROUND(AR15,0)))))</f>
        <v>A2</v>
      </c>
      <c r="AT15"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5" s="130" t="inlineStr">
        <is>
          <r>
            <rPr>
              <rFont val="Calibri"/>
              <b val="1"/>
              <sz val="10"/>
            </rPr>
            <t>At build:</t>
          </r>
          <r>
            <rPr>
              <rFont val="Calibri"/>
              <sz val="10"/>
            </rPr>
            <t xml:space="preserve"> Complexity 1.08 + Autonomy 0.32 + Accountability 0.28 + Leadership 0.00 + Experience 0.20 + Business impact 0.15
= 2.03 points → nearest level 2 = A2
</t>
          </r>
          <r>
            <rPr>
              <rFont val="Calibri"/>
              <b val="1"/>
              <sz val="10"/>
            </rPr>
            <t>Final level:</t>
          </r>
          <r>
            <rPr>
              <rFont val="Calibri"/>
              <sz val="10"/>
            </rPr>
            <t xml:space="preserve"> A2 · same as the score</t>
          </r>
        </is>
      </c>
      <c r="AV15" s="130" t="inlineStr">
        <is>
          <r>
            <rPr>
              <rFont val="Calibri"/>
              <b val="1"/>
              <sz val="10"/>
            </rPr>
            <t>No rule applied:</t>
          </r>
          <r>
            <rPr>
              <rFont val="Calibri"/>
              <sz val="10"/>
            </rPr>
            <t xml:space="preserve"> the score decides.</t>
          </r>
        </is>
      </c>
      <c r="AW15"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Converts Word / PDF to HTML in Dreamweaver via a structured process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Standard work of the discipline</t>
          </r>
        </is>
      </c>
      <c r="AX1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HTML formatting structure and edits → matches the start
</t>
          </r>
          <r>
            <rPr>
              <rFont val="Calibri"/>
              <b val="1"/>
              <sz val="10"/>
            </rPr>
            <t>Market:</t>
          </r>
          <r>
            <rPr>
              <rFont val="Calibri"/>
              <sz val="10"/>
            </rPr>
            <t xml:space="preserve"> A2 = Chooses own approach within standards</t>
          </r>
        </is>
      </c>
      <c r="AY1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Accurate, complete HTML ready for RBI website publication → matches the start
</t>
          </r>
          <r>
            <rPr>
              <rFont val="Calibri"/>
              <b val="1"/>
              <sz val="10"/>
            </rPr>
            <t>KRA:</t>
          </r>
          <r>
            <rPr>
              <rFont val="Calibri"/>
              <sz val="10"/>
            </rPr>
            <t xml:space="preserve"> “1. Complete assigned conversion/formatting tasks with &gt;=99% accuracy · zero critical errors. 2. Meet 100% of client publishing deadlines…”
</t>
          </r>
          <r>
            <rPr>
              <rFont val="Calibri"/>
              <b val="1"/>
              <sz val="10"/>
            </rPr>
            <t>Market:</t>
          </r>
          <r>
            <rPr>
              <rFont val="Calibri"/>
              <sz val="10"/>
            </rPr>
            <t xml:space="preserve"> A2 = Own deliverables · accuracy, TAT</t>
          </r>
        </is>
      </c>
      <c r="AZ1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 s="132" t="inlineStr">
        <is>
          <r>
            <rPr>
              <rFont val="Calibri"/>
              <sz val="10"/>
            </rPr>
            <t xml:space="preserve">Rated 2 of 12
</t>
          </r>
          <r>
            <rPr>
              <rFont val="Calibri"/>
              <b val="1"/>
              <sz val="10"/>
            </rPr>
            <t>Experience:</t>
          </r>
          <r>
            <rPr>
              <rFont val="Calibri"/>
              <sz val="10"/>
            </rPr>
            <t xml:space="preserve"> 0.8 yrs total · 0.1 before IRIS + 0.7 at IRIS = 1.8 on the experience scale
</t>
          </r>
          <r>
            <rPr>
              <rFont val="Calibri"/>
              <b val="1"/>
              <sz val="10"/>
            </rPr>
            <t>Qualification:</t>
          </r>
          <r>
            <rPr>
              <rFont val="Calibri"/>
              <sz val="10"/>
            </rPr>
            <t xml:space="preserve"> B.Sc · graduate → no change
</t>
          </r>
          <r>
            <rPr>
              <rFont val="Calibri"/>
              <b val="1"/>
              <sz val="10"/>
            </rPr>
            <t>Market:</t>
          </r>
          <r>
            <rPr>
              <rFont val="Calibri"/>
              <sz val="10"/>
            </rPr>
            <t xml:space="preserve"> A2 roles typically have 0–3 yrs · IRIS guide 0–2</t>
          </r>
        </is>
      </c>
      <c r="BB15"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 s="138" t="inlineStr"/>
      <c r="BD15" s="134" t="inlineStr">
        <is>
          <t>✓ HRIS: 0.8 yrs, B.Sc, 0 direct reports
✓ Survey: 20 of 20 questions answered
✓ KRAs: submitted, reported deliverables
✓ Manager mapping: rating, potential, 9-box
✗ Job description: not on file</t>
        </is>
      </c>
      <c r="BE15"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BF15" s="134" t="inlineStr">
        <is>
          <t>High</t>
        </is>
      </c>
      <c r="BG15" s="134" t="inlineStr"/>
      <c r="BH15" s="134" t="inlineStr"/>
      <c r="BI15" s="135" t="n"/>
      <c r="BJ15" s="136" t="n"/>
      <c r="BK15" s="136" t="n"/>
      <c r="BL15" s="136" t="n"/>
      <c r="BM15" s="136" t="n"/>
      <c r="BN15" s="137" t="n"/>
      <c r="BO15" s="120" t="n"/>
      <c r="BP15" s="120" t="n"/>
      <c r="BQ15" s="120" t="n"/>
      <c r="BR15" s="120" t="n"/>
      <c r="BS15" s="120" t="n"/>
      <c r="BT15" s="120" t="n"/>
      <c r="BU15" s="120" t="n"/>
      <c r="BV15" s="120" t="n">
        <v>2.5</v>
      </c>
    </row>
    <row r="16" ht="340" customHeight="1">
      <c r="A16" s="109" t="inlineStr">
        <is>
          <t>IRIS0007</t>
        </is>
      </c>
      <c r="B16" s="110" t="inlineStr">
        <is>
          <t>Gopal Krishna Sahu</t>
        </is>
      </c>
      <c r="C16" s="111" t="inlineStr">
        <is>
          <t>India Content</t>
        </is>
      </c>
      <c r="D16" s="111" t="inlineStr">
        <is>
          <t>Arup Ganguly</t>
        </is>
      </c>
      <c r="E16" s="112" t="n">
        <v>35.2</v>
      </c>
      <c r="F16" s="112" t="n">
        <v>22.1</v>
      </c>
      <c r="G16" s="111" t="inlineStr">
        <is>
          <t>MBA</t>
        </is>
      </c>
      <c r="H16" s="113" t="inlineStr">
        <is>
          <t>Data Analyst Manager</t>
        </is>
      </c>
      <c r="I16" s="114" t="inlineStr">
        <is>
          <t>Data Operations Manager</t>
        </is>
      </c>
      <c r="J16" s="115" t="inlineStr">
        <is>
          <t>Data &amp; Analytics</t>
        </is>
      </c>
      <c r="K16" s="115" t="inlineStr">
        <is>
          <t>Financial Data Processing</t>
        </is>
      </c>
      <c r="L16" s="115" t="inlineStr">
        <is>
          <t>L5 – Manager</t>
        </is>
      </c>
      <c r="M16" s="143" t="inlineStr">
        <is>
          <t>B2</t>
        </is>
      </c>
      <c r="N16" s="21" t="inlineStr">
        <is>
          <t>Manager</t>
        </is>
      </c>
      <c r="O16" s="23" t="inlineStr">
        <is>
          <t>B</t>
        </is>
      </c>
      <c r="P16" s="115" t="inlineStr">
        <is>
          <t>People Manager</t>
        </is>
      </c>
      <c r="Q16" s="142" t="inlineStr">
        <is>
          <t>• Same level</t>
        </is>
      </c>
      <c r="R16" s="118" t="inlineStr">
        <is>
          <r>
            <rPr>
              <rFont val="Calibri"/>
              <b val="1"/>
              <sz val="10"/>
            </rPr>
            <t>WHAT THE ROLE DOES:</t>
          </r>
          <r>
            <rPr>
              <rFont val="Calibri"/>
              <sz val="10"/>
            </rPr>
            <t xml:space="preserve"> Processes and delivers mutual-fund, scheme and capital-market data feeds and reports. At B2: deep domain expertise, or one team.
</t>
          </r>
          <r>
            <rPr>
              <rFont val="Calibri"/>
              <b val="1"/>
              <sz val="10"/>
            </rPr>
            <t>Common themes in sub-family holders, all levels' answers:</t>
          </r>
          <r>
            <rPr>
              <rFont val="Calibri"/>
              <sz val="10"/>
            </rPr>
            <t xml:space="preserve"> data · mutual fund · accurate · update · client · analyzing
</t>
          </r>
          <r>
            <rPr>
              <rFont val="Calibri"/>
              <b val="1"/>
              <sz val="10"/>
            </rPr>
            <t>KEY RESPONSIBILITIES:</t>
          </r>
          <r>
            <rPr>
              <rFont val="Calibri"/>
              <sz val="10"/>
            </rPr>
            <t xml:space="preserve"> Processes and delivers mutual-fund, scheme and capital-market data feeds and reports; Hardest problems in the domain; One team or a client portfolio
</t>
          </r>
          <r>
            <rPr>
              <rFont val="Calibri"/>
              <b val="1"/>
              <sz val="10"/>
            </rPr>
            <t>Common themes in sub-family holders, all levels' answers:</t>
          </r>
          <r>
            <rPr>
              <rFont val="Calibri"/>
              <sz val="10"/>
            </rPr>
            <t xml:space="preserve"> data · client · timely · accuracy · delivery · market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client · mutual fund · delivery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client · data · if · wrong · am · delivery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update · data · independently
</t>
          </r>
          <r>
            <rPr>
              <rFont val="Calibri"/>
              <b val="1"/>
              <sz val="10"/>
            </rPr>
            <t>SKILLS &amp; KNOWLEDGE · role-holders:</t>
          </r>
          <r>
            <rPr>
              <rFont val="Calibri"/>
              <sz val="10"/>
            </rPr>
            <t xml:space="preserve"> Data processing · Mutual fund · Data validation
</t>
          </r>
          <r>
            <rPr>
              <rFont val="Calibri"/>
              <b val="1"/>
              <sz val="10"/>
            </rPr>
            <t>TOOLS &amp; SYSTEMS:</t>
          </r>
          <r>
            <rPr>
              <rFont val="Calibri"/>
              <sz val="10"/>
            </rPr>
            <t xml:space="preserve"> Microsoft Excel · MS access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sub-family themes · 3+ answered — 1 holder, 1 answered the survey; sub-family 9 answered; catalogue RC-042</t>
          </r>
        </is>
      </c>
      <c r="S1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8 direct reports.
</t>
          </r>
          <r>
            <rPr>
              <rFont val="Calibri"/>
              <b val="1"/>
              <sz val="10"/>
            </rPr>
            <t>If the work is missed · role-holders' themes:</t>
          </r>
          <r>
            <rPr>
              <rFont val="Calibri"/>
              <sz val="10"/>
            </rPr>
            <t xml:space="preserve"> client · impacts · process · incorrect.
Manager talent mapping — Latest rating: 4 · Potential: Medium · 9-Box Grid placement: Emerging Talent.</t>
          </r>
        </is>
      </c>
      <c r="T16" s="120" t="n"/>
      <c r="U16" s="121" t="inlineStr">
        <is>
          <r>
            <rPr>
              <rFont val="Calibri"/>
              <sz val="10"/>
            </rPr>
            <t xml:space="preserve">Data Operations Manager in India Content · Consume, B2 — People Manager.
</t>
          </r>
          <r>
            <rPr>
              <rFont val="Calibri"/>
              <b val="1"/>
              <sz val="10"/>
            </rPr>
            <t>The work:</t>
          </r>
          <r>
            <rPr>
              <rFont val="Calibri"/>
              <sz val="10"/>
            </rPr>
            <t xml:space="preserve"> Processes and delivers mutual-fund, scheme and capital-market data feeds and reports.
At this level the role owns deep domain expertise, or one team.
</t>
          </r>
          <r>
            <rPr>
              <rFont val="Calibri"/>
              <b val="1"/>
              <sz val="10"/>
            </rPr>
            <t>Key responsibilities:</t>
          </r>
          <r>
            <rPr>
              <rFont val="Calibri"/>
              <sz val="10"/>
            </rPr>
            <t xml:space="preserve"> Processes and delivers mutual-fund, scheme and capital-market data feeds and reports; Hardest problems in the domain; One team or a client portfolio.
</t>
          </r>
          <r>
            <rPr>
              <rFont val="Calibri"/>
              <b val="1"/>
              <sz val="10"/>
            </rPr>
            <t>Holders describe it with:</t>
          </r>
          <r>
            <rPr>
              <rFont val="Calibri"/>
              <sz val="10"/>
            </rPr>
            <t xml:space="preserve"> data · client · timely · accuracy · delivery · market.
Leads 8 direct reports.</t>
          </r>
        </is>
      </c>
      <c r="V16"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in commerce / statistics / engineering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Atlassian company-wide P-levels – P50 Senior Analyst · IRIS Vs Competitor Benchmark — data analyst ladder – Lead Data Analyst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16" s="122" t="inlineStr">
        <is>
          <r>
            <rPr>
              <rFont val="Calibri"/>
              <sz val="10"/>
            </rPr>
            <t xml:space="preserve">FUNCTIONAL — skill level 4 of 5 · Advanced
 ★ Data Analytics, BI &amp; Visualisation: Defines metrics and analytics approach for a business
 ★ Database, SQL &amp; Data Engineering: Designs data models and pipelines; optimises at scale
 • </t>
          </r>
          <r>
            <rPr>
              <rFont val="Calibri"/>
              <b val="1"/>
              <sz val="10"/>
            </rPr>
            <t>Advanced Excel &amp; Productivity Tools:</t>
          </r>
          <r>
            <rPr>
              <rFont val="Calibri"/>
              <sz val="10"/>
            </rPr>
            <t xml:space="preserve"> Builds templates and automation used by the team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Accounting &amp; Reporting Standards · IFRS/US GAAP:</t>
          </r>
          <r>
            <rPr>
              <rFont val="Calibri"/>
              <sz val="10"/>
            </rPr>
            <t xml:space="preserve"> Advises on complex disclosures and standards changes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Data processing · Mutual fund · Data validation
</t>
          </r>
          <r>
            <rPr>
              <rFont val="Calibri"/>
              <b val="1"/>
              <sz val="10"/>
            </rPr>
            <t>TOOLS:</t>
          </r>
          <r>
            <rPr>
              <rFont val="Calibri"/>
              <sz val="10"/>
            </rPr>
            <t xml:space="preserve"> Microsoft Excel · MS access
★ = must-have for the family. Scale: 1 Awareness · 2 Working · 3 Practitioner · 4 Advanced · 5 Expert.</t>
          </r>
        </is>
      </c>
      <c r="X16" s="122" t="inlineStr">
        <is>
          <r>
            <rPr>
              <rFont val="Calibri"/>
              <sz val="10"/>
            </rPr>
            <t xml:space="preserve">Draft — generated from the framework; hiring-manager review pending · HR Super Master, sheet T5.
1. [Data Analytics, BI &amp; Visualisation · level 4] Tell me about recent work that shows this: "Defines metrics and analytics approach for a business". What exactly did you do, how, and what was the result? Assess with: Data case / practical.
2. [Database, SQL &amp; Data Engineering · level 4] Tell me about recent work that shows this: "Designs data models and pipelines; optimises at scale". What exactly did you do, how, and what was the result? Assess with: SQL test / case.
3. [Advanced Excel &amp; Productivity Tools · level 4] Give an example that shows you can do this: "Builds templates and automation used by the team". Assess with: Practical test.
4. [Regulatory &amp; BFSI Domain · level 4] Give an example that shows you can do this: "Interprets new regulation; advises clients and product". Assess with: Domain interview.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6" s="123" t="inlineStr">
        <is>
          <t>Consume · India Content · Band B · People Manager</t>
        </is>
      </c>
      <c r="Z16" s="124" t="n">
        <v>5</v>
      </c>
      <c r="AA16" s="125">
        <f>IFERROR(INDEX(WM_C,MATCH($Y16,WM_KEY,0)),"")</f>
        <v>0.32</v>
      </c>
      <c r="AB16" s="126">
        <f>IF(Z16="","",Z16*AA16)</f>
        <v>1.6</v>
      </c>
      <c r="AC16" s="124" t="n">
        <v>5</v>
      </c>
      <c r="AD16" s="125">
        <f>IFERROR(INDEX(WM_AU,MATCH($Y16,WM_KEY,0)),"")</f>
        <v>0.18</v>
      </c>
      <c r="AE16" s="126">
        <f>IF(AC16="","",AC16*AD16)</f>
        <v>0.9</v>
      </c>
      <c r="AF16" s="124" t="n">
        <v>5</v>
      </c>
      <c r="AG16" s="125">
        <f>IFERROR(INDEX(WM_AC,MATCH($Y16,WM_KEY,0)),"")</f>
        <v>0.16</v>
      </c>
      <c r="AH16" s="126">
        <f>IF(AF16="","",AF16*AG16)</f>
        <v>0.8</v>
      </c>
      <c r="AI16" s="124" t="n">
        <v>5</v>
      </c>
      <c r="AJ16" s="125">
        <f>IFERROR(INDEX(WM_L,MATCH($Y16,WM_KEY,0)),"")</f>
        <v>0.15</v>
      </c>
      <c r="AK16" s="126">
        <f>IF(AI16="","",AI16*AJ16)</f>
        <v>0.75</v>
      </c>
      <c r="AL16" s="124" t="n">
        <v>12</v>
      </c>
      <c r="AM16" s="125">
        <f>IFERROR(INDEX(WM_E,MATCH($Y16,WM_KEY,0)),"")</f>
        <v>0.1</v>
      </c>
      <c r="AN16" s="126">
        <f>IF(AL16="","",AL16*AM16)</f>
        <v>1.2</v>
      </c>
      <c r="AO16" s="127" t="n">
        <v>5</v>
      </c>
      <c r="AP16" s="125">
        <f>IFERROR(INDEX(WM_BI,MATCH($Y16,WM_KEY,0)),"")</f>
        <v>0.09</v>
      </c>
      <c r="AQ16" s="126">
        <f>IF(AO16="","",AO16*AP16)</f>
        <v>0.45</v>
      </c>
      <c r="AR16" s="126">
        <f>IF(COUNT(AB16,AE16,AH16,AK16,AN16,AQ16)&lt;6,"",SUM(AB16,AE16,AH16,AK16,AN16,AQ16))</f>
        <v>5.7</v>
      </c>
      <c r="AS16" s="128" t="str">
        <f>IF(AR16="","",INDEX({"A1","A2","A3","B1","B2","B3","C1","C2","D1","D2","E1","E2"},MAX(1,MIN(12,ROUND(AR16,0)))))</f>
        <v>B3</v>
      </c>
      <c r="AT16" s="129"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6" s="130" t="inlineStr">
        <is>
          <r>
            <rPr>
              <rFont val="Calibri"/>
              <b val="1"/>
              <sz val="10"/>
            </rPr>
            <t>At build:</t>
          </r>
          <r>
            <rPr>
              <rFont val="Calibri"/>
              <sz val="10"/>
            </rPr>
            <t xml:space="preserve"> Complexity 1.60 + Autonomy 0.90 + Accountability 0.80 + Leadership 0.75 + Experience 1.20 + Business impact 0.45
= 5.70 points → nearest level 6 = B3
</t>
          </r>
          <r>
            <rPr>
              <rFont val="Calibri"/>
              <b val="1"/>
              <sz val="10"/>
            </rPr>
            <t>Final level:</t>
          </r>
          <r>
            <rPr>
              <rFont val="Calibri"/>
              <sz val="10"/>
            </rPr>
            <t xml:space="preserve"> B2 · a rule applied: see the next column</t>
          </r>
        </is>
      </c>
      <c r="AV16" s="130" t="inlineStr">
        <is>
          <r>
            <rPr>
              <rFont val="Calibri"/>
              <sz val="10"/>
            </rPr>
            <t xml:space="preserve">• </t>
          </r>
          <r>
            <rPr>
              <rFont val="Calibri"/>
              <b val="1"/>
              <sz val="10"/>
            </rPr>
            <t>Held at B2 instead of B3:</t>
          </r>
          <r>
            <rPr>
              <rFont val="Calibri"/>
              <sz val="10"/>
            </rPr>
            <t xml:space="preserve"> a B3 manager needs team leads reporting in, or 10+ people in the team, and the org chart does not show this yet.
</t>
          </r>
          <r>
            <rPr>
              <rFont val="Calibri"/>
              <b val="1"/>
              <sz val="10"/>
            </rPr>
            <t>Final level:</t>
          </r>
          <r>
            <rPr>
              <rFont val="Calibri"/>
              <sz val="10"/>
            </rPr>
            <t xml:space="preserve"> B2.</t>
          </r>
        </is>
      </c>
      <c r="AW16"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Solves all issues the team faces; answers client product queries; equity and mutual fund domain → matches the start
</t>
          </r>
          <r>
            <rPr>
              <rFont val="Calibri"/>
              <b val="1"/>
              <sz val="10"/>
            </rPr>
            <t>KRA:</t>
          </r>
          <r>
            <rPr>
              <rFont val="Calibri"/>
              <sz val="10"/>
            </rPr>
            <t xml:space="preserve"> “1. Ensure team delivers 100% of client filings within regulatory deadlines 2. Keep team accuracy &gt;=99% with critical errors trending to…”
</t>
          </r>
          <r>
            <rPr>
              <rFont val="Calibri"/>
              <b val="1"/>
              <sz val="10"/>
            </rPr>
            <t>Market:</t>
          </r>
          <r>
            <rPr>
              <rFont val="Calibri"/>
              <sz val="10"/>
            </rPr>
            <t xml:space="preserve"> B2 = Hardest problems in the domain</t>
          </r>
        </is>
      </c>
      <c r="AX16"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Manages team and workload · KRA, handles client escalations and RCAs, decides product matters → matches the start
</t>
          </r>
          <r>
            <rPr>
              <rFont val="Calibri"/>
              <b val="1"/>
              <sz val="10"/>
            </rPr>
            <t>Market:</t>
          </r>
          <r>
            <rPr>
              <rFont val="Calibri"/>
              <sz val="10"/>
            </rPr>
            <t xml:space="preserve"> B2 = Allocates people and sets team priorities</t>
          </r>
        </is>
      </c>
      <c r="AY16" s="132" t="inlineStr">
        <is>
          <r>
            <rPr>
              <rFont val="Calibri"/>
              <sz val="10"/>
            </rPr>
            <t xml:space="preserve">Rated 5 of 12
</t>
          </r>
          <r>
            <rPr>
              <rFont val="Calibri"/>
              <b val="1"/>
              <sz val="10"/>
            </rPr>
            <t>Start:</t>
          </r>
          <r>
            <rPr>
              <rFont val="Calibri"/>
              <sz val="10"/>
            </rPr>
            <t xml:space="preserve"> 5.0 · manager / senior specialist title; 8 direct reports
</t>
          </r>
          <r>
            <rPr>
              <rFont val="Calibri"/>
              <b val="1"/>
              <sz val="10"/>
            </rPr>
            <t>Evidence reads like B2:</t>
          </r>
          <r>
            <rPr>
              <rFont val="Calibri"/>
              <sz val="10"/>
            </rPr>
            <t xml:space="preserve"> Team's client files; escalations and billing penalties; client invoices; new business → matches the start
</t>
          </r>
          <r>
            <rPr>
              <rFont val="Calibri"/>
              <b val="1"/>
              <sz val="10"/>
            </rPr>
            <t>KRA:</t>
          </r>
          <r>
            <rPr>
              <rFont val="Calibri"/>
              <sz val="10"/>
            </rPr>
            <t xml:space="preserve"> “1. Ensure team delivers 100% of client filings within regulatory deadlines 2. Keep team accuracy &gt;=99% with critical errors trending to…”
</t>
          </r>
          <r>
            <rPr>
              <rFont val="Calibri"/>
              <b val="1"/>
              <sz val="10"/>
            </rPr>
            <t>Market:</t>
          </r>
          <r>
            <rPr>
              <rFont val="Calibri"/>
              <sz val="10"/>
            </rPr>
            <t xml:space="preserve"> B2 = One team or a client portfolio</t>
          </r>
        </is>
      </c>
      <c r="AZ16"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Manages and trains the team; 8 direct reports → matches the start
</t>
          </r>
          <r>
            <rPr>
              <rFont val="Calibri"/>
              <b val="1"/>
              <sz val="10"/>
            </rPr>
            <t>Team:</t>
          </r>
          <r>
            <rPr>
              <rFont val="Calibri"/>
              <sz val="10"/>
            </rPr>
            <t xml:space="preserve"> 8 direct reports · People Manager
</t>
          </r>
          <r>
            <rPr>
              <rFont val="Calibri"/>
              <b val="1"/>
              <sz val="10"/>
            </rPr>
            <t>Market:</t>
          </r>
          <r>
            <rPr>
              <rFont val="Calibri"/>
              <sz val="10"/>
            </rPr>
            <t xml:space="preserve"> B2 = IC: guides others in the domain · People: manages a team of 6+</t>
          </r>
        </is>
      </c>
      <c r="BA16" s="132" t="inlineStr">
        <is>
          <r>
            <rPr>
              <rFont val="Calibri"/>
              <sz val="10"/>
            </rPr>
            <t xml:space="preserve">Rated 12 of 12
</t>
          </r>
          <r>
            <rPr>
              <rFont val="Calibri"/>
              <b val="1"/>
              <sz val="10"/>
            </rPr>
            <t>Experience:</t>
          </r>
          <r>
            <rPr>
              <rFont val="Calibri"/>
              <sz val="10"/>
            </rPr>
            <t xml:space="preserve"> 35.2 yrs; qualification: MBA. 33.0 yrs used · the 35.2 yrs on record looks too high for the record — HR to check sits at 12.0 on the experience scale · the range it fits: E1–E2; qualification MBA · postgraduate, relevant to the work: +0.5.
</t>
          </r>
          <r>
            <rPr>
              <rFont val="Calibri"/>
              <b val="1"/>
              <sz val="10"/>
            </rPr>
            <t>Market:</t>
          </r>
          <r>
            <rPr>
              <rFont val="Calibri"/>
              <sz val="10"/>
            </rPr>
            <t xml:space="preserve"> B2 roles typically have 6–10 yrs · IRIS guide 6–9</t>
          </r>
        </is>
      </c>
      <c r="BB16" s="132"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6" s="133" t="inlineStr">
        <is>
          <t>• Confirm structure behind the senior title · org chart — Business head
• Correct the experience record — HR</t>
        </is>
      </c>
      <c r="BD16" s="134" t="inlineStr">
        <is>
          <t>✓ HRIS: 35.2 yrs, MBA, 8 direct reports
✓ Survey: 20 of 20 questions answered
✓ KRAs: self, manager-set, quarterly
✓ Manager mapping: rating, potential, 9-box
✗ Job description: not on file</t>
        </is>
      </c>
      <c r="BE16"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Atlassian company-wide P-levels – P50 Senior Analyst · IRIS Vs Competitor Benchmark — data analyst ladder: Lead Data Analyst
</t>
          </r>
          <r>
            <rPr>
              <rFont val="Calibri"/>
              <b val="1"/>
              <sz val="10"/>
            </rPr>
            <t>Typical experience:</t>
          </r>
          <r>
            <rPr>
              <rFont val="Calibri"/>
              <sz val="10"/>
            </rPr>
            <t xml:space="preserve"> 6–10 yrs · IRIS guide 6–9
</t>
          </r>
          <r>
            <rPr>
              <rFont val="Calibri"/>
              <b val="1"/>
              <sz val="10"/>
            </rPr>
            <t>Standard:</t>
          </r>
          <r>
            <rPr>
              <rFont val="Calibri"/>
              <sz val="10"/>
            </rPr>
            <t xml:space="preserve"> DAMA-DMBOK</t>
          </r>
        </is>
      </c>
      <c r="BF16" s="134" t="inlineStr">
        <is>
          <t>Low</t>
        </is>
      </c>
      <c r="BG16" s="134" t="inlineStr">
        <is>
          <t>• Experience on record · 35.2 yrs looks too high for the record — HR to check; 33.0 yrs used — HR to correct</t>
        </is>
      </c>
      <c r="BH16" s="134" t="inlineStr"/>
      <c r="BI16" s="135" t="n"/>
      <c r="BJ16" s="136" t="n"/>
      <c r="BK16" s="136" t="n"/>
      <c r="BL16" s="136" t="n"/>
      <c r="BM16" s="136" t="n"/>
      <c r="BN16" s="137" t="n"/>
      <c r="BO16" s="120" t="n"/>
      <c r="BP16" s="120" t="n"/>
      <c r="BQ16" s="120" t="n"/>
      <c r="BR16" s="120" t="n"/>
      <c r="BS16" s="120" t="n"/>
      <c r="BT16" s="120" t="n"/>
      <c r="BU16" s="120" t="n"/>
      <c r="BV16" s="120" t="n">
        <v>5</v>
      </c>
    </row>
    <row r="17" ht="340" customHeight="1">
      <c r="A17" s="109" t="inlineStr">
        <is>
          <t>IRIS0015</t>
        </is>
      </c>
      <c r="B17" s="110" t="inlineStr">
        <is>
          <t>Virendra Borkar</t>
        </is>
      </c>
      <c r="C17" s="111" t="inlineStr">
        <is>
          <t>India Content</t>
        </is>
      </c>
      <c r="D17" s="111" t="inlineStr">
        <is>
          <t>Gopal Krishna Sahu</t>
        </is>
      </c>
      <c r="E17" s="112" t="n">
        <v>22.3</v>
      </c>
      <c r="F17" s="112" t="n">
        <v>21.9</v>
      </c>
      <c r="G17" s="111" t="inlineStr">
        <is>
          <t>B.Com</t>
        </is>
      </c>
      <c r="H17" s="113" t="inlineStr">
        <is>
          <t>Data Analyst Lead</t>
        </is>
      </c>
      <c r="I17" s="114" t="inlineStr">
        <is>
          <t>Data Specialist</t>
        </is>
      </c>
      <c r="J17" s="115" t="inlineStr">
        <is>
          <t>Data &amp; Analytics</t>
        </is>
      </c>
      <c r="K17" s="115" t="inlineStr">
        <is>
          <t>Financial Data Processing</t>
        </is>
      </c>
      <c r="L17" s="114" t="inlineStr">
        <is>
          <t>L5 – Lead · IC</t>
        </is>
      </c>
      <c r="M17" s="116" t="inlineStr">
        <is>
          <t>B1</t>
        </is>
      </c>
      <c r="N17" s="21" t="inlineStr">
        <is>
          <t>Specialist</t>
        </is>
      </c>
      <c r="O17" s="23" t="inlineStr">
        <is>
          <t>B</t>
        </is>
      </c>
      <c r="P17" s="115" t="inlineStr">
        <is>
          <t>IC</t>
        </is>
      </c>
      <c r="Q17" s="140" t="inlineStr">
        <is>
          <t>▼ Down · protected</t>
        </is>
      </c>
      <c r="R17" s="118" t="inlineStr">
        <is>
          <r>
            <rPr>
              <rFont val="Calibri"/>
              <b val="1"/>
              <sz val="10"/>
            </rPr>
            <t>WHAT THE ROLE DOES:</t>
          </r>
          <r>
            <rPr>
              <rFont val="Calibri"/>
              <sz val="10"/>
            </rPr>
            <t xml:space="preserve"> Processes and delivers mutual-fund, scheme and capital-market data feeds and reports. At B1: a domain / module, or a small team.
</t>
          </r>
          <r>
            <rPr>
              <rFont val="Calibri"/>
              <b val="1"/>
              <sz val="10"/>
            </rPr>
            <t>Common themes in sub-family holders, all levels' answers:</t>
          </r>
          <r>
            <rPr>
              <rFont val="Calibri"/>
              <sz val="10"/>
            </rPr>
            <t xml:space="preserve"> data · mutual fund · accurate · update · client · analyzing
</t>
          </r>
          <r>
            <rPr>
              <rFont val="Calibri"/>
              <b val="1"/>
              <sz val="10"/>
            </rPr>
            <t>KEY RESPONSIBILITIES:</t>
          </r>
          <r>
            <rPr>
              <rFont val="Calibri"/>
              <sz val="10"/>
            </rPr>
            <t xml:space="preserve"> Processes and delivers mutual-fund, scheme and capital-market data feeds and reports; Domain specialist work; A domain or a small team
</t>
          </r>
          <r>
            <rPr>
              <rFont val="Calibri"/>
              <b val="1"/>
              <sz val="10"/>
            </rPr>
            <t>Common themes in sub-family holders, all levels' answers:</t>
          </r>
          <r>
            <rPr>
              <rFont val="Calibri"/>
              <sz val="10"/>
            </rPr>
            <t xml:space="preserve"> data · client · timely · accuracy · delivery · market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client · mutual fund · delivery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client · data · if · wrong · am · delivery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update · data · independently
</t>
          </r>
          <r>
            <rPr>
              <rFont val="Calibri"/>
              <b val="1"/>
              <sz val="10"/>
            </rPr>
            <t>SKILLS &amp; KNOWLEDGE · role-holders:</t>
          </r>
          <r>
            <rPr>
              <rFont val="Calibri"/>
              <sz val="10"/>
            </rPr>
            <t xml:space="preserve"> Data processing · Mutual fund · Data validation
</t>
          </r>
          <r>
            <rPr>
              <rFont val="Calibri"/>
              <b val="1"/>
              <sz val="10"/>
            </rPr>
            <t>TOOLS &amp; SYSTEMS:</t>
          </r>
          <r>
            <rPr>
              <rFont val="Calibri"/>
              <sz val="10"/>
            </rPr>
            <t xml:space="preserve"> Microsoft Excel · MS access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sub-family themes · 3+ answered — 1 holder, 1 answered the survey; sub-family 9 answered; catalogue RC-041</t>
          </r>
        </is>
      </c>
      <c r="S1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yes.
</t>
          </r>
          <r>
            <rPr>
              <rFont val="Calibri"/>
              <b val="1"/>
              <sz val="10"/>
            </rPr>
            <t>If the work is missed · role-holders' themes:</t>
          </r>
          <r>
            <rPr>
              <rFont val="Calibri"/>
              <sz val="10"/>
            </rPr>
            <t xml:space="preserve"> client · impacts · process · incorrect.
Manager talent mapping — Latest rating: 3 · Potential: Medium · 9-Box Grid placement: Future Leader.</t>
          </r>
        </is>
      </c>
      <c r="T17" s="120" t="n"/>
      <c r="U17" s="121" t="inlineStr">
        <is>
          <r>
            <rPr>
              <rFont val="Calibri"/>
              <sz val="10"/>
            </rPr>
            <t xml:space="preserve">Data Specialist in India Content · Consume, B1 — IC.
</t>
          </r>
          <r>
            <rPr>
              <rFont val="Calibri"/>
              <b val="1"/>
              <sz val="10"/>
            </rPr>
            <t>The work:</t>
          </r>
          <r>
            <rPr>
              <rFont val="Calibri"/>
              <sz val="10"/>
            </rPr>
            <t xml:space="preserve"> Processes and delivers mutual-fund, scheme and capital-market data feeds and reports.
At this level the role owns a domain / module, or a small team.
</t>
          </r>
          <r>
            <rPr>
              <rFont val="Calibri"/>
              <b val="1"/>
              <sz val="10"/>
            </rPr>
            <t>Key responsibilities:</t>
          </r>
          <r>
            <rPr>
              <rFont val="Calibri"/>
              <sz val="10"/>
            </rPr>
            <t xml:space="preserve"> Processes and delivers mutual-fund, scheme and capital-market data feeds and reports; Domain specialist work; A domain or a small team.
</t>
          </r>
          <r>
            <rPr>
              <rFont val="Calibri"/>
              <b val="1"/>
              <sz val="10"/>
            </rPr>
            <t>Holders describe it with:</t>
          </r>
          <r>
            <rPr>
              <rFont val="Calibri"/>
              <sz val="10"/>
            </rPr>
            <t xml:space="preserve"> data · client · timely · accuracy · delivery · market.</t>
          </r>
        </is>
      </c>
      <c r="V17" s="122" t="inlineStr">
        <is>
          <r>
            <rPr>
              <rFont val="Calibri"/>
              <b val="1"/>
              <sz val="10"/>
            </rPr>
            <t>Hire as:</t>
          </r>
          <r>
            <rPr>
              <rFont val="Calibri"/>
              <sz val="10"/>
            </rPr>
            <t xml:space="preserve"> Senior Data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in commerce / statistics / engineering
</t>
          </r>
          <r>
            <rPr>
              <rFont val="Calibri"/>
              <b val="1"/>
              <sz val="10"/>
            </rPr>
            <t>Equivalent titles at peers:</t>
          </r>
          <r>
            <rPr>
              <rFont val="Calibri"/>
              <sz val="10"/>
            </rPr>
            <t xml:space="preserve"> Atlassian company-wide P-levels – P40 · IRIS Vs Competitor Benchmark — data analyst ladder – Senior Data Analyst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17"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Data processing · Mutual fund · Data validation
</t>
          </r>
          <r>
            <rPr>
              <rFont val="Calibri"/>
              <b val="1"/>
              <sz val="10"/>
            </rPr>
            <t>TOOLS:</t>
          </r>
          <r>
            <rPr>
              <rFont val="Calibri"/>
              <sz val="10"/>
            </rPr>
            <t xml:space="preserve"> Microsoft Excel · MS access
★ = must-have for the family. Scale: 1 Awareness · 2 Working · 3 Practitioner · 4 Advanced · 5 Expert.</t>
          </r>
        </is>
      </c>
      <c r="X17"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7" s="123" t="inlineStr">
        <is>
          <t>Consume · India Content · Band B · Expert / POD Lead</t>
        </is>
      </c>
      <c r="Z17" s="124" t="n">
        <v>3.5</v>
      </c>
      <c r="AA17" s="125">
        <f>IFERROR(INDEX(WM_C,MATCH($Y17,WM_KEY,0)),"")</f>
        <v>0.46</v>
      </c>
      <c r="AB17" s="126">
        <f>IF(Z17="","",Z17*AA17)</f>
        <v>1.61</v>
      </c>
      <c r="AC17" s="124" t="n">
        <v>3.5</v>
      </c>
      <c r="AD17" s="125">
        <f>IFERROR(INDEX(WM_AU,MATCH($Y17,WM_KEY,0)),"")</f>
        <v>0.17</v>
      </c>
      <c r="AE17" s="126">
        <f>IF(AC17="","",AC17*AD17)</f>
        <v>0.595</v>
      </c>
      <c r="AF17" s="124" t="n">
        <v>3.5</v>
      </c>
      <c r="AG17" s="125">
        <f>IFERROR(INDEX(WM_AC,MATCH($Y17,WM_KEY,0)),"")</f>
        <v>0.15</v>
      </c>
      <c r="AH17" s="126">
        <f>IF(AF17="","",AF17*AG17)</f>
        <v>0.525</v>
      </c>
      <c r="AI17" s="124" t="n">
        <v>2.5</v>
      </c>
      <c r="AJ17" s="125">
        <f>IFERROR(INDEX(WM_L,MATCH($Y17,WM_KEY,0)),"")</f>
        <v>0.05</v>
      </c>
      <c r="AK17" s="126">
        <f>IF(AI17="","",AI17*AJ17)</f>
        <v>0.125</v>
      </c>
      <c r="AL17" s="124" t="n">
        <v>10.5</v>
      </c>
      <c r="AM17" s="125">
        <f>IFERROR(INDEX(WM_E,MATCH($Y17,WM_KEY,0)),"")</f>
        <v>0.1</v>
      </c>
      <c r="AN17" s="126">
        <f>IF(AL17="","",AL17*AM17)</f>
        <v>1.05</v>
      </c>
      <c r="AO17" s="127" t="n">
        <v>4</v>
      </c>
      <c r="AP17" s="125">
        <f>IFERROR(INDEX(WM_BI,MATCH($Y17,WM_KEY,0)),"")</f>
        <v>0.07</v>
      </c>
      <c r="AQ17" s="126">
        <f>IF(AO17="","",AO17*AP17)</f>
        <v>0.28</v>
      </c>
      <c r="AR17" s="126">
        <f>IF(COUNT(AB17,AE17,AH17,AK17,AN17,AQ17)&lt;6,"",SUM(AB17,AE17,AH17,AK17,AN17,AQ17))</f>
        <v>4.185</v>
      </c>
      <c r="AS17" s="128" t="str">
        <f>IF(AR17="","",INDEX({"A1","A2","A3","B1","B2","B3","C1","C2","D1","D2","E1","E2"},MAX(1,MIN(12,ROUND(AR17,0)))))</f>
        <v>B1</v>
      </c>
      <c r="AT17" s="129"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7" s="130" t="inlineStr">
        <is>
          <r>
            <rPr>
              <rFont val="Calibri"/>
              <b val="1"/>
              <sz val="10"/>
            </rPr>
            <t>At build:</t>
          </r>
          <r>
            <rPr>
              <rFont val="Calibri"/>
              <sz val="10"/>
            </rPr>
            <t xml:space="preserve"> Complexity 1.61 + Autonomy 0.60 + Accountability 0.53 + Leadership 0.12 + Experience 1.05 + Business impact 0.28
= 4.19 points → nearest level 4 = B1
</t>
          </r>
          <r>
            <rPr>
              <rFont val="Calibri"/>
              <b val="1"/>
              <sz val="10"/>
            </rPr>
            <t>Final level:</t>
          </r>
          <r>
            <rPr>
              <rFont val="Calibri"/>
              <sz val="10"/>
            </rPr>
            <t xml:space="preserve"> B1 · same as the score</t>
          </r>
        </is>
      </c>
      <c r="AV17" s="130" t="inlineStr">
        <is>
          <r>
            <rPr>
              <rFont val="Calibri"/>
              <b val="1"/>
              <sz val="10"/>
            </rPr>
            <t>No rule applied:</t>
          </r>
          <r>
            <rPr>
              <rFont val="Calibri"/>
              <sz val="10"/>
            </rPr>
            <t xml:space="preserve"> the score decides.</t>
          </r>
        </is>
      </c>
      <c r="AW17"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Maintains client master and price data with Access queries; daily tasks and reports → moved down 0.5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A3 = Varied and non-standard work; handles exceptions · B1 = Domain specialist work</t>
          </r>
        </is>
      </c>
      <c r="AX17"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Names only client work and new updates; no team or method decisions → moved down 0.5
</t>
          </r>
          <r>
            <rPr>
              <rFont val="Calibri"/>
              <b val="1"/>
              <sz val="10"/>
            </rPr>
            <t>Market:</t>
          </r>
          <r>
            <rPr>
              <rFont val="Calibri"/>
              <sz val="10"/>
            </rPr>
            <t xml:space="preserve"> A3 = Technical / QC / client calls on own work · B1 = Technical / QC / client calls for the domain</t>
          </r>
        </is>
      </c>
      <c r="AY17"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Accuracy of master data sent to clients; own daily reports → moved down 0.5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A3 = A module / process, or work with client or regulatory consequences · B1 = A domain or a small team</t>
          </r>
        </is>
      </c>
      <c r="AZ17" s="132"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leading, reviewing or guiding described; 0 direct reports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7" s="132" t="inlineStr">
        <is>
          <r>
            <rPr>
              <rFont val="Calibri"/>
              <sz val="10"/>
            </rPr>
            <t xml:space="preserve">Rated 10.5 of 12 · between D2 and E1
</t>
          </r>
          <r>
            <rPr>
              <rFont val="Calibri"/>
              <b val="1"/>
              <sz val="10"/>
            </rPr>
            <t>Experience:</t>
          </r>
          <r>
            <rPr>
              <rFont val="Calibri"/>
              <sz val="10"/>
            </rPr>
            <t xml:space="preserve"> 22.3 yrs total · 0.4 before IRIS + 21.9 at IRIS = 10.4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7" s="132"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7" s="138" t="inlineStr"/>
      <c r="BD17" s="134" t="inlineStr">
        <is>
          <t>✓ HRIS: 22.3 yrs, B.Com, 0 direct reports
✓ Survey: 20 of 20 questions answered
✓ KRAs: self, manager-set, quarterly
✓ Manager mapping: rating, potential, 9-box
✗ Job description: not on file</t>
        </is>
      </c>
      <c r="BE17"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Data Analyst
</t>
          </r>
          <r>
            <rPr>
              <rFont val="Calibri"/>
              <b val="1"/>
              <sz val="10"/>
            </rPr>
            <t>At peers:</t>
          </r>
          <r>
            <rPr>
              <rFont val="Calibri"/>
              <sz val="10"/>
            </rPr>
            <t xml:space="preserve"> Atlassian company-wide P-levels – P40 · IRIS Vs Competitor Benchmark — data analyst ladder: Senior Data Analyst
</t>
          </r>
          <r>
            <rPr>
              <rFont val="Calibri"/>
              <b val="1"/>
              <sz val="10"/>
            </rPr>
            <t>Typical experience:</t>
          </r>
          <r>
            <rPr>
              <rFont val="Calibri"/>
              <sz val="10"/>
            </rPr>
            <t xml:space="preserve"> 4–8 yrs · IRIS guide 4–7
</t>
          </r>
          <r>
            <rPr>
              <rFont val="Calibri"/>
              <b val="1"/>
              <sz val="10"/>
            </rPr>
            <t>Standard:</t>
          </r>
          <r>
            <rPr>
              <rFont val="Calibri"/>
              <sz val="10"/>
            </rPr>
            <t xml:space="preserve"> DAMA-DMBOK</t>
          </r>
        </is>
      </c>
      <c r="BF17" s="134" t="inlineStr">
        <is>
          <t>Medium</t>
        </is>
      </c>
      <c r="BG17" s="134" t="inlineStr">
        <is>
          <t>• Work described is smaller than the current designation suggests — manager to confirm the actual role
• Final level B1 is below the current level · L5 ≈ B3 — manager to confirm the scope of the role; pay and title are protected for one cycle</t>
        </is>
      </c>
      <c r="BH17" s="134" t="inlineStr"/>
      <c r="BI17" s="135" t="n"/>
      <c r="BJ17" s="136" t="n"/>
      <c r="BK17" s="136" t="n"/>
      <c r="BL17" s="136" t="n"/>
      <c r="BM17" s="136" t="n"/>
      <c r="BN17" s="137" t="n"/>
      <c r="BO17" s="120" t="n"/>
      <c r="BP17" s="120" t="n"/>
      <c r="BQ17" s="120" t="n"/>
      <c r="BR17" s="120" t="n"/>
      <c r="BS17" s="120" t="n"/>
      <c r="BT17" s="120" t="n"/>
      <c r="BU17" s="120" t="n"/>
      <c r="BV17" s="120" t="n">
        <v>4</v>
      </c>
    </row>
    <row r="18" ht="340" customHeight="1">
      <c r="A18" s="109" t="inlineStr">
        <is>
          <t>IRIS1743</t>
        </is>
      </c>
      <c r="B18" s="110" t="inlineStr">
        <is>
          <t>Akash Dubey</t>
        </is>
      </c>
      <c r="C18" s="111" t="inlineStr">
        <is>
          <t>India Content</t>
        </is>
      </c>
      <c r="D18" s="111" t="inlineStr">
        <is>
          <t>Gopal Krishna Sahu</t>
        </is>
      </c>
      <c r="E18" s="112" t="n">
        <v>8.1</v>
      </c>
      <c r="F18" s="112" t="n">
        <v>8.1</v>
      </c>
      <c r="G18" s="111" t="inlineStr">
        <is>
          <t>M.Com</t>
        </is>
      </c>
      <c r="H18" s="113" t="inlineStr">
        <is>
          <t>Data Analyst</t>
        </is>
      </c>
      <c r="I18" s="114" t="inlineStr">
        <is>
          <t>Senior Data Analyst</t>
        </is>
      </c>
      <c r="J18" s="115" t="inlineStr">
        <is>
          <t>Data &amp; Analytics</t>
        </is>
      </c>
      <c r="K18" s="115" t="inlineStr">
        <is>
          <t>Financial Data Processing</t>
        </is>
      </c>
      <c r="L18" s="114" t="inlineStr">
        <is>
          <t>L3 – Professional / Associate</t>
        </is>
      </c>
      <c r="M18" s="116" t="inlineStr">
        <is>
          <t>A3</t>
        </is>
      </c>
      <c r="N18" s="139" t="inlineStr">
        <is>
          <t>Senior Associate</t>
        </is>
      </c>
      <c r="O18" s="26" t="inlineStr">
        <is>
          <t>A</t>
        </is>
      </c>
      <c r="P18" s="115" t="inlineStr">
        <is>
          <t>IC</t>
        </is>
      </c>
      <c r="Q18" s="117" t="inlineStr">
        <is>
          <t>▲ Up</t>
        </is>
      </c>
      <c r="R18"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1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Trusted Professional.</t>
          </r>
        </is>
      </c>
      <c r="T18" s="120" t="n"/>
      <c r="U18"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18"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18"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18"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 s="123" t="inlineStr">
        <is>
          <t>Consume · India Content · Band A · Early career</t>
        </is>
      </c>
      <c r="Z18" s="124" t="n">
        <v>2</v>
      </c>
      <c r="AA18" s="125">
        <f>IFERROR(INDEX(WM_C,MATCH($Y18,WM_KEY,0)),"")</f>
        <v>0.54</v>
      </c>
      <c r="AB18" s="126">
        <f>IF(Z18="","",Z18*AA18)</f>
        <v>1.08</v>
      </c>
      <c r="AC18" s="124" t="n">
        <v>2</v>
      </c>
      <c r="AD18" s="125">
        <f>IFERROR(INDEX(WM_AU,MATCH($Y18,WM_KEY,0)),"")</f>
        <v>0.16</v>
      </c>
      <c r="AE18" s="126">
        <f>IF(AC18="","",AC18*AD18)</f>
        <v>0.32</v>
      </c>
      <c r="AF18" s="124" t="n">
        <v>2</v>
      </c>
      <c r="AG18" s="125">
        <f>IFERROR(INDEX(WM_AC,MATCH($Y18,WM_KEY,0)),"")</f>
        <v>0.14</v>
      </c>
      <c r="AH18" s="126">
        <f>IF(AF18="","",AF18*AG18)</f>
        <v>0.28</v>
      </c>
      <c r="AI18" s="124" t="n">
        <v>1</v>
      </c>
      <c r="AJ18" s="125">
        <f>IFERROR(INDEX(WM_L,MATCH($Y18,WM_KEY,0)),"")</f>
        <v>0</v>
      </c>
      <c r="AK18" s="126">
        <f>IF(AI18="","",AI18*AJ18)</f>
        <v>0</v>
      </c>
      <c r="AL18" s="124" t="n">
        <v>5.5</v>
      </c>
      <c r="AM18" s="125">
        <f>IFERROR(INDEX(WM_E,MATCH($Y18,WM_KEY,0)),"")</f>
        <v>0.1</v>
      </c>
      <c r="AN18" s="126">
        <f>IF(AL18="","",AL18*AM18)</f>
        <v>0.55</v>
      </c>
      <c r="AO18" s="127" t="n">
        <v>2.5</v>
      </c>
      <c r="AP18" s="125">
        <f>IFERROR(INDEX(WM_BI,MATCH($Y18,WM_KEY,0)),"")</f>
        <v>0.06</v>
      </c>
      <c r="AQ18" s="126">
        <f>IF(AO18="","",AO18*AP18)</f>
        <v>0.15</v>
      </c>
      <c r="AR18" s="126">
        <f>IF(COUNT(AB18,AE18,AH18,AK18,AN18,AQ18)&lt;6,"",SUM(AB18,AE18,AH18,AK18,AN18,AQ18))</f>
        <v>2.38</v>
      </c>
      <c r="AS18" s="128" t="str">
        <f>IF(AR18="","",INDEX({"A1","A2","A3","B1","B2","B3","C1","C2","D1","D2","E1","E2"},MAX(1,MIN(12,ROUND(AR18,0)))))</f>
        <v>A2</v>
      </c>
      <c r="AT18"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8" s="130" t="inlineStr">
        <is>
          <r>
            <rPr>
              <rFont val="Calibri"/>
              <b val="1"/>
              <sz val="10"/>
            </rPr>
            <t>At build:</t>
          </r>
          <r>
            <rPr>
              <rFont val="Calibri"/>
              <sz val="10"/>
            </rPr>
            <t xml:space="preserve"> Complexity 1.08 + Autonomy 0.32 + Accountability 0.28 + Leadership 0.00 + Experience 0.55 + Business impact 0.15
= 2.38 points → nearest level 2 = A2
</t>
          </r>
          <r>
            <rPr>
              <rFont val="Calibri"/>
              <b val="1"/>
              <sz val="10"/>
            </rPr>
            <t>Final level:</t>
          </r>
          <r>
            <rPr>
              <rFont val="Calibri"/>
              <sz val="10"/>
            </rPr>
            <t xml:space="preserve"> A3 · a rule applied: see the next column</t>
          </r>
        </is>
      </c>
      <c r="AV18" s="130" t="inlineStr">
        <is>
          <r>
            <rPr>
              <rFont val="Calibri"/>
              <sz val="10"/>
            </rPr>
            <t xml:space="preserve">• </t>
          </r>
          <r>
            <rPr>
              <rFont val="Calibri"/>
              <b val="1"/>
              <sz val="10"/>
            </rPr>
            <t>Raised to A3:</t>
          </r>
          <r>
            <rPr>
              <rFont val="Calibri"/>
              <sz val="10"/>
            </rPr>
            <t xml:space="preserve"> 8.1 years' experience is 2 years or more.
</t>
          </r>
          <r>
            <rPr>
              <rFont val="Calibri"/>
              <b val="1"/>
              <sz val="10"/>
            </rPr>
            <t>Final level:</t>
          </r>
          <r>
            <rPr>
              <rFont val="Calibri"/>
              <sz val="10"/>
            </rPr>
            <t xml:space="preserve"> A3.</t>
          </r>
        </is>
      </c>
      <c r="AW1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Collects and validates mutual fund data from several sources; prepares client-specific NAV/returns reports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Standard work of the discipline</t>
          </r>
        </is>
      </c>
      <c r="AX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Independently collects data per requirements and process; KRA says escalate discrepancies to seniors → matches the start
</t>
          </r>
          <r>
            <rPr>
              <rFont val="Calibri"/>
              <b val="1"/>
              <sz val="10"/>
            </rPr>
            <t>Market:</t>
          </r>
          <r>
            <rPr>
              <rFont val="Calibri"/>
              <sz val="10"/>
            </rPr>
            <t xml:space="preserve"> A2 = Chooses own approach within standards</t>
          </r>
        </is>
      </c>
      <c r="AY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Own deliverables · accuracy, TAT</t>
          </r>
        </is>
      </c>
      <c r="AZ1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8" s="132" t="inlineStr">
        <is>
          <r>
            <rPr>
              <rFont val="Calibri"/>
              <sz val="10"/>
            </rPr>
            <t xml:space="preserve">Rated 5.5 of 12 · between B2 and B3
</t>
          </r>
          <r>
            <rPr>
              <rFont val="Calibri"/>
              <b val="1"/>
              <sz val="10"/>
            </rPr>
            <t>Experience:</t>
          </r>
          <r>
            <rPr>
              <rFont val="Calibri"/>
              <sz val="10"/>
            </rPr>
            <t xml:space="preserve"> 8.1 yrs total · 8.1 at IRIS; none recorded before IRIS = 5.2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A3 roles typically have 2–5 yrs · IRIS guide 2–4</t>
          </r>
        </is>
      </c>
      <c r="BB18"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8" s="138" t="inlineStr"/>
      <c r="BD18" s="134" t="inlineStr">
        <is>
          <t>✓ HRIS: 8.1 yrs, M.Com, 0 direct reports
✓ Survey: 20 of 20 questions answered
✓ KRAs: self, manager-set, quarterly
✓ Manager mapping: rating, potential, 9-box
✗ Job description: not on file</t>
        </is>
      </c>
      <c r="BE18"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18" s="134" t="inlineStr">
        <is>
          <t>High</t>
        </is>
      </c>
      <c r="BG18" s="134" t="inlineStr">
        <is>
          <t>• 8.1 yrs of experience in a role that reads as Band A work — a career-path question for the manager: can the role be widened · Specialist, B1 or is it correctly sized?</t>
        </is>
      </c>
      <c r="BH18" s="134" t="inlineStr"/>
      <c r="BI18" s="135" t="n"/>
      <c r="BJ18" s="136" t="n"/>
      <c r="BK18" s="136" t="n"/>
      <c r="BL18" s="136" t="n"/>
      <c r="BM18" s="136" t="n"/>
      <c r="BN18" s="137" t="n"/>
      <c r="BO18" s="120" t="n"/>
      <c r="BP18" s="120" t="n"/>
      <c r="BQ18" s="120" t="n"/>
      <c r="BR18" s="120" t="n"/>
      <c r="BS18" s="120" t="n"/>
      <c r="BT18" s="120" t="n"/>
      <c r="BU18" s="120" t="n"/>
      <c r="BV18" s="120" t="n">
        <v>2.5</v>
      </c>
    </row>
    <row r="19" ht="340" customHeight="1">
      <c r="A19" s="109" t="inlineStr">
        <is>
          <t>IRIS1710</t>
        </is>
      </c>
      <c r="B19" s="110" t="inlineStr">
        <is>
          <t>John Mariakulandai</t>
        </is>
      </c>
      <c r="C19" s="111" t="inlineStr">
        <is>
          <t>India Content</t>
        </is>
      </c>
      <c r="D19" s="111" t="inlineStr">
        <is>
          <t>Gopal Krishna Sahu</t>
        </is>
      </c>
      <c r="E19" s="112" t="n">
        <v>17.4</v>
      </c>
      <c r="F19" s="112" t="n">
        <v>8.6</v>
      </c>
      <c r="G19" s="111" t="inlineStr">
        <is>
          <t>B.Com</t>
        </is>
      </c>
      <c r="H19" s="113" t="inlineStr">
        <is>
          <t>Data Analyst</t>
        </is>
      </c>
      <c r="I19" s="114" t="inlineStr">
        <is>
          <t>Senior Data Analyst</t>
        </is>
      </c>
      <c r="J19" s="115" t="inlineStr">
        <is>
          <t>Data &amp; Analytics</t>
        </is>
      </c>
      <c r="K19" s="115" t="inlineStr">
        <is>
          <t>Financial Data Processing</t>
        </is>
      </c>
      <c r="L19" s="114" t="inlineStr">
        <is>
          <t>L3 – Professional / Associate</t>
        </is>
      </c>
      <c r="M19" s="116" t="inlineStr">
        <is>
          <t>A3</t>
        </is>
      </c>
      <c r="N19" s="139" t="inlineStr">
        <is>
          <t>Senior Associate</t>
        </is>
      </c>
      <c r="O19" s="26" t="inlineStr">
        <is>
          <t>A</t>
        </is>
      </c>
      <c r="P19" s="115" t="inlineStr">
        <is>
          <t>IC</t>
        </is>
      </c>
      <c r="Q19" s="117" t="inlineStr">
        <is>
          <t>▲ Up</t>
        </is>
      </c>
      <c r="R19"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1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work only this person does: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High Impact / Growth Talent.</t>
          </r>
        </is>
      </c>
      <c r="T19" s="120" t="n"/>
      <c r="U19"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19"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19"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19"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 s="123" t="inlineStr">
        <is>
          <t>Consume · India Content · Band A · Early career</t>
        </is>
      </c>
      <c r="Z19" s="124" t="n">
        <v>2</v>
      </c>
      <c r="AA19" s="125">
        <f>IFERROR(INDEX(WM_C,MATCH($Y19,WM_KEY,0)),"")</f>
        <v>0.54</v>
      </c>
      <c r="AB19" s="126">
        <f>IF(Z19="","",Z19*AA19)</f>
        <v>1.08</v>
      </c>
      <c r="AC19" s="124" t="n">
        <v>2</v>
      </c>
      <c r="AD19" s="125">
        <f>IFERROR(INDEX(WM_AU,MATCH($Y19,WM_KEY,0)),"")</f>
        <v>0.16</v>
      </c>
      <c r="AE19" s="126">
        <f>IF(AC19="","",AC19*AD19)</f>
        <v>0.32</v>
      </c>
      <c r="AF19" s="124" t="n">
        <v>2</v>
      </c>
      <c r="AG19" s="125">
        <f>IFERROR(INDEX(WM_AC,MATCH($Y19,WM_KEY,0)),"")</f>
        <v>0.14</v>
      </c>
      <c r="AH19" s="126">
        <f>IF(AF19="","",AF19*AG19)</f>
        <v>0.28</v>
      </c>
      <c r="AI19" s="124" t="n">
        <v>1</v>
      </c>
      <c r="AJ19" s="125">
        <f>IFERROR(INDEX(WM_L,MATCH($Y19,WM_KEY,0)),"")</f>
        <v>0</v>
      </c>
      <c r="AK19" s="126">
        <f>IF(AI19="","",AI19*AJ19)</f>
        <v>0</v>
      </c>
      <c r="AL19" s="124" t="n">
        <v>9</v>
      </c>
      <c r="AM19" s="125">
        <f>IFERROR(INDEX(WM_E,MATCH($Y19,WM_KEY,0)),"")</f>
        <v>0.1</v>
      </c>
      <c r="AN19" s="126">
        <f>IF(AL19="","",AL19*AM19)</f>
        <v>0.9</v>
      </c>
      <c r="AO19" s="127" t="n">
        <v>3</v>
      </c>
      <c r="AP19" s="125">
        <f>IFERROR(INDEX(WM_BI,MATCH($Y19,WM_KEY,0)),"")</f>
        <v>0.06</v>
      </c>
      <c r="AQ19" s="126">
        <f>IF(AO19="","",AO19*AP19)</f>
        <v>0.18</v>
      </c>
      <c r="AR19" s="126">
        <f>IF(COUNT(AB19,AE19,AH19,AK19,AN19,AQ19)&lt;6,"",SUM(AB19,AE19,AH19,AK19,AN19,AQ19))</f>
        <v>2.76</v>
      </c>
      <c r="AS19" s="128" t="str">
        <f>IF(AR19="","",INDEX({"A1","A2","A3","B1","B2","B3","C1","C2","D1","D2","E1","E2"},MAX(1,MIN(12,ROUND(AR19,0)))))</f>
        <v>A3</v>
      </c>
      <c r="AT19"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9" s="130" t="inlineStr">
        <is>
          <r>
            <rPr>
              <rFont val="Calibri"/>
              <b val="1"/>
              <sz val="10"/>
            </rPr>
            <t>At build:</t>
          </r>
          <r>
            <rPr>
              <rFont val="Calibri"/>
              <sz val="10"/>
            </rPr>
            <t xml:space="preserve"> Complexity 1.08 + Autonomy 0.32 + Accountability 0.28 + Leadership 0.00 + Experience 0.90 + Business impact 0.18
= 2.76 points → nearest level 3 = A3
</t>
          </r>
          <r>
            <rPr>
              <rFont val="Calibri"/>
              <b val="1"/>
              <sz val="10"/>
            </rPr>
            <t>Final level:</t>
          </r>
          <r>
            <rPr>
              <rFont val="Calibri"/>
              <sz val="10"/>
            </rPr>
            <t xml:space="preserve"> A3 · same as the score</t>
          </r>
        </is>
      </c>
      <c r="AV19" s="130" t="inlineStr">
        <is>
          <r>
            <rPr>
              <rFont val="Calibri"/>
              <b val="1"/>
              <sz val="10"/>
            </rPr>
            <t>No rule applied:</t>
          </r>
          <r>
            <rPr>
              <rFont val="Calibri"/>
              <sz val="10"/>
            </rPr>
            <t xml:space="preserve"> the score decides.</t>
          </r>
        </is>
      </c>
      <c r="AW1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Updates mutual fund scheme details daily and sends the feed to the client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Standard work of the discipline</t>
          </r>
        </is>
      </c>
      <c r="AX1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'mutual fund data' named; KRA requires escalating discrepancies to seniors → matches the start
</t>
          </r>
          <r>
            <rPr>
              <rFont val="Calibri"/>
              <b val="1"/>
              <sz val="10"/>
            </rPr>
            <t>Market:</t>
          </r>
          <r>
            <rPr>
              <rFont val="Calibri"/>
              <sz val="10"/>
            </rPr>
            <t xml:space="preserve"> A2 = Chooses own approach within standards</t>
          </r>
        </is>
      </c>
      <c r="AY1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Accurate own data to client, who loads it to a portal for transactions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Own deliverables · accuracy, TAT</t>
          </r>
        </is>
      </c>
      <c r="AZ1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 s="132" t="inlineStr">
        <is>
          <r>
            <rPr>
              <rFont val="Calibri"/>
              <sz val="10"/>
            </rPr>
            <t xml:space="preserve">Rated 9 of 12
</t>
          </r>
          <r>
            <rPr>
              <rFont val="Calibri"/>
              <b val="1"/>
              <sz val="10"/>
            </rPr>
            <t>Experience:</t>
          </r>
          <r>
            <rPr>
              <rFont val="Calibri"/>
              <sz val="10"/>
            </rPr>
            <t xml:space="preserve"> 17.4 yrs total · 8.8 before IRIS + 8.6 at IRIS = 9.0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9" s="132" t="inlineStr">
        <is>
          <r>
            <rPr>
              <rFont val="Calibri"/>
              <sz val="10"/>
            </rPr>
            <t xml:space="preserve">Rated 3 of 12 — a starting estimate.
</t>
          </r>
          <r>
            <rPr>
              <rFont val="Calibri"/>
              <b val="1"/>
              <sz val="10"/>
            </rPr>
            <t>Start:</t>
          </r>
          <r>
            <rPr>
              <rFont val="Calibri"/>
              <sz val="10"/>
            </rPr>
            <t xml:space="preserve"> 2,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9" s="138" t="inlineStr"/>
      <c r="BD19" s="134" t="inlineStr">
        <is>
          <t>✓ HRIS: 17.4 yrs, B.Com, 0 direct reports
✓ Survey: 20 of 20 questions answered
✓ KRAs: self, manager-set, quarterly
✓ Manager mapping: rating, potential, 9-box
✗ Job description: not on file</t>
        </is>
      </c>
      <c r="BE19"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19" s="134" t="inlineStr">
        <is>
          <t>Medium</t>
        </is>
      </c>
      <c r="BG19" s="134" t="inlineStr">
        <is>
          <t>• 17.4 yrs of experience in a role that reads as Band A work — a career-path question for the manager: can the role be widened · Specialist, B1 or is it correctly sized?</t>
        </is>
      </c>
      <c r="BH19" s="134" t="inlineStr"/>
      <c r="BI19" s="135" t="n"/>
      <c r="BJ19" s="136" t="n"/>
      <c r="BK19" s="136" t="n"/>
      <c r="BL19" s="136" t="n"/>
      <c r="BM19" s="136" t="n"/>
      <c r="BN19" s="137" t="n"/>
      <c r="BO19" s="120" t="n"/>
      <c r="BP19" s="120" t="n"/>
      <c r="BQ19" s="120" t="n"/>
      <c r="BR19" s="120" t="n"/>
      <c r="BS19" s="120" t="n"/>
      <c r="BT19" s="120" t="n"/>
      <c r="BU19" s="120" t="n"/>
      <c r="BV19" s="120" t="n">
        <v>3</v>
      </c>
    </row>
    <row r="20" ht="340" customHeight="1">
      <c r="A20" s="109" t="inlineStr">
        <is>
          <t>IRIS0091</t>
        </is>
      </c>
      <c r="B20" s="110" t="inlineStr">
        <is>
          <t>Neelam Kadam</t>
        </is>
      </c>
      <c r="C20" s="111" t="inlineStr">
        <is>
          <t>India Content</t>
        </is>
      </c>
      <c r="D20" s="111" t="inlineStr">
        <is>
          <t>Gopal Krishna Sahu</t>
        </is>
      </c>
      <c r="E20" s="112" t="n">
        <v>19.4</v>
      </c>
      <c r="F20" s="112" t="n">
        <v>19.4</v>
      </c>
      <c r="G20" s="111" t="inlineStr">
        <is>
          <t>B.Com</t>
        </is>
      </c>
      <c r="H20" s="113" t="inlineStr">
        <is>
          <t>Data Analyst</t>
        </is>
      </c>
      <c r="I20" s="114" t="inlineStr">
        <is>
          <t>Senior Data Analyst</t>
        </is>
      </c>
      <c r="J20" s="115" t="inlineStr">
        <is>
          <t>Data &amp; Analytics</t>
        </is>
      </c>
      <c r="K20" s="115" t="inlineStr">
        <is>
          <t>Financial Data Processing</t>
        </is>
      </c>
      <c r="L20" s="114" t="inlineStr">
        <is>
          <t>L3 – Professional / Associate</t>
        </is>
      </c>
      <c r="M20" s="116" t="inlineStr">
        <is>
          <t>A3</t>
        </is>
      </c>
      <c r="N20" s="139" t="inlineStr">
        <is>
          <t>Senior Associate</t>
        </is>
      </c>
      <c r="O20" s="26" t="inlineStr">
        <is>
          <t>A</t>
        </is>
      </c>
      <c r="P20" s="115" t="inlineStr">
        <is>
          <t>IC</t>
        </is>
      </c>
      <c r="Q20" s="117" t="inlineStr">
        <is>
          <t>▲ Up</t>
        </is>
      </c>
      <c r="R20"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2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work only this person does: no;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2 · Potential: Medium · 9-Box Grid placement: Trusted Professional.</t>
          </r>
        </is>
      </c>
      <c r="T20" s="120" t="n"/>
      <c r="U20"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20"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20"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20"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 s="123" t="inlineStr">
        <is>
          <t>Consume · India Content · Band A · Early career</t>
        </is>
      </c>
      <c r="Z20" s="124" t="n">
        <v>2</v>
      </c>
      <c r="AA20" s="125">
        <f>IFERROR(INDEX(WM_C,MATCH($Y20,WM_KEY,0)),"")</f>
        <v>0.54</v>
      </c>
      <c r="AB20" s="126">
        <f>IF(Z20="","",Z20*AA20)</f>
        <v>1.08</v>
      </c>
      <c r="AC20" s="124" t="n">
        <v>2</v>
      </c>
      <c r="AD20" s="125">
        <f>IFERROR(INDEX(WM_AU,MATCH($Y20,WM_KEY,0)),"")</f>
        <v>0.16</v>
      </c>
      <c r="AE20" s="126">
        <f>IF(AC20="","",AC20*AD20)</f>
        <v>0.32</v>
      </c>
      <c r="AF20" s="124" t="n">
        <v>2</v>
      </c>
      <c r="AG20" s="125">
        <f>IFERROR(INDEX(WM_AC,MATCH($Y20,WM_KEY,0)),"")</f>
        <v>0.14</v>
      </c>
      <c r="AH20" s="126">
        <f>IF(AF20="","",AF20*AG20)</f>
        <v>0.28</v>
      </c>
      <c r="AI20" s="124" t="n">
        <v>1</v>
      </c>
      <c r="AJ20" s="125">
        <f>IFERROR(INDEX(WM_L,MATCH($Y20,WM_KEY,0)),"")</f>
        <v>0</v>
      </c>
      <c r="AK20" s="126">
        <f>IF(AI20="","",AI20*AJ20)</f>
        <v>0</v>
      </c>
      <c r="AL20" s="124" t="n">
        <v>9.5</v>
      </c>
      <c r="AM20" s="125">
        <f>IFERROR(INDEX(WM_E,MATCH($Y20,WM_KEY,0)),"")</f>
        <v>0.1</v>
      </c>
      <c r="AN20" s="126">
        <f>IF(AL20="","",AL20*AM20)</f>
        <v>0.95</v>
      </c>
      <c r="AO20" s="127" t="n">
        <v>2.5</v>
      </c>
      <c r="AP20" s="125">
        <f>IFERROR(INDEX(WM_BI,MATCH($Y20,WM_KEY,0)),"")</f>
        <v>0.06</v>
      </c>
      <c r="AQ20" s="126">
        <f>IF(AO20="","",AO20*AP20)</f>
        <v>0.15</v>
      </c>
      <c r="AR20" s="126">
        <f>IF(COUNT(AB20,AE20,AH20,AK20,AN20,AQ20)&lt;6,"",SUM(AB20,AE20,AH20,AK20,AN20,AQ20))</f>
        <v>2.78</v>
      </c>
      <c r="AS20" s="128" t="str">
        <f>IF(AR20="","",INDEX({"A1","A2","A3","B1","B2","B3","C1","C2","D1","D2","E1","E2"},MAX(1,MIN(12,ROUND(AR20,0)))))</f>
        <v>A3</v>
      </c>
      <c r="AT20"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0" s="130" t="inlineStr">
        <is>
          <r>
            <rPr>
              <rFont val="Calibri"/>
              <b val="1"/>
              <sz val="10"/>
            </rPr>
            <t>At build:</t>
          </r>
          <r>
            <rPr>
              <rFont val="Calibri"/>
              <sz val="10"/>
            </rPr>
            <t xml:space="preserve"> Complexity 1.08 + Autonomy 0.32 + Accountability 0.28 + Leadership 0.00 + Experience 0.95 + Business impact 0.15
= 2.78 points → nearest level 3 = A3
</t>
          </r>
          <r>
            <rPr>
              <rFont val="Calibri"/>
              <b val="1"/>
              <sz val="10"/>
            </rPr>
            <t>Final level:</t>
          </r>
          <r>
            <rPr>
              <rFont val="Calibri"/>
              <sz val="10"/>
            </rPr>
            <t xml:space="preserve"> A3 · same as the score</t>
          </r>
        </is>
      </c>
      <c r="AV20" s="130" t="inlineStr">
        <is>
          <r>
            <rPr>
              <rFont val="Calibri"/>
              <b val="1"/>
              <sz val="10"/>
            </rPr>
            <t>No rule applied:</t>
          </r>
          <r>
            <rPr>
              <rFont val="Calibri"/>
              <sz val="10"/>
            </rPr>
            <t xml:space="preserve"> the score decides.</t>
          </r>
        </is>
      </c>
      <c r="AW20" s="144"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Complete assigned tasks with 99.99% accuracy. 2. Do all the client delivery on time with 100% accuracy. 3. Maintain all log files for…”
</t>
          </r>
          <r>
            <rPr>
              <rFont val="Calibri"/>
              <b val="1"/>
              <color rgb="009C0006"/>
              <sz val="10"/>
            </rPr>
            <t>Market:</t>
          </r>
          <r>
            <rPr>
              <rFont val="Calibri"/>
              <color rgb="009C0006"/>
              <sz val="10"/>
            </rPr>
            <t xml:space="preserve"> A2 = Standard work of the discipline</t>
          </r>
        </is>
      </c>
      <c r="AX20"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20"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Complete assigned tasks with 99.99% accuracy. 2. Do all the client delivery on time with 100% accuracy. 3. Maintain all log files for…”
</t>
          </r>
          <r>
            <rPr>
              <rFont val="Calibri"/>
              <b val="1"/>
              <color rgb="009C0006"/>
              <sz val="10"/>
            </rPr>
            <t>Market:</t>
          </r>
          <r>
            <rPr>
              <rFont val="Calibri"/>
              <color rgb="009C0006"/>
              <sz val="10"/>
            </rPr>
            <t xml:space="preserve"> A2 = Own deliverables · accuracy, TAT</t>
          </r>
        </is>
      </c>
      <c r="AZ20" s="145"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20" s="132" t="inlineStr">
        <is>
          <r>
            <rPr>
              <rFont val="Calibri"/>
              <sz val="10"/>
            </rPr>
            <t xml:space="preserve">Rated 9.5 of 12 · between D1 and D2
</t>
          </r>
          <r>
            <rPr>
              <rFont val="Calibri"/>
              <b val="1"/>
              <sz val="10"/>
            </rPr>
            <t>Experience:</t>
          </r>
          <r>
            <rPr>
              <rFont val="Calibri"/>
              <sz val="10"/>
            </rPr>
            <t xml:space="preserve"> 19.4 yrs total · 19.4 at IRIS; none recorded before IRIS = 9.5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 s="138" t="inlineStr"/>
      <c r="BD20" s="134" t="inlineStr">
        <is>
          <t>✓ HRIS: 19.4 yrs, B.Com, 0 direct reports
✓ Survey: 19 of 20 questions answered
✓ KRAs: self, manager-set, quarterly
✓ Manager mapping: rating, potential, 9-box
✗ Job description: not on file</t>
        </is>
      </c>
      <c r="BE20"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20" s="134" t="inlineStr">
        <is>
          <t>Low</t>
        </is>
      </c>
      <c r="BG20" s="134" t="inlineStr">
        <is>
          <t>• Survey answers are generic or do not match the role — not used as evidence; manager input needed
• 19.4 yrs of experience in a role that reads as Band A work — a career-path question for the manager: can the role be widened · Specialist, B1 or is it correctly sized?</t>
        </is>
      </c>
      <c r="BH20" s="134" t="inlineStr"/>
      <c r="BI20" s="135" t="n"/>
      <c r="BJ20" s="136" t="n"/>
      <c r="BK20" s="136" t="n"/>
      <c r="BL20" s="136" t="n"/>
      <c r="BM20" s="136" t="n"/>
      <c r="BN20" s="137" t="n"/>
      <c r="BO20" s="120" t="n"/>
      <c r="BP20" s="120" t="n"/>
      <c r="BQ20" s="120" t="n"/>
      <c r="BR20" s="120" t="n"/>
      <c r="BS20" s="120" t="n"/>
      <c r="BT20" s="120" t="n"/>
      <c r="BU20" s="120" t="n"/>
      <c r="BV20" s="120" t="n">
        <v>2.5</v>
      </c>
    </row>
    <row r="21" ht="340" customHeight="1">
      <c r="A21" s="109" t="inlineStr">
        <is>
          <t>IRIS0065</t>
        </is>
      </c>
      <c r="B21" s="110" t="inlineStr">
        <is>
          <t>Nishikant Mhatre</t>
        </is>
      </c>
      <c r="C21" s="111" t="inlineStr">
        <is>
          <t>India Content</t>
        </is>
      </c>
      <c r="D21" s="111" t="inlineStr">
        <is>
          <t>Gopal Krishna Sahu</t>
        </is>
      </c>
      <c r="E21" s="112" t="n">
        <v>30.7</v>
      </c>
      <c r="F21" s="112" t="n">
        <v>19.7</v>
      </c>
      <c r="G21" s="111" t="inlineStr">
        <is>
          <t>B.Com</t>
        </is>
      </c>
      <c r="H21" s="113" t="inlineStr">
        <is>
          <t>Data Analyst</t>
        </is>
      </c>
      <c r="I21" s="114" t="inlineStr">
        <is>
          <t>Senior Data Analyst</t>
        </is>
      </c>
      <c r="J21" s="115" t="inlineStr">
        <is>
          <t>Data &amp; Analytics</t>
        </is>
      </c>
      <c r="K21" s="115" t="inlineStr">
        <is>
          <t>Financial Data Processing</t>
        </is>
      </c>
      <c r="L21" s="114" t="inlineStr">
        <is>
          <t>L3 – Professional / Associate</t>
        </is>
      </c>
      <c r="M21" s="116" t="inlineStr">
        <is>
          <t>A3</t>
        </is>
      </c>
      <c r="N21" s="139" t="inlineStr">
        <is>
          <t>Senior Associate</t>
        </is>
      </c>
      <c r="O21" s="26" t="inlineStr">
        <is>
          <t>A</t>
        </is>
      </c>
      <c r="P21" s="115" t="inlineStr">
        <is>
          <t>IC</t>
        </is>
      </c>
      <c r="Q21" s="117" t="inlineStr">
        <is>
          <t>▲ Up</t>
        </is>
      </c>
      <c r="R21"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2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Trusted Professional.</t>
          </r>
        </is>
      </c>
      <c r="T21" s="120" t="n"/>
      <c r="U21"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21"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21"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21"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 s="123" t="inlineStr">
        <is>
          <t>Consume · India Content · Band A · Early career</t>
        </is>
      </c>
      <c r="Z21" s="124" t="n">
        <v>2</v>
      </c>
      <c r="AA21" s="125">
        <f>IFERROR(INDEX(WM_C,MATCH($Y21,WM_KEY,0)),"")</f>
        <v>0.54</v>
      </c>
      <c r="AB21" s="126">
        <f>IF(Z21="","",Z21*AA21)</f>
        <v>1.08</v>
      </c>
      <c r="AC21" s="124" t="n">
        <v>2</v>
      </c>
      <c r="AD21" s="125">
        <f>IFERROR(INDEX(WM_AU,MATCH($Y21,WM_KEY,0)),"")</f>
        <v>0.16</v>
      </c>
      <c r="AE21" s="126">
        <f>IF(AC21="","",AC21*AD21)</f>
        <v>0.32</v>
      </c>
      <c r="AF21" s="124" t="n">
        <v>2</v>
      </c>
      <c r="AG21" s="125">
        <f>IFERROR(INDEX(WM_AC,MATCH($Y21,WM_KEY,0)),"")</f>
        <v>0.14</v>
      </c>
      <c r="AH21" s="126">
        <f>IF(AF21="","",AF21*AG21)</f>
        <v>0.28</v>
      </c>
      <c r="AI21" s="124" t="n">
        <v>1</v>
      </c>
      <c r="AJ21" s="125">
        <f>IFERROR(INDEX(WM_L,MATCH($Y21,WM_KEY,0)),"")</f>
        <v>0</v>
      </c>
      <c r="AK21" s="126">
        <f>IF(AI21="","",AI21*AJ21)</f>
        <v>0</v>
      </c>
      <c r="AL21" s="124" t="n">
        <v>12</v>
      </c>
      <c r="AM21" s="125">
        <f>IFERROR(INDEX(WM_E,MATCH($Y21,WM_KEY,0)),"")</f>
        <v>0.1</v>
      </c>
      <c r="AN21" s="126">
        <f>IF(AL21="","",AL21*AM21)</f>
        <v>1.2</v>
      </c>
      <c r="AO21" s="127" t="n">
        <v>2.5</v>
      </c>
      <c r="AP21" s="125">
        <f>IFERROR(INDEX(WM_BI,MATCH($Y21,WM_KEY,0)),"")</f>
        <v>0.06</v>
      </c>
      <c r="AQ21" s="126">
        <f>IF(AO21="","",AO21*AP21)</f>
        <v>0.15</v>
      </c>
      <c r="AR21" s="126">
        <f>IF(COUNT(AB21,AE21,AH21,AK21,AN21,AQ21)&lt;6,"",SUM(AB21,AE21,AH21,AK21,AN21,AQ21))</f>
        <v>3.03</v>
      </c>
      <c r="AS21" s="128" t="str">
        <f>IF(AR21="","",INDEX({"A1","A2","A3","B1","B2","B3","C1","C2","D1","D2","E1","E2"},MAX(1,MIN(12,ROUND(AR21,0)))))</f>
        <v>A3</v>
      </c>
      <c r="AT21"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1" s="130" t="inlineStr">
        <is>
          <r>
            <rPr>
              <rFont val="Calibri"/>
              <b val="1"/>
              <sz val="10"/>
            </rPr>
            <t>At build:</t>
          </r>
          <r>
            <rPr>
              <rFont val="Calibri"/>
              <sz val="10"/>
            </rPr>
            <t xml:space="preserve"> Complexity 1.08 + Autonomy 0.32 + Accountability 0.28 + Leadership 0.00 + Experience 1.20 + Business impact 0.15
= 3.03 points → nearest level 3 = A3
</t>
          </r>
          <r>
            <rPr>
              <rFont val="Calibri"/>
              <b val="1"/>
              <sz val="10"/>
            </rPr>
            <t>Final level:</t>
          </r>
          <r>
            <rPr>
              <rFont val="Calibri"/>
              <sz val="10"/>
            </rPr>
            <t xml:space="preserve"> A3 · same as the score</t>
          </r>
        </is>
      </c>
      <c r="AV21" s="130" t="inlineStr">
        <is>
          <r>
            <rPr>
              <rFont val="Calibri"/>
              <b val="1"/>
              <sz val="10"/>
            </rPr>
            <t>No rule applied:</t>
          </r>
          <r>
            <rPr>
              <rFont val="Calibri"/>
              <sz val="10"/>
            </rPr>
            <t xml:space="preserve"> the score decides.</t>
          </r>
        </is>
      </c>
      <c r="AW21" s="144"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Complete assigned tasks with 99.99% accuracy. 2. Do all the client delivery on time with 100% accuracy. 3. Maintain all log files for…”
</t>
          </r>
          <r>
            <rPr>
              <rFont val="Calibri"/>
              <b val="1"/>
              <color rgb="009C0006"/>
              <sz val="10"/>
            </rPr>
            <t>Market:</t>
          </r>
          <r>
            <rPr>
              <rFont val="Calibri"/>
              <color rgb="009C0006"/>
              <sz val="10"/>
            </rPr>
            <t xml:space="preserve"> A2 = Standard work of the discipline</t>
          </r>
        </is>
      </c>
      <c r="AX21"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21"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Complete assigned tasks with 99.99% accuracy. 2. Do all the client delivery on time with 100% accuracy. 3. Maintain all log files for…”
</t>
          </r>
          <r>
            <rPr>
              <rFont val="Calibri"/>
              <b val="1"/>
              <color rgb="009C0006"/>
              <sz val="10"/>
            </rPr>
            <t>Market:</t>
          </r>
          <r>
            <rPr>
              <rFont val="Calibri"/>
              <color rgb="009C0006"/>
              <sz val="10"/>
            </rPr>
            <t xml:space="preserve"> A2 = Own deliverables · accuracy, TAT</t>
          </r>
        </is>
      </c>
      <c r="AZ21" s="145"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21" s="132" t="inlineStr">
        <is>
          <r>
            <rPr>
              <rFont val="Calibri"/>
              <sz val="10"/>
            </rPr>
            <t xml:space="preserve">Rated 12 of 12
</t>
          </r>
          <r>
            <rPr>
              <rFont val="Calibri"/>
              <b val="1"/>
              <sz val="10"/>
            </rPr>
            <t>Experience:</t>
          </r>
          <r>
            <rPr>
              <rFont val="Calibri"/>
              <sz val="10"/>
            </rPr>
            <t xml:space="preserve"> 30.7 yrs total · 11.0 before IRIS + 19.7 at IRIS = 12.0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 s="138" t="inlineStr"/>
      <c r="BD21" s="134" t="inlineStr">
        <is>
          <t>✓ HRIS: 30.7 yrs, B.Com, 0 direct reports
✓ Survey: 20 of 20 questions answered
✓ KRAs: self, manager-set, quarterly
✓ Manager mapping: rating, potential, 9-box
✗ Job description: not on file</t>
        </is>
      </c>
      <c r="BE21"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21" s="134" t="inlineStr">
        <is>
          <t>Low</t>
        </is>
      </c>
      <c r="BG21" s="134" t="inlineStr">
        <is>
          <t>• Survey answers are generic or do not match the role — not used as evidence; manager input needed
• 30.7 yrs of experience in a role that reads as Band A work — a career-path question for the manager: can the role be widened · Specialist, B1 or is it correctly sized?</t>
        </is>
      </c>
      <c r="BH21" s="134" t="inlineStr"/>
      <c r="BI21" s="135" t="n"/>
      <c r="BJ21" s="136" t="n"/>
      <c r="BK21" s="136" t="n"/>
      <c r="BL21" s="136" t="n"/>
      <c r="BM21" s="136" t="n"/>
      <c r="BN21" s="137" t="n"/>
      <c r="BO21" s="120" t="n"/>
      <c r="BP21" s="120" t="n"/>
      <c r="BQ21" s="120" t="n"/>
      <c r="BR21" s="120" t="n"/>
      <c r="BS21" s="120" t="n"/>
      <c r="BT21" s="120" t="n"/>
      <c r="BU21" s="120" t="n"/>
      <c r="BV21" s="120" t="n">
        <v>2.5</v>
      </c>
    </row>
    <row r="22" ht="340" customHeight="1">
      <c r="A22" s="109" t="inlineStr">
        <is>
          <t>IRIS0292</t>
        </is>
      </c>
      <c r="B22" s="110" t="inlineStr">
        <is>
          <t>Palanikumar Mooppanar</t>
        </is>
      </c>
      <c r="C22" s="111" t="inlineStr">
        <is>
          <t>India Content</t>
        </is>
      </c>
      <c r="D22" s="111" t="inlineStr">
        <is>
          <t>Gopal Krishna Sahu</t>
        </is>
      </c>
      <c r="E22" s="112" t="n">
        <v>18.5</v>
      </c>
      <c r="F22" s="112" t="n">
        <v>17</v>
      </c>
      <c r="G22" s="111" t="inlineStr">
        <is>
          <t>B.Com</t>
        </is>
      </c>
      <c r="H22" s="113" t="inlineStr">
        <is>
          <t>Data Analyst</t>
        </is>
      </c>
      <c r="I22" s="114" t="inlineStr">
        <is>
          <t>Senior Data Analyst</t>
        </is>
      </c>
      <c r="J22" s="115" t="inlineStr">
        <is>
          <t>Data &amp; Analytics</t>
        </is>
      </c>
      <c r="K22" s="115" t="inlineStr">
        <is>
          <t>Financial Data Processing</t>
        </is>
      </c>
      <c r="L22" s="114" t="inlineStr">
        <is>
          <t>L3 – Professional / Associate</t>
        </is>
      </c>
      <c r="M22" s="116" t="inlineStr">
        <is>
          <t>A3</t>
        </is>
      </c>
      <c r="N22" s="139" t="inlineStr">
        <is>
          <t>Senior Associate</t>
        </is>
      </c>
      <c r="O22" s="26" t="inlineStr">
        <is>
          <t>A</t>
        </is>
      </c>
      <c r="P22" s="115" t="inlineStr">
        <is>
          <t>IC</t>
        </is>
      </c>
      <c r="Q22" s="117" t="inlineStr">
        <is>
          <t>▲ Up</t>
        </is>
      </c>
      <c r="R22"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2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4 · Potential: High · 9-Box Grid placement: Future Leader.</t>
          </r>
        </is>
      </c>
      <c r="T22" s="120" t="n"/>
      <c r="U22"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22"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22"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22"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 s="123" t="inlineStr">
        <is>
          <t>Consume · India Content · Band A · Early career</t>
        </is>
      </c>
      <c r="Z22" s="124" t="n">
        <v>2</v>
      </c>
      <c r="AA22" s="125">
        <f>IFERROR(INDEX(WM_C,MATCH($Y22,WM_KEY,0)),"")</f>
        <v>0.54</v>
      </c>
      <c r="AB22" s="126">
        <f>IF(Z22="","",Z22*AA22)</f>
        <v>1.08</v>
      </c>
      <c r="AC22" s="124" t="n">
        <v>2</v>
      </c>
      <c r="AD22" s="125">
        <f>IFERROR(INDEX(WM_AU,MATCH($Y22,WM_KEY,0)),"")</f>
        <v>0.16</v>
      </c>
      <c r="AE22" s="126">
        <f>IF(AC22="","",AC22*AD22)</f>
        <v>0.32</v>
      </c>
      <c r="AF22" s="124" t="n">
        <v>2</v>
      </c>
      <c r="AG22" s="125">
        <f>IFERROR(INDEX(WM_AC,MATCH($Y22,WM_KEY,0)),"")</f>
        <v>0.14</v>
      </c>
      <c r="AH22" s="126">
        <f>IF(AF22="","",AF22*AG22)</f>
        <v>0.28</v>
      </c>
      <c r="AI22" s="124" t="n">
        <v>1</v>
      </c>
      <c r="AJ22" s="125">
        <f>IFERROR(INDEX(WM_L,MATCH($Y22,WM_KEY,0)),"")</f>
        <v>0</v>
      </c>
      <c r="AK22" s="126">
        <f>IF(AI22="","",AI22*AJ22)</f>
        <v>0</v>
      </c>
      <c r="AL22" s="124" t="n">
        <v>9.5</v>
      </c>
      <c r="AM22" s="125">
        <f>IFERROR(INDEX(WM_E,MATCH($Y22,WM_KEY,0)),"")</f>
        <v>0.1</v>
      </c>
      <c r="AN22" s="126">
        <f>IF(AL22="","",AL22*AM22)</f>
        <v>0.95</v>
      </c>
      <c r="AO22" s="127" t="n">
        <v>2.5</v>
      </c>
      <c r="AP22" s="125">
        <f>IFERROR(INDEX(WM_BI,MATCH($Y22,WM_KEY,0)),"")</f>
        <v>0.06</v>
      </c>
      <c r="AQ22" s="126">
        <f>IF(AO22="","",AO22*AP22)</f>
        <v>0.15</v>
      </c>
      <c r="AR22" s="126">
        <f>IF(COUNT(AB22,AE22,AH22,AK22,AN22,AQ22)&lt;6,"",SUM(AB22,AE22,AH22,AK22,AN22,AQ22))</f>
        <v>2.78</v>
      </c>
      <c r="AS22" s="128" t="str">
        <f>IF(AR22="","",INDEX({"A1","A2","A3","B1","B2","B3","C1","C2","D1","D2","E1","E2"},MAX(1,MIN(12,ROUND(AR22,0)))))</f>
        <v>A3</v>
      </c>
      <c r="AT22"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2" s="130" t="inlineStr">
        <is>
          <r>
            <rPr>
              <rFont val="Calibri"/>
              <b val="1"/>
              <sz val="10"/>
            </rPr>
            <t>At build:</t>
          </r>
          <r>
            <rPr>
              <rFont val="Calibri"/>
              <sz val="10"/>
            </rPr>
            <t xml:space="preserve"> Complexity 1.08 + Autonomy 0.32 + Accountability 0.28 + Leadership 0.00 + Experience 0.95 + Business impact 0.15
= 2.78 points → nearest level 3 = A3
</t>
          </r>
          <r>
            <rPr>
              <rFont val="Calibri"/>
              <b val="1"/>
              <sz val="10"/>
            </rPr>
            <t>Final level:</t>
          </r>
          <r>
            <rPr>
              <rFont val="Calibri"/>
              <sz val="10"/>
            </rPr>
            <t xml:space="preserve"> A3 · same as the score</t>
          </r>
        </is>
      </c>
      <c r="AV22" s="130" t="inlineStr">
        <is>
          <r>
            <rPr>
              <rFont val="Calibri"/>
              <b val="1"/>
              <sz val="10"/>
            </rPr>
            <t>No rule applied:</t>
          </r>
          <r>
            <rPr>
              <rFont val="Calibri"/>
              <sz val="10"/>
            </rPr>
            <t xml:space="preserve"> the score decides.</t>
          </r>
        </is>
      </c>
      <c r="AW22"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Maintains mutual fund scheme master and NFO scheme data in Access/SQL; validates, resolves errors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Standard work of the discipline</t>
          </r>
        </is>
      </c>
      <c r="AX2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Checks and corrects data on own updates; nothing wider described → matches the start
</t>
          </r>
          <r>
            <rPr>
              <rFont val="Calibri"/>
              <b val="1"/>
              <sz val="10"/>
            </rPr>
            <t>Market:</t>
          </r>
          <r>
            <rPr>
              <rFont val="Calibri"/>
              <sz val="10"/>
            </rPr>
            <t xml:space="preserve"> A2 = Chooses own approach within standards</t>
          </r>
        </is>
      </c>
      <c r="AY2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timely delivery of scheme master updates before the effective date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Own deliverables · accuracy, TAT</t>
          </r>
        </is>
      </c>
      <c r="AZ2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 s="132" t="inlineStr">
        <is>
          <r>
            <rPr>
              <rFont val="Calibri"/>
              <sz val="10"/>
            </rPr>
            <t xml:space="preserve">Rated 9.5 of 12 · between D1 and D2
</t>
          </r>
          <r>
            <rPr>
              <rFont val="Calibri"/>
              <b val="1"/>
              <sz val="10"/>
            </rPr>
            <t>Experience:</t>
          </r>
          <r>
            <rPr>
              <rFont val="Calibri"/>
              <sz val="10"/>
            </rPr>
            <t xml:space="preserve"> 18.5 yrs total · 1.5 before IRIS + 17.0 at IRIS = 9.3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2"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2" s="138" t="inlineStr"/>
      <c r="BD22" s="134" t="inlineStr">
        <is>
          <t>✓ HRIS: 18.5 yrs, B.Com, 0 direct reports
✓ Survey: 20 of 20 questions answered
✓ KRAs: self, manager-set, quarterly
✓ Manager mapping: rating, potential, 9-box
✗ Job description: not on file</t>
        </is>
      </c>
      <c r="BE22"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22" s="134" t="inlineStr">
        <is>
          <t>High</t>
        </is>
      </c>
      <c r="BG22" s="134" t="inlineStr">
        <is>
          <t>• 18.5 yrs of experience in a role that reads as Band A work — a career-path question for the manager: can the role be widened · Specialist, B1 or is it correctly sized?</t>
        </is>
      </c>
      <c r="BH22" s="134" t="inlineStr"/>
      <c r="BI22" s="135" t="n"/>
      <c r="BJ22" s="136" t="n"/>
      <c r="BK22" s="136" t="n"/>
      <c r="BL22" s="136" t="n"/>
      <c r="BM22" s="136" t="n"/>
      <c r="BN22" s="137" t="n"/>
      <c r="BO22" s="120" t="n"/>
      <c r="BP22" s="120" t="n"/>
      <c r="BQ22" s="120" t="n"/>
      <c r="BR22" s="120" t="n"/>
      <c r="BS22" s="120" t="n"/>
      <c r="BT22" s="120" t="n"/>
      <c r="BU22" s="120" t="n"/>
      <c r="BV22" s="120" t="n">
        <v>2.5</v>
      </c>
    </row>
    <row r="23" ht="340" customHeight="1">
      <c r="A23" s="109" t="inlineStr">
        <is>
          <t>IRIS0009</t>
        </is>
      </c>
      <c r="B23" s="110" t="inlineStr">
        <is>
          <t>Prashant Shelar</t>
        </is>
      </c>
      <c r="C23" s="111" t="inlineStr">
        <is>
          <t>India Content</t>
        </is>
      </c>
      <c r="D23" s="111" t="inlineStr">
        <is>
          <t>Gopal Krishna Sahu</t>
        </is>
      </c>
      <c r="E23" s="112" t="n">
        <v>22.5</v>
      </c>
      <c r="F23" s="112" t="n">
        <v>22.1</v>
      </c>
      <c r="G23" s="111" t="inlineStr">
        <is>
          <t>MBA</t>
        </is>
      </c>
      <c r="H23" s="113" t="inlineStr">
        <is>
          <t>Data Analyst</t>
        </is>
      </c>
      <c r="I23" s="114" t="inlineStr">
        <is>
          <t>Senior Data Analyst</t>
        </is>
      </c>
      <c r="J23" s="115" t="inlineStr">
        <is>
          <t>Data &amp; Analytics</t>
        </is>
      </c>
      <c r="K23" s="115" t="inlineStr">
        <is>
          <t>Financial Data Processing</t>
        </is>
      </c>
      <c r="L23" s="114" t="inlineStr">
        <is>
          <t>L3 – Professional / Associate</t>
        </is>
      </c>
      <c r="M23" s="116" t="inlineStr">
        <is>
          <t>A3</t>
        </is>
      </c>
      <c r="N23" s="139" t="inlineStr">
        <is>
          <t>Senior Associate</t>
        </is>
      </c>
      <c r="O23" s="26" t="inlineStr">
        <is>
          <t>A</t>
        </is>
      </c>
      <c r="P23" s="115" t="inlineStr">
        <is>
          <t>IC</t>
        </is>
      </c>
      <c r="Q23" s="117" t="inlineStr">
        <is>
          <t>▲ Up</t>
        </is>
      </c>
      <c r="R23"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2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1 · Potential: Low · 9-Box Grid placement: Misplaced Talent / Enigma.</t>
          </r>
        </is>
      </c>
      <c r="T23" s="120" t="n"/>
      <c r="U23"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23"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23"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23"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3" s="123" t="inlineStr">
        <is>
          <t>Consume · India Content · Band A · Early career</t>
        </is>
      </c>
      <c r="Z23" s="124" t="n">
        <v>2</v>
      </c>
      <c r="AA23" s="125">
        <f>IFERROR(INDEX(WM_C,MATCH($Y23,WM_KEY,0)),"")</f>
        <v>0.54</v>
      </c>
      <c r="AB23" s="126">
        <f>IF(Z23="","",Z23*AA23)</f>
        <v>1.08</v>
      </c>
      <c r="AC23" s="124" t="n">
        <v>2</v>
      </c>
      <c r="AD23" s="125">
        <f>IFERROR(INDEX(WM_AU,MATCH($Y23,WM_KEY,0)),"")</f>
        <v>0.16</v>
      </c>
      <c r="AE23" s="126">
        <f>IF(AC23="","",AC23*AD23)</f>
        <v>0.32</v>
      </c>
      <c r="AF23" s="124" t="n">
        <v>2</v>
      </c>
      <c r="AG23" s="125">
        <f>IFERROR(INDEX(WM_AC,MATCH($Y23,WM_KEY,0)),"")</f>
        <v>0.14</v>
      </c>
      <c r="AH23" s="126">
        <f>IF(AF23="","",AF23*AG23)</f>
        <v>0.28</v>
      </c>
      <c r="AI23" s="124" t="n">
        <v>1</v>
      </c>
      <c r="AJ23" s="125">
        <f>IFERROR(INDEX(WM_L,MATCH($Y23,WM_KEY,0)),"")</f>
        <v>0</v>
      </c>
      <c r="AK23" s="126">
        <f>IF(AI23="","",AI23*AJ23)</f>
        <v>0</v>
      </c>
      <c r="AL23" s="124" t="n">
        <v>11</v>
      </c>
      <c r="AM23" s="125">
        <f>IFERROR(INDEX(WM_E,MATCH($Y23,WM_KEY,0)),"")</f>
        <v>0.1</v>
      </c>
      <c r="AN23" s="126">
        <f>IF(AL23="","",AL23*AM23)</f>
        <v>1.1</v>
      </c>
      <c r="AO23" s="127" t="n">
        <v>2.5</v>
      </c>
      <c r="AP23" s="125">
        <f>IFERROR(INDEX(WM_BI,MATCH($Y23,WM_KEY,0)),"")</f>
        <v>0.06</v>
      </c>
      <c r="AQ23" s="126">
        <f>IF(AO23="","",AO23*AP23)</f>
        <v>0.15</v>
      </c>
      <c r="AR23" s="126">
        <f>IF(COUNT(AB23,AE23,AH23,AK23,AN23,AQ23)&lt;6,"",SUM(AB23,AE23,AH23,AK23,AN23,AQ23))</f>
        <v>2.93</v>
      </c>
      <c r="AS23" s="128" t="str">
        <f>IF(AR23="","",INDEX({"A1","A2","A3","B1","B2","B3","C1","C2","D1","D2","E1","E2"},MAX(1,MIN(12,ROUND(AR23,0)))))</f>
        <v>A3</v>
      </c>
      <c r="AT23"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3" s="130" t="inlineStr">
        <is>
          <r>
            <rPr>
              <rFont val="Calibri"/>
              <b val="1"/>
              <sz val="10"/>
            </rPr>
            <t>At build:</t>
          </r>
          <r>
            <rPr>
              <rFont val="Calibri"/>
              <sz val="10"/>
            </rPr>
            <t xml:space="preserve"> Complexity 1.08 + Autonomy 0.32 + Accountability 0.28 + Leadership 0.00 + Experience 1.10 + Business impact 0.15
= 2.93 points → nearest level 3 = A3
</t>
          </r>
          <r>
            <rPr>
              <rFont val="Calibri"/>
              <b val="1"/>
              <sz val="10"/>
            </rPr>
            <t>Final level:</t>
          </r>
          <r>
            <rPr>
              <rFont val="Calibri"/>
              <sz val="10"/>
            </rPr>
            <t xml:space="preserve"> A3 · same as the score</t>
          </r>
        </is>
      </c>
      <c r="AV23" s="130" t="inlineStr">
        <is>
          <r>
            <rPr>
              <rFont val="Calibri"/>
              <b val="1"/>
              <sz val="10"/>
            </rPr>
            <t>No rule applied:</t>
          </r>
          <r>
            <rPr>
              <rFont val="Calibri"/>
              <sz val="10"/>
            </rPr>
            <t xml:space="preserve"> the score decides.</t>
          </r>
        </is>
      </c>
      <c r="AW2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Daily data updates from BSE/NSE websites; bond and mutual fund data; client delivery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Standard work of the discipline</t>
          </r>
        </is>
      </c>
      <c r="AX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Tries to solve problems first, otherwise asks a senior → matches the start
</t>
          </r>
          <r>
            <rPr>
              <rFont val="Calibri"/>
              <b val="1"/>
              <sz val="10"/>
            </rPr>
            <t>Market:</t>
          </r>
          <r>
            <rPr>
              <rFont val="Calibri"/>
              <sz val="10"/>
            </rPr>
            <t xml:space="preserve"> A2 = Chooses own approach within standards</t>
          </r>
        </is>
      </c>
      <c r="AY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data updates and client delivery on time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Own deliverables · accuracy, TAT</t>
          </r>
        </is>
      </c>
      <c r="AZ2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3" s="132" t="inlineStr">
        <is>
          <r>
            <rPr>
              <rFont val="Calibri"/>
              <sz val="10"/>
            </rPr>
            <t xml:space="preserve">Rated 11 of 12
</t>
          </r>
          <r>
            <rPr>
              <rFont val="Calibri"/>
              <b val="1"/>
              <sz val="10"/>
            </rPr>
            <t>Experience:</t>
          </r>
          <r>
            <rPr>
              <rFont val="Calibri"/>
              <sz val="10"/>
            </rPr>
            <t xml:space="preserve"> 22.5 yrs total · 0.4 before IRIS + 22.1 at IRIS = 10.5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23"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3" s="138" t="inlineStr"/>
      <c r="BD23" s="134" t="inlineStr">
        <is>
          <t>✓ HRIS: 22.5 yrs, MBA, 0 direct reports
✓ Survey: 20 of 20 questions answered
✓ KRAs: self, manager-set, quarterly
✓ Manager mapping: rating, potential, 9-box
✗ Job description: not on file</t>
        </is>
      </c>
      <c r="BE23"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23" s="134" t="inlineStr">
        <is>
          <t>Medium</t>
        </is>
      </c>
      <c r="BG23" s="134" t="inlineStr">
        <is>
          <t>• 22.5 yrs of experience in a role that reads as Band A work — a career-path question for the manager: can the role be widened · Specialist, B1 or is it correctly sized?</t>
        </is>
      </c>
      <c r="BH23" s="134" t="inlineStr"/>
      <c r="BI23" s="135" t="n"/>
      <c r="BJ23" s="136" t="n"/>
      <c r="BK23" s="136" t="n"/>
      <c r="BL23" s="136" t="n"/>
      <c r="BM23" s="136" t="n"/>
      <c r="BN23" s="137" t="n"/>
      <c r="BO23" s="120" t="n"/>
      <c r="BP23" s="120" t="n"/>
      <c r="BQ23" s="120" t="n"/>
      <c r="BR23" s="120" t="n"/>
      <c r="BS23" s="120" t="n"/>
      <c r="BT23" s="120" t="n"/>
      <c r="BU23" s="120" t="n"/>
      <c r="BV23" s="120" t="n">
        <v>2.5</v>
      </c>
    </row>
    <row r="24" ht="340" customHeight="1">
      <c r="A24" s="109" t="inlineStr">
        <is>
          <t>IRIS0030</t>
        </is>
      </c>
      <c r="B24" s="110" t="inlineStr">
        <is>
          <t>Swapnil Katrat</t>
        </is>
      </c>
      <c r="C24" s="111" t="inlineStr">
        <is>
          <t>India Content</t>
        </is>
      </c>
      <c r="D24" s="111" t="inlineStr">
        <is>
          <t>Gopal Krishna Sahu</t>
        </is>
      </c>
      <c r="E24" s="112" t="n">
        <v>21.1</v>
      </c>
      <c r="F24" s="112" t="n">
        <v>21.1</v>
      </c>
      <c r="G24" s="111" t="inlineStr">
        <is>
          <t>B.Com</t>
        </is>
      </c>
      <c r="H24" s="113" t="inlineStr">
        <is>
          <t>Data Analyst</t>
        </is>
      </c>
      <c r="I24" s="114" t="inlineStr">
        <is>
          <t>Senior Data Analyst</t>
        </is>
      </c>
      <c r="J24" s="115" t="inlineStr">
        <is>
          <t>Data &amp; Analytics</t>
        </is>
      </c>
      <c r="K24" s="115" t="inlineStr">
        <is>
          <t>Financial Data Processing</t>
        </is>
      </c>
      <c r="L24" s="114" t="inlineStr">
        <is>
          <t>L3 – Professional / Associate</t>
        </is>
      </c>
      <c r="M24" s="116" t="inlineStr">
        <is>
          <t>A3</t>
        </is>
      </c>
      <c r="N24" s="139" t="inlineStr">
        <is>
          <t>Senior Associate</t>
        </is>
      </c>
      <c r="O24" s="26" t="inlineStr">
        <is>
          <t>A</t>
        </is>
      </c>
      <c r="P24" s="115" t="inlineStr">
        <is>
          <t>IC</t>
        </is>
      </c>
      <c r="Q24" s="117" t="inlineStr">
        <is>
          <t>▲ Up</t>
        </is>
      </c>
      <c r="R24" s="118" t="inlineStr">
        <is>
          <r>
            <rPr>
              <rFont val="Calibri"/>
              <b val="1"/>
              <sz val="10"/>
            </rPr>
            <t>WHAT THE ROLE DOES:</t>
          </r>
          <r>
            <rPr>
              <rFont val="Calibri"/>
              <sz val="10"/>
            </rPr>
            <t xml:space="preserve"> 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mutual fund · client · delivery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client · data · am · delivery · duties · responsible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data · independently
</t>
          </r>
          <r>
            <rPr>
              <rFont val="Calibri"/>
              <b val="1"/>
              <sz val="10"/>
            </rPr>
            <t>SKILLS &amp; KNOWLEDGE · role-holders:</t>
          </r>
          <r>
            <rPr>
              <rFont val="Calibri"/>
              <sz val="10"/>
            </rPr>
            <t xml:space="preserve"> Data Processing · Data validation
</t>
          </r>
          <r>
            <rPr>
              <rFont val="Calibri"/>
              <b val="1"/>
              <sz val="10"/>
            </rPr>
            <t>TOOLS &amp; SYSTEMS:</t>
          </r>
          <r>
            <rPr>
              <rFont val="Calibri"/>
              <sz val="10"/>
            </rPr>
            <t xml:space="preserve"> Microsoft Excel · MS access
</t>
          </r>
          <r>
            <rPr>
              <rFont val="Calibri"/>
              <b val="1"/>
              <sz val="10"/>
            </rPr>
            <t>MANAGER-SET KRAs:</t>
          </r>
          <r>
            <rPr>
              <rFont val="Calibri"/>
              <sz val="10"/>
            </rPr>
            <t xml:space="preserve"> Common themes in manager-set KRAs: business-day response · manual · contribute · delivery time · provide solutions · complete assigned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 role-holders' themes · 3+ answered — 7 holders, 7 answered the survey; sub-family 9 answered; catalogue RC-040</t>
          </r>
        </is>
      </c>
      <c r="S2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Trusted Professional.</t>
          </r>
        </is>
      </c>
      <c r="T24" s="120" t="n"/>
      <c r="U24" s="121" t="inlineStr">
        <is>
          <r>
            <rPr>
              <rFont val="Calibri"/>
              <sz val="10"/>
            </rPr>
            <t xml:space="preserve">Senior Data Analyst in India Content · Consume, A3 — IC.
</t>
          </r>
          <r>
            <rPr>
              <rFont val="Calibri"/>
              <b val="1"/>
              <sz val="10"/>
            </rPr>
            <t>The work:</t>
          </r>
          <r>
            <rPr>
              <rFont val="Calibri"/>
              <sz val="10"/>
            </rPr>
            <t xml:space="preserve"> Processes and delivers mutual-fund, scheme and capital-market data feeds and reports.
At this level the role owns varied work; reviews juniors; go-to for a process.
</t>
          </r>
          <r>
            <rPr>
              <rFont val="Calibri"/>
              <b val="1"/>
              <sz val="10"/>
            </rPr>
            <t>Key responsibilities:</t>
          </r>
          <r>
            <rPr>
              <rFont val="Calibri"/>
              <sz val="10"/>
            </rPr>
            <t xml:space="preserve"> Processes and delivers mutual-fund, scheme and capital-market data feeds and reports; Varied and non-standard work; handles exceptions; A module / process, or work with client or regulatory consequences.
</t>
          </r>
          <r>
            <rPr>
              <rFont val="Calibri"/>
              <b val="1"/>
              <sz val="10"/>
            </rPr>
            <t>Holders describe it with:</t>
          </r>
          <r>
            <rPr>
              <rFont val="Calibri"/>
              <sz val="10"/>
            </rPr>
            <t xml:space="preserve"> data · client · accuracy · delivery · time · market.</t>
          </r>
        </is>
      </c>
      <c r="V24" s="122" t="inlineStr">
        <is>
          <r>
            <rPr>
              <rFont val="Calibri"/>
              <b val="1"/>
              <sz val="10"/>
            </rPr>
            <t>Hire as:</t>
          </r>
          <r>
            <rPr>
              <rFont val="Calibri"/>
              <sz val="10"/>
            </rPr>
            <t xml:space="preserve">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24" s="122"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Data Processing · Data validation
</t>
          </r>
          <r>
            <rPr>
              <rFont val="Calibri"/>
              <b val="1"/>
              <sz val="10"/>
            </rPr>
            <t>TOOLS:</t>
          </r>
          <r>
            <rPr>
              <rFont val="Calibri"/>
              <sz val="10"/>
            </rPr>
            <t xml:space="preserve"> Microsoft Excel · MS access
★ = must-have for the family. Scale: 1 Awareness · 2 Working · 3 Practitioner · 4 Advanced · 5 Expert.</t>
          </r>
        </is>
      </c>
      <c r="X24" s="122"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4" s="123" t="inlineStr">
        <is>
          <t>Consume · India Content · Band A · Early career</t>
        </is>
      </c>
      <c r="Z24" s="124" t="n">
        <v>2</v>
      </c>
      <c r="AA24" s="125">
        <f>IFERROR(INDEX(WM_C,MATCH($Y24,WM_KEY,0)),"")</f>
        <v>0.54</v>
      </c>
      <c r="AB24" s="126">
        <f>IF(Z24="","",Z24*AA24)</f>
        <v>1.08</v>
      </c>
      <c r="AC24" s="124" t="n">
        <v>2</v>
      </c>
      <c r="AD24" s="125">
        <f>IFERROR(INDEX(WM_AU,MATCH($Y24,WM_KEY,0)),"")</f>
        <v>0.16</v>
      </c>
      <c r="AE24" s="126">
        <f>IF(AC24="","",AC24*AD24)</f>
        <v>0.32</v>
      </c>
      <c r="AF24" s="124" t="n">
        <v>2</v>
      </c>
      <c r="AG24" s="125">
        <f>IFERROR(INDEX(WM_AC,MATCH($Y24,WM_KEY,0)),"")</f>
        <v>0.14</v>
      </c>
      <c r="AH24" s="126">
        <f>IF(AF24="","",AF24*AG24)</f>
        <v>0.28</v>
      </c>
      <c r="AI24" s="124" t="n">
        <v>1</v>
      </c>
      <c r="AJ24" s="125">
        <f>IFERROR(INDEX(WM_L,MATCH($Y24,WM_KEY,0)),"")</f>
        <v>0</v>
      </c>
      <c r="AK24" s="126">
        <f>IF(AI24="","",AI24*AJ24)</f>
        <v>0</v>
      </c>
      <c r="AL24" s="124" t="n">
        <v>10</v>
      </c>
      <c r="AM24" s="125">
        <f>IFERROR(INDEX(WM_E,MATCH($Y24,WM_KEY,0)),"")</f>
        <v>0.1</v>
      </c>
      <c r="AN24" s="126">
        <f>IF(AL24="","",AL24*AM24)</f>
        <v>1</v>
      </c>
      <c r="AO24" s="127" t="n">
        <v>2.5</v>
      </c>
      <c r="AP24" s="125">
        <f>IFERROR(INDEX(WM_BI,MATCH($Y24,WM_KEY,0)),"")</f>
        <v>0.06</v>
      </c>
      <c r="AQ24" s="126">
        <f>IF(AO24="","",AO24*AP24)</f>
        <v>0.15</v>
      </c>
      <c r="AR24" s="126">
        <f>IF(COUNT(AB24,AE24,AH24,AK24,AN24,AQ24)&lt;6,"",SUM(AB24,AE24,AH24,AK24,AN24,AQ24))</f>
        <v>2.83</v>
      </c>
      <c r="AS24" s="128" t="str">
        <f>IF(AR24="","",INDEX({"A1","A2","A3","B1","B2","B3","C1","C2","D1","D2","E1","E2"},MAX(1,MIN(12,ROUND(AR24,0)))))</f>
        <v>A3</v>
      </c>
      <c r="AT24" s="129"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4" s="130" t="inlineStr">
        <is>
          <r>
            <rPr>
              <rFont val="Calibri"/>
              <b val="1"/>
              <sz val="10"/>
            </rPr>
            <t>At build:</t>
          </r>
          <r>
            <rPr>
              <rFont val="Calibri"/>
              <sz val="10"/>
            </rPr>
            <t xml:space="preserve"> Complexity 1.08 + Autonomy 0.32 + Accountability 0.28 + Leadership 0.00 + Experience 1.00 + Business impact 0.15
= 2.83 points → nearest level 3 = A3
</t>
          </r>
          <r>
            <rPr>
              <rFont val="Calibri"/>
              <b val="1"/>
              <sz val="10"/>
            </rPr>
            <t>Final level:</t>
          </r>
          <r>
            <rPr>
              <rFont val="Calibri"/>
              <sz val="10"/>
            </rPr>
            <t xml:space="preserve"> A3 · same as the score</t>
          </r>
        </is>
      </c>
      <c r="AV24" s="130" t="inlineStr">
        <is>
          <r>
            <rPr>
              <rFont val="Calibri"/>
              <b val="1"/>
              <sz val="10"/>
            </rPr>
            <t>No rule applied:</t>
          </r>
          <r>
            <rPr>
              <rFont val="Calibri"/>
              <sz val="10"/>
            </rPr>
            <t xml:space="preserve"> the score decides.</t>
          </r>
        </is>
      </c>
      <c r="AW24"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Updates EOD market data, IPO entries, portfolios, benchmarks and indices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Standard work of the discipline</t>
          </r>
        </is>
      </c>
      <c r="AX2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decision named is sending a revised mail → matches the start
</t>
          </r>
          <r>
            <rPr>
              <rFont val="Calibri"/>
              <b val="1"/>
              <sz val="10"/>
            </rPr>
            <t>Market:</t>
          </r>
          <r>
            <rPr>
              <rFont val="Calibri"/>
              <sz val="10"/>
            </rPr>
            <t xml:space="preserve"> A2 = Chooses own approach within standards</t>
          </r>
        </is>
      </c>
      <c r="AY2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Client delivery of own updated data → matches the start
</t>
          </r>
          <r>
            <rPr>
              <rFont val="Calibri"/>
              <b val="1"/>
              <sz val="10"/>
            </rPr>
            <t>KRA:</t>
          </r>
          <r>
            <rPr>
              <rFont val="Calibri"/>
              <sz val="10"/>
            </rPr>
            <t xml:space="preserve"> “1. Complete assigned tasks with 99.99% accuracy. 2. Do all the client delivery on time with 100% accuracy. 3. Maintain all log files for…”
</t>
          </r>
          <r>
            <rPr>
              <rFont val="Calibri"/>
              <b val="1"/>
              <sz val="10"/>
            </rPr>
            <t>Market:</t>
          </r>
          <r>
            <rPr>
              <rFont val="Calibri"/>
              <sz val="10"/>
            </rPr>
            <t xml:space="preserve"> A2 = Own deliverables · accuracy, TAT</t>
          </r>
        </is>
      </c>
      <c r="AZ24"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4" s="132" t="inlineStr">
        <is>
          <r>
            <rPr>
              <rFont val="Calibri"/>
              <sz val="10"/>
            </rPr>
            <t xml:space="preserve">Rated 10 of 12
</t>
          </r>
          <r>
            <rPr>
              <rFont val="Calibri"/>
              <b val="1"/>
              <sz val="10"/>
            </rPr>
            <t>Experience:</t>
          </r>
          <r>
            <rPr>
              <rFont val="Calibri"/>
              <sz val="10"/>
            </rPr>
            <t xml:space="preserve"> 21.1 yrs total · 21.1 at IRIS; none recorded before IRIS = 10.0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4"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4" s="138" t="inlineStr"/>
      <c r="BD24" s="134" t="inlineStr">
        <is>
          <t>✓ HRIS: 21.1 yrs, B.Com, 0 direct reports
✓ Survey: 7 of 20 questions answered
✓ KRAs: self, manager-set, quarterly
✓ Manager mapping: rating, potential, 9-box
✗ Job description: not on file</t>
        </is>
      </c>
      <c r="BE24" s="134"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24" s="134" t="inlineStr">
        <is>
          <t>Medium</t>
        </is>
      </c>
      <c r="BG24" s="134" t="inlineStr">
        <is>
          <t>• 21.1 yrs of experience in a role that reads as Band A work — a career-path question for the manager: can the role be widened · Specialist, B1 or is it correctly sized?</t>
        </is>
      </c>
      <c r="BH24" s="134" t="inlineStr"/>
      <c r="BI24" s="135" t="n"/>
      <c r="BJ24" s="136" t="n"/>
      <c r="BK24" s="136" t="n"/>
      <c r="BL24" s="136" t="n"/>
      <c r="BM24" s="136" t="n"/>
      <c r="BN24" s="137" t="n"/>
      <c r="BO24" s="120" t="n"/>
      <c r="BP24" s="120" t="n"/>
      <c r="BQ24" s="120" t="n"/>
      <c r="BR24" s="120" t="n"/>
      <c r="BS24" s="120" t="n"/>
      <c r="BT24" s="120" t="n"/>
      <c r="BU24" s="120" t="n"/>
      <c r="BV24" s="120" t="n">
        <v>2.5</v>
      </c>
    </row>
    <row r="25" ht="340" customHeight="1">
      <c r="A25" s="109" t="inlineStr">
        <is>
          <t>IRIS0724</t>
        </is>
      </c>
      <c r="B25" s="110" t="inlineStr">
        <is>
          <t>Nishant Kohakade</t>
        </is>
      </c>
      <c r="C25" s="111" t="inlineStr">
        <is>
          <t>Technology</t>
        </is>
      </c>
      <c r="D25" s="111" t="inlineStr">
        <is>
          <t>Zakiruddin Shaikh</t>
        </is>
      </c>
      <c r="E25" s="112" t="n">
        <v>19.5</v>
      </c>
      <c r="F25" s="112" t="n">
        <v>16.5</v>
      </c>
      <c r="G25" s="111" t="inlineStr">
        <is>
          <t>B.E</t>
        </is>
      </c>
      <c r="H25" s="146" t="inlineStr">
        <is>
          <t>Lead Software Engineer</t>
        </is>
      </c>
      <c r="I25" s="115" t="inlineStr">
        <is>
          <t>Lead Software Engineer</t>
        </is>
      </c>
      <c r="J25" s="115" t="inlineStr">
        <is>
          <t>Engineering &amp; Development</t>
        </is>
      </c>
      <c r="K25" s="115" t="inlineStr">
        <is>
          <t>Application Maintenance &amp; Production Support</t>
        </is>
      </c>
      <c r="L25" s="115" t="inlineStr">
        <is>
          <t>L5 – Lead · IC</t>
        </is>
      </c>
      <c r="M25" s="143" t="inlineStr">
        <is>
          <t>B3</t>
        </is>
      </c>
      <c r="N25" s="21" t="inlineStr">
        <is>
          <t>Lead Specialist</t>
        </is>
      </c>
      <c r="O25" s="23" t="inlineStr">
        <is>
          <t>B</t>
        </is>
      </c>
      <c r="P25" s="115" t="inlineStr">
        <is>
          <t>IC</t>
        </is>
      </c>
      <c r="Q25" s="142" t="inlineStr">
        <is>
          <t>• Same level</t>
        </is>
      </c>
      <c r="R25" s="118" t="inlineStr">
        <is>
          <r>
            <rPr>
              <rFont val="Calibri"/>
              <b val="1"/>
              <sz val="10"/>
            </rPr>
            <t>WHAT THE ROLE DOES:</t>
          </r>
          <r>
            <rPr>
              <rFont val="Calibri"/>
              <sz val="10"/>
            </rPr>
            <t xml:space="preserve"> Keeps live applications/portals running — production fixes, patches, small enhancements, CRs. At B3: a practice, or several teams through team leads.
</t>
          </r>
          <r>
            <rPr>
              <rFont val="Calibri"/>
              <b val="1"/>
              <sz val="10"/>
            </rPr>
            <t>Common themes in sub-family holders, all levels' answers:</t>
          </r>
          <r>
            <rPr>
              <rFont val="Calibri"/>
              <sz val="10"/>
            </rPr>
            <t xml:space="preserve"> maintain · reliable · business · requirements · developer · rbi
</t>
          </r>
          <r>
            <rPr>
              <rFont val="Calibri"/>
              <b val="1"/>
              <sz val="10"/>
            </rPr>
            <t>KEY RESPONSIBILITIES:</t>
          </r>
          <r>
            <rPr>
              <rFont val="Calibri"/>
              <sz val="10"/>
            </rPr>
            <t xml:space="preserve"> Keeps live applications/portals running — production fixes, patches, small enhancements, CRs; Sets standards for a practice; cross-team problems; Several teams or a practice
</t>
          </r>
          <r>
            <rPr>
              <rFont val="Calibri"/>
              <b val="1"/>
              <sz val="10"/>
            </rPr>
            <t>Common themes in sub-family holders, all levels' answers:</t>
          </r>
          <r>
            <rPr>
              <rFont val="Calibri"/>
              <sz val="10"/>
            </rPr>
            <t xml:space="preserve"> development · support · maintenance · code · bug fixing · feature
</t>
          </r>
          <r>
            <rPr>
              <rFont val="Calibri"/>
              <b val="1"/>
              <sz val="10"/>
            </rPr>
            <t>DELIVERS:</t>
          </r>
          <r>
            <rPr>
              <rFont val="Calibri"/>
              <sz val="10"/>
            </rPr>
            <t xml:space="preserve"> Several teams or a practice
</t>
          </r>
          <r>
            <rPr>
              <rFont val="Calibri"/>
              <b val="1"/>
              <sz val="10"/>
            </rPr>
            <t>Common themes in sub-family holders, all levels' answers:</t>
          </r>
          <r>
            <rPr>
              <rFont val="Calibri"/>
              <sz val="10"/>
            </rPr>
            <t xml:space="preserve"> maintenance · rbi
</t>
          </r>
          <r>
            <rPr>
              <rFont val="Calibri"/>
              <b val="1"/>
              <sz val="10"/>
            </rPr>
            <t>ACCOUNTABLE FOR:</t>
          </r>
          <r>
            <rPr>
              <rFont val="Calibri"/>
              <sz val="10"/>
            </rPr>
            <t xml:space="preserve"> Several teams or a practice
</t>
          </r>
          <r>
            <rPr>
              <rFont val="Calibri"/>
              <b val="1"/>
              <sz val="10"/>
            </rPr>
            <t>Common themes in sub-family holders, all levels' answers:</t>
          </r>
          <r>
            <rPr>
              <rFont val="Calibri"/>
              <sz val="10"/>
            </rPr>
            <t xml:space="preserve"> accountable · personally · testing · features · am · performance
</t>
          </r>
          <r>
            <rPr>
              <rFont val="Calibri"/>
              <b val="1"/>
              <sz val="10"/>
            </rPr>
            <t>DECIDES ALONE:</t>
          </r>
          <r>
            <rPr>
              <rFont val="Calibri"/>
              <sz val="10"/>
            </rPr>
            <t xml:space="preserve"> Commercial / strategic calls for the unit
</t>
          </r>
          <r>
            <rPr>
              <rFont val="Calibri"/>
              <b val="1"/>
              <sz val="10"/>
            </rPr>
            <t>Common themes in sub-family holders, all levels' answers:</t>
          </r>
          <r>
            <rPr>
              <rFont val="Calibri"/>
              <sz val="10"/>
            </rPr>
            <t xml:space="preserve"> code · technical · fixes · implementation · issues
</t>
          </r>
          <r>
            <rPr>
              <rFont val="Calibri"/>
              <b val="1"/>
              <sz val="10"/>
            </rPr>
            <t>SKILLS &amp; KNOWLEDGE · role-holders:</t>
          </r>
          <r>
            <rPr>
              <rFont val="Calibri"/>
              <sz val="10"/>
            </rPr>
            <t xml:space="preserve"> NET MVC
</t>
          </r>
          <r>
            <rPr>
              <rFont val="Calibri"/>
              <b val="1"/>
              <sz val="10"/>
            </rPr>
            <t>TOOLS &amp; SYSTEMS:</t>
          </r>
          <r>
            <rPr>
              <rFont val="Calibri"/>
              <sz val="10"/>
            </rPr>
            <t xml:space="preserve"> Postman · IIS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6 answered; catalogue RC-064</t>
          </r>
        </is>
      </c>
      <c r="S25"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critical role: yes; successor named: no.
</t>
          </r>
          <r>
            <rPr>
              <rFont val="Calibri"/>
              <b val="1"/>
              <sz val="10"/>
            </rPr>
            <t>If the work is missed · role-holders' themes:</t>
          </r>
          <r>
            <rPr>
              <rFont val="Calibri"/>
              <sz val="10"/>
            </rPr>
            <t xml:space="preserve"> delays · lead · issues · poor.
Manager talent mapping — Latest rating: 5 · Potential: High · 9-Box Grid placement: Future Leader.</t>
          </r>
        </is>
      </c>
      <c r="T25" s="120" t="n"/>
      <c r="U25" s="121" t="inlineStr">
        <is>
          <r>
            <rPr>
              <rFont val="Calibri"/>
              <sz val="10"/>
            </rPr>
            <t xml:space="preserve">Lead Software Engineer in Technology · Consume, B3 — IC.
</t>
          </r>
          <r>
            <rPr>
              <rFont val="Calibri"/>
              <b val="1"/>
              <sz val="10"/>
            </rPr>
            <t>The work:</t>
          </r>
          <r>
            <rPr>
              <rFont val="Calibri"/>
              <sz val="10"/>
            </rPr>
            <t xml:space="preserve"> Keeps live applications/portals running — production fixes, patches, small enhancements, CRs.
At this level the role owns a practice, or several teams through team leads.
</t>
          </r>
          <r>
            <rPr>
              <rFont val="Calibri"/>
              <b val="1"/>
              <sz val="10"/>
            </rPr>
            <t>Key responsibilities:</t>
          </r>
          <r>
            <rPr>
              <rFont val="Calibri"/>
              <sz val="10"/>
            </rPr>
            <t xml:space="preserve"> Keeps live applications/portals running — production fixes, patches, small enhancements, CRs; Sets standards for a practice; cross-team problems; Several teams or a practice.
</t>
          </r>
          <r>
            <rPr>
              <rFont val="Calibri"/>
              <b val="1"/>
              <sz val="10"/>
            </rPr>
            <t>Holders describe it with:</t>
          </r>
          <r>
            <rPr>
              <rFont val="Calibri"/>
              <sz val="10"/>
            </rPr>
            <t xml:space="preserve"> development · support · maintenance · code · bug fixing · feature.</t>
          </r>
        </is>
      </c>
      <c r="V25" s="122" t="inlineStr">
        <is>
          <r>
            <rPr>
              <rFont val="Calibri"/>
              <b val="1"/>
              <sz val="10"/>
            </rPr>
            <t>Hire as:</t>
          </r>
          <r>
            <rPr>
              <rFont val="Calibri"/>
              <sz val="10"/>
            </rPr>
            <t xml:space="preserve"> Principal Engineer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 B.Sc · CS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5"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NET MVC
</t>
          </r>
          <r>
            <rPr>
              <rFont val="Calibri"/>
              <b val="1"/>
              <sz val="10"/>
            </rPr>
            <t>TOOLS:</t>
          </r>
          <r>
            <rPr>
              <rFont val="Calibri"/>
              <sz val="10"/>
            </rPr>
            <t xml:space="preserve"> Postman · IIS
★ = must-have for the family. Scale: 1 Awareness · 2 Working · 3 Practitioner · 4 Advanced · 5 Expert.</t>
          </r>
        </is>
      </c>
      <c r="X25"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25" s="123" t="inlineStr">
        <is>
          <t>Consume · Technology · Band B · Expert / POD Lead</t>
        </is>
      </c>
      <c r="Z25" s="124" t="n">
        <v>5.5</v>
      </c>
      <c r="AA25" s="125">
        <f>IFERROR(INDEX(WM_C,MATCH($Y25,WM_KEY,0)),"")</f>
        <v>0.56</v>
      </c>
      <c r="AB25" s="126">
        <f>IF(Z25="","",Z25*AA25)</f>
        <v>3.08</v>
      </c>
      <c r="AC25" s="124" t="n">
        <v>5.5</v>
      </c>
      <c r="AD25" s="125">
        <f>IFERROR(INDEX(WM_AU,MATCH($Y25,WM_KEY,0)),"")</f>
        <v>0.17</v>
      </c>
      <c r="AE25" s="126">
        <f>IF(AC25="","",AC25*AD25)</f>
        <v>0.935</v>
      </c>
      <c r="AF25" s="124" t="n">
        <v>5.5</v>
      </c>
      <c r="AG25" s="125">
        <f>IFERROR(INDEX(WM_AC,MATCH($Y25,WM_KEY,0)),"")</f>
        <v>0.05</v>
      </c>
      <c r="AH25" s="126">
        <f>IF(AF25="","",AF25*AG25)</f>
        <v>0.275</v>
      </c>
      <c r="AI25" s="124" t="n">
        <v>4.5</v>
      </c>
      <c r="AJ25" s="125">
        <f>IFERROR(INDEX(WM_L,MATCH($Y25,WM_KEY,0)),"")</f>
        <v>0.05</v>
      </c>
      <c r="AK25" s="126">
        <f>IF(AI25="","",AI25*AJ25)</f>
        <v>0.225</v>
      </c>
      <c r="AL25" s="124" t="n">
        <v>9.5</v>
      </c>
      <c r="AM25" s="125">
        <f>IFERROR(INDEX(WM_E,MATCH($Y25,WM_KEY,0)),"")</f>
        <v>0.1</v>
      </c>
      <c r="AN25" s="126">
        <f>IF(AL25="","",AL25*AM25)</f>
        <v>0.95</v>
      </c>
      <c r="AO25" s="127" t="n">
        <v>6</v>
      </c>
      <c r="AP25" s="125">
        <f>IFERROR(INDEX(WM_BI,MATCH($Y25,WM_KEY,0)),"")</f>
        <v>0.07</v>
      </c>
      <c r="AQ25" s="126">
        <f>IF(AO25="","",AO25*AP25)</f>
        <v>0.42</v>
      </c>
      <c r="AR25" s="126">
        <f>IF(COUNT(AB25,AE25,AH25,AK25,AN25,AQ25)&lt;6,"",SUM(AB25,AE25,AH25,AK25,AN25,AQ25))</f>
        <v>5.885</v>
      </c>
      <c r="AS25" s="128" t="str">
        <f>IF(AR25="","",INDEX({"A1","A2","A3","B1","B2","B3","C1","C2","D1","D2","E1","E2"},MAX(1,MIN(12,ROUND(AR25,0)))))</f>
        <v>B3</v>
      </c>
      <c r="AT25"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5" s="130" t="inlineStr">
        <is>
          <r>
            <rPr>
              <rFont val="Calibri"/>
              <b val="1"/>
              <sz val="10"/>
            </rPr>
            <t>At build:</t>
          </r>
          <r>
            <rPr>
              <rFont val="Calibri"/>
              <sz val="10"/>
            </rPr>
            <t xml:space="preserve"> Complexity 3.08 + Autonomy 0.94 + Accountability 0.28 + Leadership 0.23 + Experience 0.95 + Business impact 0.42
= 5.89 points → nearest level 6 = B3
</t>
          </r>
          <r>
            <rPr>
              <rFont val="Calibri"/>
              <b val="1"/>
              <sz val="10"/>
            </rPr>
            <t>Final level:</t>
          </r>
          <r>
            <rPr>
              <rFont val="Calibri"/>
              <sz val="10"/>
            </rPr>
            <t xml:space="preserve"> B3 · same as the score</t>
          </r>
        </is>
      </c>
      <c r="AV25" s="130" t="inlineStr">
        <is>
          <r>
            <rPr>
              <rFont val="Calibri"/>
              <b val="1"/>
              <sz val="10"/>
            </rPr>
            <t>No rule applied:</t>
          </r>
          <r>
            <rPr>
              <rFont val="Calibri"/>
              <sz val="10"/>
            </rPr>
            <t xml:space="preserve"> the score decides.</t>
          </r>
        </is>
      </c>
      <c r="AW25" s="131"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Runs RBI portals at client datacenter: CRs, VAPT/CSRA mitigation, STQC/IAAP, infra incidents, DR drills, billing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Hardest problems in the domain · B3 = Sets standards for a practice; cross-team problems</t>
          </r>
        </is>
      </c>
      <c r="AX25"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Makes technical calls on availability issues, commits development timelines to client, allocates tasks to developers → moved down 0.5
</t>
          </r>
          <r>
            <rPr>
              <rFont val="Calibri"/>
              <b val="1"/>
              <sz val="10"/>
            </rPr>
            <t>Market:</t>
          </r>
          <r>
            <rPr>
              <rFont val="Calibri"/>
              <sz val="10"/>
            </rPr>
            <t xml:space="preserve"> B2 = Allocates people and sets team priorities · B3 = Commercial / strategic calls for the unit</t>
          </r>
        </is>
      </c>
      <c r="AY25" s="132"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Anything on RBI portals: unavailability, security incidents, content errors; gives RCA to client → moved down 0.5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B2 = One team or a client portfolio · B3 = Several teams or a practice</t>
          </r>
        </is>
      </c>
      <c r="AZ25" s="132" t="inlineStr">
        <is>
          <r>
            <rPr>
              <rFont val="Calibri"/>
              <sz val="10"/>
            </rPr>
            <t xml:space="preserve">Rated 4.5 of 12 · between B1 and B2
</t>
          </r>
          <r>
            <rPr>
              <rFont val="Calibri"/>
              <b val="1"/>
              <sz val="10"/>
            </rPr>
            <t>Start:</t>
          </r>
          <r>
            <rPr>
              <rFont val="Calibri"/>
              <sz val="10"/>
            </rPr>
            <t xml:space="preserve"> 5.0 · individual contributor, so influence only
</t>
          </r>
          <r>
            <rPr>
              <rFont val="Calibri"/>
              <b val="1"/>
              <sz val="10"/>
            </rPr>
            <t>Evidence reads like B1:</t>
          </r>
          <r>
            <rPr>
              <rFont val="Calibri"/>
              <sz val="10"/>
            </rPr>
            <t xml:space="preserve"> Allocates tasks and helps the on-site development team; 0 formal reports → moved down 0.5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 · B2 = IC: guides others in the domain · People: manages a team of 6+</t>
          </r>
        </is>
      </c>
      <c r="BA25" s="132" t="inlineStr">
        <is>
          <r>
            <rPr>
              <rFont val="Calibri"/>
              <sz val="10"/>
            </rPr>
            <t xml:space="preserve">Rated 9.5 of 12 · between D1 and D2
</t>
          </r>
          <r>
            <rPr>
              <rFont val="Calibri"/>
              <b val="1"/>
              <sz val="10"/>
            </rPr>
            <t>Experience:</t>
          </r>
          <r>
            <rPr>
              <rFont val="Calibri"/>
              <sz val="10"/>
            </rPr>
            <t xml:space="preserve"> 19.5 yrs total · 3.0 before IRIS + 16.5 at IRIS = 9.6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B3 roles typically have 8–13 yrs · IRIS guide 8–12</t>
          </r>
        </is>
      </c>
      <c r="BB25" s="132" t="inlineStr">
        <is>
          <r>
            <rPr>
              <rFont val="Calibri"/>
              <sz val="10"/>
            </rPr>
            <t xml:space="preserve">Rated 6 of 12 — a starting estimate.
</t>
          </r>
          <r>
            <rPr>
              <rFont val="Calibri"/>
              <b val="1"/>
              <sz val="10"/>
            </rPr>
            <t>Start:</t>
          </r>
          <r>
            <rPr>
              <rFont val="Calibri"/>
              <sz val="10"/>
            </rPr>
            <t xml:space="preserve"> 5.5,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25" s="133" t="inlineStr">
        <is>
          <t>• Confirm the reporting line — Manager</t>
        </is>
      </c>
      <c r="BD25" s="134" t="inlineStr">
        <is>
          <t>✓ HRIS: 19.5 yrs, B.E, 0 direct reports
✓ Survey: 19 of 20 questions answered
✓ KRAs: manager-set, quarterly
✓ Manager mapping: rating, potential, 9-box
✗ Job description: not on file</t>
        </is>
      </c>
      <c r="BE25"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BF25" s="134" t="inlineStr">
        <is>
          <t>High</t>
        </is>
      </c>
      <c r="BG25" s="134" t="inlineStr">
        <is>
          <t>• Describes leading or allocating work to a team but has no formal reports in the Employee Master — confirm; may be a POD Lead / Team Lead</t>
        </is>
      </c>
      <c r="BH25" s="134" t="inlineStr"/>
      <c r="BI25" s="135" t="n"/>
      <c r="BJ25" s="136" t="n"/>
      <c r="BK25" s="136" t="n"/>
      <c r="BL25" s="136" t="n"/>
      <c r="BM25" s="136" t="n"/>
      <c r="BN25" s="137" t="n"/>
      <c r="BO25" s="120" t="n"/>
      <c r="BP25" s="120" t="n"/>
      <c r="BQ25" s="120" t="n"/>
      <c r="BR25" s="120" t="n"/>
      <c r="BS25" s="120" t="n"/>
      <c r="BT25" s="120" t="n"/>
      <c r="BU25" s="120" t="n"/>
      <c r="BV25" s="120" t="n">
        <v>6</v>
      </c>
    </row>
    <row r="26" ht="340" customHeight="1">
      <c r="A26" s="109" t="inlineStr">
        <is>
          <t>IRIS1952</t>
        </is>
      </c>
      <c r="B26" s="110" t="inlineStr">
        <is>
          <t>Zakiruddin Shaikh</t>
        </is>
      </c>
      <c r="C26" s="111" t="inlineStr">
        <is>
          <t>Technology</t>
        </is>
      </c>
      <c r="D26" s="111" t="inlineStr">
        <is>
          <t>Pradip Dey</t>
        </is>
      </c>
      <c r="E26" s="112" t="n">
        <v>11.1</v>
      </c>
      <c r="F26" s="112" t="n">
        <v>5</v>
      </c>
      <c r="G26" s="111" t="inlineStr">
        <is>
          <t>MMS</t>
        </is>
      </c>
      <c r="H26" s="146" t="inlineStr">
        <is>
          <t>Project Manager</t>
        </is>
      </c>
      <c r="I26" s="115" t="inlineStr">
        <is>
          <t>Project Manager</t>
        </is>
      </c>
      <c r="J26" s="115" t="inlineStr">
        <is>
          <t>Project &amp; Program Management</t>
        </is>
      </c>
      <c r="K26" s="115" t="inlineStr">
        <is>
          <t>Project &amp; Program Delivery</t>
        </is>
      </c>
      <c r="L26" s="115" t="inlineStr">
        <is>
          <t>L5 – Manager</t>
        </is>
      </c>
      <c r="M26" s="143" t="inlineStr">
        <is>
          <t>B2</t>
        </is>
      </c>
      <c r="N26" s="21" t="inlineStr">
        <is>
          <t>Manager</t>
        </is>
      </c>
      <c r="O26" s="23" t="inlineStr">
        <is>
          <t>B</t>
        </is>
      </c>
      <c r="P26" s="115" t="inlineStr">
        <is>
          <t>People Manager</t>
        </is>
      </c>
      <c r="Q26" s="142" t="inlineStr">
        <is>
          <t>• Same level</t>
        </is>
      </c>
      <c r="R26" s="118"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project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project · delivery · accountable · deliverables · timelines · scope quality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project · issue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Claude
</t>
          </r>
          <r>
            <rPr>
              <rFont val="Calibri"/>
              <b val="1"/>
              <sz val="10"/>
            </rPr>
            <t>MANAGER-SET KRAs:</t>
          </r>
          <r>
            <rPr>
              <rFont val="Calibri"/>
              <sz val="10"/>
            </rPr>
            <t xml:space="preserve"> Common themes in manager-set KRAs: project · management · level · support · scope · client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7 holders, 7 answered the survey; sub-family 14 answered; catalogue RC-136</t>
          </r>
        </is>
      </c>
      <c r="S2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4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5 · Potential: High · 9-Box Grid placement: Future Leader.</t>
          </r>
        </is>
      </c>
      <c r="T26" s="120" t="n"/>
      <c r="U26" s="121" t="inlineStr">
        <is>
          <r>
            <rPr>
              <rFont val="Calibri"/>
              <sz val="10"/>
            </rPr>
            <t xml:space="preserve">Project Manager in Technology · Consume, B2 — People Manager.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client · management · project · delivery · documentation.
Leads 4 direct reports.</t>
          </r>
        </is>
      </c>
      <c r="V26"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26"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Claude
★ = must-have for the family. Scale: 1 Awareness · 2 Working · 3 Practitioner · 4 Advanced · 5 Expert.</t>
          </r>
        </is>
      </c>
      <c r="X26"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26" s="123" t="inlineStr">
        <is>
          <t>Consume · Technology · Band B · People Manager</t>
        </is>
      </c>
      <c r="Z26" s="124" t="n">
        <v>4.5</v>
      </c>
      <c r="AA26" s="125">
        <f>IFERROR(INDEX(WM_C,MATCH($Y26,WM_KEY,0)),"")</f>
        <v>0.42</v>
      </c>
      <c r="AB26" s="126">
        <f>IF(Z26="","",Z26*AA26)</f>
        <v>1.89</v>
      </c>
      <c r="AC26" s="124" t="n">
        <v>5</v>
      </c>
      <c r="AD26" s="125">
        <f>IFERROR(INDEX(WM_AU,MATCH($Y26,WM_KEY,0)),"")</f>
        <v>0.18</v>
      </c>
      <c r="AE26" s="126">
        <f>IF(AC26="","",AC26*AD26)</f>
        <v>0.9</v>
      </c>
      <c r="AF26" s="124" t="n">
        <v>5</v>
      </c>
      <c r="AG26" s="125">
        <f>IFERROR(INDEX(WM_AC,MATCH($Y26,WM_KEY,0)),"")</f>
        <v>0.06</v>
      </c>
      <c r="AH26" s="126">
        <f>IF(AF26="","",AF26*AG26)</f>
        <v>0.3</v>
      </c>
      <c r="AI26" s="124" t="n">
        <v>4</v>
      </c>
      <c r="AJ26" s="125">
        <f>IFERROR(INDEX(WM_L,MATCH($Y26,WM_KEY,0)),"")</f>
        <v>0.15</v>
      </c>
      <c r="AK26" s="126">
        <f>IF(AI26="","",AI26*AJ26)</f>
        <v>0.6</v>
      </c>
      <c r="AL26" s="124" t="n">
        <v>6.5</v>
      </c>
      <c r="AM26" s="125">
        <f>IFERROR(INDEX(WM_E,MATCH($Y26,WM_KEY,0)),"")</f>
        <v>0.1</v>
      </c>
      <c r="AN26" s="126">
        <f>IF(AL26="","",AL26*AM26)</f>
        <v>0.65</v>
      </c>
      <c r="AO26" s="127" t="n">
        <v>5.5</v>
      </c>
      <c r="AP26" s="125">
        <f>IFERROR(INDEX(WM_BI,MATCH($Y26,WM_KEY,0)),"")</f>
        <v>0.09</v>
      </c>
      <c r="AQ26" s="126">
        <f>IF(AO26="","",AO26*AP26)</f>
        <v>0.495</v>
      </c>
      <c r="AR26" s="126">
        <f>IF(COUNT(AB26,AE26,AH26,AK26,AN26,AQ26)&lt;6,"",SUM(AB26,AE26,AH26,AK26,AN26,AQ26))</f>
        <v>4.835</v>
      </c>
      <c r="AS26" s="128" t="str">
        <f>IF(AR26="","",INDEX({"A1","A2","A3","B1","B2","B3","C1","C2","D1","D2","E1","E2"},MAX(1,MIN(12,ROUND(AR26,0)))))</f>
        <v>B2</v>
      </c>
      <c r="AT26"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6" s="130" t="inlineStr">
        <is>
          <r>
            <rPr>
              <rFont val="Calibri"/>
              <b val="1"/>
              <sz val="10"/>
            </rPr>
            <t>At build:</t>
          </r>
          <r>
            <rPr>
              <rFont val="Calibri"/>
              <sz val="10"/>
            </rPr>
            <t xml:space="preserve"> Complexity 1.89 + Autonomy 0.90 + Accountability 0.30 + Leadership 0.60 + Experience 0.65 + Business impact 0.49
= 4.83 points → nearest level 5 = B2
</t>
          </r>
          <r>
            <rPr>
              <rFont val="Calibri"/>
              <b val="1"/>
              <sz val="10"/>
            </rPr>
            <t>Final level:</t>
          </r>
          <r>
            <rPr>
              <rFont val="Calibri"/>
              <sz val="10"/>
            </rPr>
            <t xml:space="preserve"> B2 · same as the score</t>
          </r>
        </is>
      </c>
      <c r="AV26" s="130" t="inlineStr">
        <is>
          <r>
            <rPr>
              <rFont val="Calibri"/>
              <b val="1"/>
              <sz val="10"/>
            </rPr>
            <t>No rule applied:</t>
          </r>
          <r>
            <rPr>
              <rFont val="Calibri"/>
              <sz val="10"/>
            </rPr>
            <t xml:space="preserve"> the score decides.</t>
          </r>
        </is>
      </c>
      <c r="AW26"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RBI Portal: multiple portals, production support, compliance, security and commercial activities → moved down 0.5
</t>
          </r>
          <r>
            <rPr>
              <rFont val="Calibri"/>
              <b val="1"/>
              <sz val="10"/>
            </rPr>
            <t>KRA:</t>
          </r>
          <r>
            <rPr>
              <rFont val="Calibri"/>
              <sz val="10"/>
            </rPr>
            <t xml:space="preserve"> “1. Deliver &gt;=90% of project milestones on schedule and within agreed scope 2. Keep project budget / effort variance within +/-10% of plan…”
</t>
          </r>
          <r>
            <rPr>
              <rFont val="Calibri"/>
              <b val="1"/>
              <sz val="10"/>
            </rPr>
            <t>Market:</t>
          </r>
          <r>
            <rPr>
              <rFont val="Calibri"/>
              <sz val="10"/>
            </rPr>
            <t xml:space="preserve"> B1 = Domain specialist work · B2 = Hardest problems in the domain</t>
          </r>
        </is>
      </c>
      <c r="AX26"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Prioritises tasks, allocates team resources, makes daily delivery and operational decisions → matches the start
</t>
          </r>
          <r>
            <rPr>
              <rFont val="Calibri"/>
              <b val="1"/>
              <sz val="10"/>
            </rPr>
            <t>Market:</t>
          </r>
          <r>
            <rPr>
              <rFont val="Calibri"/>
              <sz val="10"/>
            </rPr>
            <t xml:space="preserve"> B2 = Allocates people and sets team priorities</t>
          </r>
        </is>
      </c>
      <c r="AY26" s="132" t="inlineStr">
        <is>
          <r>
            <rPr>
              <rFont val="Calibri"/>
              <sz val="10"/>
            </rPr>
            <t xml:space="preserve">Rated 5 of 12
</t>
          </r>
          <r>
            <rPr>
              <rFont val="Calibri"/>
              <b val="1"/>
              <sz val="10"/>
            </rPr>
            <t>Start:</t>
          </r>
          <r>
            <rPr>
              <rFont val="Calibri"/>
              <sz val="10"/>
            </rPr>
            <t xml:space="preserve"> 4.5 · manager / senior specialist title; 4 direct reports
</t>
          </r>
          <r>
            <rPr>
              <rFont val="Calibri"/>
              <b val="1"/>
              <sz val="10"/>
            </rPr>
            <t>Evidence reads like B2:</t>
          </r>
          <r>
            <rPr>
              <rFont val="Calibri"/>
              <sz val="10"/>
            </rPr>
            <t xml:space="preserve"> End-to-end project delivery: timelines, scope, client commitments, production support, commercials → moved up 0.5
</t>
          </r>
          <r>
            <rPr>
              <rFont val="Calibri"/>
              <b val="1"/>
              <sz val="10"/>
            </rPr>
            <t>KRA:</t>
          </r>
          <r>
            <rPr>
              <rFont val="Calibri"/>
              <sz val="10"/>
            </rPr>
            <t xml:space="preserve"> “1. Deliver &gt;=90% of project milestones on schedule and within agreed scope 2. Keep project budget / effort variance within +/-10% of plan…”
</t>
          </r>
          <r>
            <rPr>
              <rFont val="Calibri"/>
              <b val="1"/>
              <sz val="10"/>
            </rPr>
            <t>Market:</t>
          </r>
          <r>
            <rPr>
              <rFont val="Calibri"/>
              <sz val="10"/>
            </rPr>
            <t xml:space="preserve"> B2 = One team or a client portfolio</t>
          </r>
        </is>
      </c>
      <c r="AZ26"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Manages team and resources; 4 direct reports; cross-functional coordination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26" s="132" t="inlineStr">
        <is>
          <r>
            <rPr>
              <rFont val="Calibri"/>
              <sz val="10"/>
            </rPr>
            <t xml:space="preserve">Rated 6.5 of 12 · between B3 and C1
</t>
          </r>
          <r>
            <rPr>
              <rFont val="Calibri"/>
              <b val="1"/>
              <sz val="10"/>
            </rPr>
            <t>Experience:</t>
          </r>
          <r>
            <rPr>
              <rFont val="Calibri"/>
              <sz val="10"/>
            </rPr>
            <t xml:space="preserve"> 11.1 yrs total · 6.1 before IRIS + 5.0 at IRIS = 6.5 on the experience scale
</t>
          </r>
          <r>
            <rPr>
              <rFont val="Calibri"/>
              <b val="1"/>
              <sz val="10"/>
            </rPr>
            <t>Qualification:</t>
          </r>
          <r>
            <rPr>
              <rFont val="Calibri"/>
              <sz val="10"/>
            </rPr>
            <t xml:space="preserve"> MMS · postgraduate → no change
</t>
          </r>
          <r>
            <rPr>
              <rFont val="Calibri"/>
              <b val="1"/>
              <sz val="10"/>
            </rPr>
            <t>Market:</t>
          </r>
          <r>
            <rPr>
              <rFont val="Calibri"/>
              <sz val="10"/>
            </rPr>
            <t xml:space="preserve"> B2 roles typically have 6–10 yrs · IRIS guide 6–9</t>
          </r>
        </is>
      </c>
      <c r="BB26"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26" s="138" t="inlineStr"/>
      <c r="BD26" s="134" t="inlineStr">
        <is>
          <t>✓ HRIS: 11.1 yrs, MMS, 4 direct reports
✓ Survey: 20 of 20 questions answered
✓ KRAs: manager-set, quarterly
✓ Manager mapping: rating, potential, 9-box
✗ Job description: not on file</t>
        </is>
      </c>
      <c r="BE26"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26" s="134" t="inlineStr">
        <is>
          <t>High</t>
        </is>
      </c>
      <c r="BG26" s="134" t="inlineStr">
        <is>
          <t>• A direct report · Nishant Kohakade, B3 is placed above this role — confirm the reporting line and the scope of both roles</t>
        </is>
      </c>
      <c r="BH26" s="134" t="inlineStr"/>
      <c r="BI26" s="135" t="n"/>
      <c r="BJ26" s="136" t="n"/>
      <c r="BK26" s="136" t="n"/>
      <c r="BL26" s="136" t="n"/>
      <c r="BM26" s="136" t="n"/>
      <c r="BN26" s="137" t="n"/>
      <c r="BO26" s="120" t="n"/>
      <c r="BP26" s="120" t="n"/>
      <c r="BQ26" s="120" t="n"/>
      <c r="BR26" s="120" t="n"/>
      <c r="BS26" s="120" t="n"/>
      <c r="BT26" s="120" t="n"/>
      <c r="BU26" s="120" t="n"/>
      <c r="BV26" s="120" t="n">
        <v>5.5</v>
      </c>
    </row>
    <row r="27" ht="340" customHeight="1">
      <c r="A27" s="109" t="inlineStr">
        <is>
          <t>IRIS0538</t>
        </is>
      </c>
      <c r="B27" s="110" t="inlineStr">
        <is>
          <t>Waqar Tarique</t>
        </is>
      </c>
      <c r="C27" s="111" t="inlineStr">
        <is>
          <t>Technology</t>
        </is>
      </c>
      <c r="D27" s="111" t="inlineStr">
        <is>
          <t>Zakiruddin Shaikh</t>
        </is>
      </c>
      <c r="E27" s="112" t="n">
        <v>16.4</v>
      </c>
      <c r="F27" s="112" t="n">
        <v>15.6</v>
      </c>
      <c r="G27" s="111" t="inlineStr">
        <is>
          <t>MSc</t>
        </is>
      </c>
      <c r="H27" s="113" t="inlineStr">
        <is>
          <t>Senior Software Engineer</t>
        </is>
      </c>
      <c r="I27" s="114" t="inlineStr">
        <is>
          <t>Technical Specialist</t>
        </is>
      </c>
      <c r="J27" s="115" t="inlineStr">
        <is>
          <t>Engineering &amp; Development</t>
        </is>
      </c>
      <c r="K27" s="115" t="inlineStr">
        <is>
          <t>Application Maintenance &amp; Production Support</t>
        </is>
      </c>
      <c r="L27" s="114" t="inlineStr">
        <is>
          <t>L4 – Senior</t>
        </is>
      </c>
      <c r="M27" s="116" t="inlineStr">
        <is>
          <t>B1</t>
        </is>
      </c>
      <c r="N27" s="21" t="inlineStr">
        <is>
          <t>Specialist</t>
        </is>
      </c>
      <c r="O27" s="23" t="inlineStr">
        <is>
          <t>B</t>
        </is>
      </c>
      <c r="P27" s="115" t="inlineStr">
        <is>
          <t>IC</t>
        </is>
      </c>
      <c r="Q27" s="117" t="inlineStr">
        <is>
          <t>▲ Up</t>
        </is>
      </c>
      <c r="R27" s="118" t="inlineStr">
        <is>
          <r>
            <rPr>
              <rFont val="Calibri"/>
              <b val="1"/>
              <sz val="10"/>
            </rPr>
            <t>WHAT THE ROLE DOES:</t>
          </r>
          <r>
            <rPr>
              <rFont val="Calibri"/>
              <sz val="10"/>
            </rPr>
            <t xml:space="preserve"> Keeps live applications/portals running — production fixes, patches, small enhancements, CRs. At B1: a domain / module, or a small team.
</t>
          </r>
          <r>
            <rPr>
              <rFont val="Calibri"/>
              <b val="1"/>
              <sz val="10"/>
            </rPr>
            <t>Common themes in sub-family holders, all levels' answers:</t>
          </r>
          <r>
            <rPr>
              <rFont val="Calibri"/>
              <sz val="10"/>
            </rPr>
            <t xml:space="preserve"> maintain · reliable · business · requirements · developer · rbi
</t>
          </r>
          <r>
            <rPr>
              <rFont val="Calibri"/>
              <b val="1"/>
              <sz val="10"/>
            </rPr>
            <t>KEY RESPONSIBILITIES:</t>
          </r>
          <r>
            <rPr>
              <rFont val="Calibri"/>
              <sz val="10"/>
            </rPr>
            <t xml:space="preserve"> Keeps live applications/portals running — production fixes, patches, small enhancements, CRs; Domain specialist work; A domain or a small team
</t>
          </r>
          <r>
            <rPr>
              <rFont val="Calibri"/>
              <b val="1"/>
              <sz val="10"/>
            </rPr>
            <t>Common themes in sub-family holders, all levels' answers:</t>
          </r>
          <r>
            <rPr>
              <rFont val="Calibri"/>
              <sz val="10"/>
            </rPr>
            <t xml:space="preserve"> development · support · maintenance · code · bug fixing · feature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maintenance · rbi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accountable · personally · testing · features · am · performance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code · technical · fixes · implementation · issues
</t>
          </r>
          <r>
            <rPr>
              <rFont val="Calibri"/>
              <b val="1"/>
              <sz val="10"/>
            </rPr>
            <t>SKILLS &amp; KNOWLEDGE · role-holders:</t>
          </r>
          <r>
            <rPr>
              <rFont val="Calibri"/>
              <sz val="10"/>
            </rPr>
            <t xml:space="preserve"> NET MVC
</t>
          </r>
          <r>
            <rPr>
              <rFont val="Calibri"/>
              <b val="1"/>
              <sz val="10"/>
            </rPr>
            <t>TOOLS &amp; SYSTEMS:</t>
          </r>
          <r>
            <rPr>
              <rFont val="Calibri"/>
              <sz val="10"/>
            </rPr>
            <t xml:space="preserve"> Postman · IIS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6 answered; catalogue RC-063</t>
          </r>
        </is>
      </c>
      <c r="S2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lead · issues · poor.
Manager talent mapping — Latest rating: 4 · Potential: High · 9-Box Grid placement: Core Contributor.</t>
          </r>
        </is>
      </c>
      <c r="T27" s="120" t="n"/>
      <c r="U27" s="121" t="inlineStr">
        <is>
          <r>
            <rPr>
              <rFont val="Calibri"/>
              <sz val="10"/>
            </rPr>
            <t xml:space="preserve">Technical Specialist in Technology · Consume, B1 — IC.
</t>
          </r>
          <r>
            <rPr>
              <rFont val="Calibri"/>
              <b val="1"/>
              <sz val="10"/>
            </rPr>
            <t>The work:</t>
          </r>
          <r>
            <rPr>
              <rFont val="Calibri"/>
              <sz val="10"/>
            </rPr>
            <t xml:space="preserve"> Keeps live applications/portals running — production fixes, patches, small enhancements, CRs.
At this level the role owns a domain / module, or a small team.
</t>
          </r>
          <r>
            <rPr>
              <rFont val="Calibri"/>
              <b val="1"/>
              <sz val="10"/>
            </rPr>
            <t>Key responsibilities:</t>
          </r>
          <r>
            <rPr>
              <rFont val="Calibri"/>
              <sz val="10"/>
            </rPr>
            <t xml:space="preserve"> Keeps live applications/portals running — production fixes, patches, small enhancements, CRs; Domain specialist work; A domain or a small team.
</t>
          </r>
          <r>
            <rPr>
              <rFont val="Calibri"/>
              <b val="1"/>
              <sz val="10"/>
            </rPr>
            <t>Holders describe it with:</t>
          </r>
          <r>
            <rPr>
              <rFont val="Calibri"/>
              <sz val="10"/>
            </rPr>
            <t xml:space="preserve"> development · support · maintenance · code · bug fixing · feature.</t>
          </r>
        </is>
      </c>
      <c r="V27" s="122" t="inlineStr">
        <is>
          <r>
            <rPr>
              <rFont val="Calibri"/>
              <b val="1"/>
              <sz val="10"/>
            </rPr>
            <t>Hire as:</t>
          </r>
          <r>
            <rPr>
              <rFont val="Calibri"/>
              <sz val="10"/>
            </rPr>
            <t xml:space="preserve"> Senior Software Engineer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7"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NET MVC
</t>
          </r>
          <r>
            <rPr>
              <rFont val="Calibri"/>
              <b val="1"/>
              <sz val="10"/>
            </rPr>
            <t>TOOLS:</t>
          </r>
          <r>
            <rPr>
              <rFont val="Calibri"/>
              <sz val="10"/>
            </rPr>
            <t xml:space="preserve"> Postman · IIS
★ = must-have for the family. Scale: 1 Awareness · 2 Working · 3 Practitioner · 4 Advanced · 5 Expert.</t>
          </r>
        </is>
      </c>
      <c r="X27"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7" s="123" t="inlineStr">
        <is>
          <t>Consume · Technology · Band B · Expert / POD Lead</t>
        </is>
      </c>
      <c r="Z27" s="124" t="n">
        <v>3</v>
      </c>
      <c r="AA27" s="125">
        <f>IFERROR(INDEX(WM_C,MATCH($Y27,WM_KEY,0)),"")</f>
        <v>0.56</v>
      </c>
      <c r="AB27" s="126">
        <f>IF(Z27="","",Z27*AA27)</f>
        <v>1.68</v>
      </c>
      <c r="AC27" s="124" t="n">
        <v>2.5</v>
      </c>
      <c r="AD27" s="125">
        <f>IFERROR(INDEX(WM_AU,MATCH($Y27,WM_KEY,0)),"")</f>
        <v>0.17</v>
      </c>
      <c r="AE27" s="126">
        <f>IF(AC27="","",AC27*AD27)</f>
        <v>0.425</v>
      </c>
      <c r="AF27" s="124" t="n">
        <v>3</v>
      </c>
      <c r="AG27" s="125">
        <f>IFERROR(INDEX(WM_AC,MATCH($Y27,WM_KEY,0)),"")</f>
        <v>0.05</v>
      </c>
      <c r="AH27" s="126">
        <f>IF(AF27="","",AF27*AG27)</f>
        <v>0.15</v>
      </c>
      <c r="AI27" s="124" t="n">
        <v>2.5</v>
      </c>
      <c r="AJ27" s="125">
        <f>IFERROR(INDEX(WM_L,MATCH($Y27,WM_KEY,0)),"")</f>
        <v>0.05</v>
      </c>
      <c r="AK27" s="126">
        <f>IF(AI27="","",AI27*AJ27)</f>
        <v>0.125</v>
      </c>
      <c r="AL27" s="124" t="n">
        <v>9</v>
      </c>
      <c r="AM27" s="125">
        <f>IFERROR(INDEX(WM_E,MATCH($Y27,WM_KEY,0)),"")</f>
        <v>0.1</v>
      </c>
      <c r="AN27" s="126">
        <f>IF(AL27="","",AL27*AM27)</f>
        <v>0.9</v>
      </c>
      <c r="AO27" s="127" t="n">
        <v>3.5</v>
      </c>
      <c r="AP27" s="125">
        <f>IFERROR(INDEX(WM_BI,MATCH($Y27,WM_KEY,0)),"")</f>
        <v>0.07</v>
      </c>
      <c r="AQ27" s="126">
        <f>IF(AO27="","",AO27*AP27)</f>
        <v>0.245</v>
      </c>
      <c r="AR27" s="126">
        <f>IF(COUNT(AB27,AE27,AH27,AK27,AN27,AQ27)&lt;6,"",SUM(AB27,AE27,AH27,AK27,AN27,AQ27))</f>
        <v>3.525</v>
      </c>
      <c r="AS27" s="128" t="str">
        <f>IF(AR27="","",INDEX({"A1","A2","A3","B1","B2","B3","C1","C2","D1","D2","E1","E2"},MAX(1,MIN(12,ROUND(AR27,0)))))</f>
        <v>B1</v>
      </c>
      <c r="AT27"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7" s="130" t="inlineStr">
        <is>
          <r>
            <rPr>
              <rFont val="Calibri"/>
              <b val="1"/>
              <sz val="10"/>
            </rPr>
            <t>At build:</t>
          </r>
          <r>
            <rPr>
              <rFont val="Calibri"/>
              <sz val="10"/>
            </rPr>
            <t xml:space="preserve"> Complexity 1.68 + Autonomy 0.43 + Accountability 0.15 + Leadership 0.12 + Experience 0.90 + Business impact 0.25
= 3.53 points → nearest level 4 = B1
</t>
          </r>
          <r>
            <rPr>
              <rFont val="Calibri"/>
              <b val="1"/>
              <sz val="10"/>
            </rPr>
            <t>Final level:</t>
          </r>
          <r>
            <rPr>
              <rFont val="Calibri"/>
              <sz val="10"/>
            </rPr>
            <t xml:space="preserve"> B1 · same as the score</t>
          </r>
        </is>
      </c>
      <c r="AV27" s="130" t="inlineStr">
        <is>
          <r>
            <rPr>
              <rFont val="Calibri"/>
              <b val="1"/>
              <sz val="10"/>
            </rPr>
            <t>No rule applied:</t>
          </r>
          <r>
            <rPr>
              <rFont val="Calibri"/>
              <sz val="10"/>
            </rPr>
            <t xml:space="preserve"> the score decides.</t>
          </r>
        </is>
      </c>
      <c r="AW27"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Develops and maintains the RBI website, administers its database and reviews others' code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2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Says nothing is decided without approval; every change needs UAT and VAPT/CSRA sign-off → moved down 0.5
</t>
          </r>
          <r>
            <rPr>
              <rFont val="Calibri"/>
              <b val="1"/>
              <sz val="10"/>
            </rPr>
            <t>Market:</t>
          </r>
          <r>
            <rPr>
              <rFont val="Calibri"/>
              <sz val="10"/>
            </rPr>
            <t xml:space="preserve"> A2 = Chooses own approach within standards · A3 = Technical / QC / client calls on own work</t>
          </r>
        </is>
      </c>
      <c r="AY27"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Answers for RBI website uptime and business continuity; an outage triggers management escalation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27" s="132" t="inlineStr">
        <is>
          <r>
            <rPr>
              <rFont val="Calibri"/>
              <sz val="10"/>
            </rPr>
            <t xml:space="preserve">Rated 2.5 of 12 · between A2 and A3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Lists code review and mentoring/monitoring as standing duties; no team size given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27" s="132" t="inlineStr">
        <is>
          <r>
            <rPr>
              <rFont val="Calibri"/>
              <sz val="10"/>
            </rPr>
            <t xml:space="preserve">Rated 9 of 12
</t>
          </r>
          <r>
            <rPr>
              <rFont val="Calibri"/>
              <b val="1"/>
              <sz val="10"/>
            </rPr>
            <t>Experience:</t>
          </r>
          <r>
            <rPr>
              <rFont val="Calibri"/>
              <sz val="10"/>
            </rPr>
            <t xml:space="preserve"> 16.4 yrs total · 0.8 before IRIS + 15.6 at IRIS = 8.6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B1 roles typically have 4–8 yrs · IRIS guide 4–7</t>
          </r>
        </is>
      </c>
      <c r="BB27"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7" s="138" t="inlineStr"/>
      <c r="BD27" s="134" t="inlineStr">
        <is>
          <t>✓ HRIS: 16.4 yrs, MSc, 0 direct reports
✓ Survey: 18 of 20 questions answered
✓ KRAs: manager-set, quarterly
✓ Manager mapping: rating, potential, 9-box
✗ Job description: not on file</t>
        </is>
      </c>
      <c r="BE27"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27" s="134" t="inlineStr">
        <is>
          <t>High</t>
        </is>
      </c>
      <c r="BG27" s="134" t="inlineStr">
        <is>
          <r>
            <rPr>
              <rFont val="Calibri"/>
              <sz val="10"/>
            </rPr>
            <t xml:space="preserve">• </t>
          </r>
          <r>
            <rPr>
              <rFont val="Calibri"/>
              <b val="1"/>
              <sz val="10"/>
            </rPr>
            <t>Close call:</t>
          </r>
          <r>
            <rPr>
              <rFont val="Calibri"/>
              <sz val="10"/>
            </rPr>
            <t xml:space="preserve"> score 3.53 is within 0.05 of a rounding point and the score decided the level — calibrate against peers before confirming</t>
          </r>
        </is>
      </c>
      <c r="BH27" s="140" t="inlineStr">
        <is>
          <t>Close call</t>
        </is>
      </c>
      <c r="BI27" s="135" t="n"/>
      <c r="BJ27" s="136" t="n"/>
      <c r="BK27" s="136" t="n"/>
      <c r="BL27" s="136" t="n"/>
      <c r="BM27" s="136" t="n"/>
      <c r="BN27" s="137" t="n"/>
      <c r="BO27" s="120" t="n"/>
      <c r="BP27" s="120" t="n"/>
      <c r="BQ27" s="120" t="n"/>
      <c r="BR27" s="120" t="n"/>
      <c r="BS27" s="120" t="n"/>
      <c r="BT27" s="120" t="n"/>
      <c r="BU27" s="120" t="n"/>
      <c r="BV27" s="120" t="n">
        <v>3.5</v>
      </c>
    </row>
    <row r="28" ht="340" customHeight="1">
      <c r="A28" s="109" t="inlineStr">
        <is>
          <t>IRIS2485</t>
        </is>
      </c>
      <c r="B28" s="110" t="inlineStr">
        <is>
          <t>Safal Gupta</t>
        </is>
      </c>
      <c r="C28" s="111" t="inlineStr">
        <is>
          <t>Technology</t>
        </is>
      </c>
      <c r="D28" s="111" t="inlineStr">
        <is>
          <t>Zakiruddin Shaikh</t>
        </is>
      </c>
      <c r="E28" s="112" t="n">
        <v>5.8</v>
      </c>
      <c r="F28" s="112" t="n">
        <v>0.6</v>
      </c>
      <c r="G28" s="111" t="inlineStr">
        <is>
          <t>B.E</t>
        </is>
      </c>
      <c r="H28" s="146" t="inlineStr">
        <is>
          <t>Senior Software Engineer</t>
        </is>
      </c>
      <c r="I28" s="115" t="inlineStr">
        <is>
          <t>Senior Software Engineer</t>
        </is>
      </c>
      <c r="J28" s="115" t="inlineStr">
        <is>
          <t>Engineering &amp; Development</t>
        </is>
      </c>
      <c r="K28" s="115" t="inlineStr">
        <is>
          <t>Application Maintenance &amp; Production Support</t>
        </is>
      </c>
      <c r="L28" s="115" t="inlineStr">
        <is>
          <t>L4 – Senior</t>
        </is>
      </c>
      <c r="M28" s="141" t="inlineStr">
        <is>
          <t>A3</t>
        </is>
      </c>
      <c r="N28" s="139" t="inlineStr">
        <is>
          <t>Senior Associate</t>
        </is>
      </c>
      <c r="O28" s="26" t="inlineStr">
        <is>
          <t>A</t>
        </is>
      </c>
      <c r="P28" s="115" t="inlineStr">
        <is>
          <t>IC</t>
        </is>
      </c>
      <c r="Q28" s="142" t="inlineStr">
        <is>
          <t>• Same level</t>
        </is>
      </c>
      <c r="R28" s="118" t="inlineStr">
        <is>
          <r>
            <rPr>
              <rFont val="Calibri"/>
              <b val="1"/>
              <sz val="10"/>
            </rPr>
            <t>WHAT THE ROLE DOES:</t>
          </r>
          <r>
            <rPr>
              <rFont val="Calibri"/>
              <sz val="10"/>
            </rPr>
            <t xml:space="preserve"> 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personally · testing · features · am · performance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fixes · implementation · technical
</t>
          </r>
          <r>
            <rPr>
              <rFont val="Calibri"/>
              <b val="1"/>
              <sz val="10"/>
            </rPr>
            <t>SKILLS &amp; KNOWLEDGE · role-holders:</t>
          </r>
          <r>
            <rPr>
              <rFont val="Calibri"/>
              <sz val="10"/>
            </rPr>
            <t xml:space="preserve"> NET MVC
</t>
          </r>
          <r>
            <rPr>
              <rFont val="Calibri"/>
              <b val="1"/>
              <sz val="10"/>
            </rPr>
            <t>TOOLS &amp; SYSTEMS:</t>
          </r>
          <r>
            <rPr>
              <rFont val="Calibri"/>
              <sz val="10"/>
            </rPr>
            <t xml:space="preserve"> Postman · IIS
</t>
          </r>
          <r>
            <rPr>
              <rFont val="Calibri"/>
              <b val="1"/>
              <sz val="10"/>
            </rPr>
            <t>MANAGER-SET KRAs:</t>
          </r>
          <r>
            <rPr>
              <rFont val="Calibri"/>
              <sz val="10"/>
            </rPr>
            <t xml:space="preserve"> Common themes in manager-set KRAs: considering critical · stories considering · leakage qa/uat · production support · live production · responsibilities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6 answered; catalogue RC-062</t>
          </r>
        </is>
      </c>
      <c r="S2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4 · 9-Box Grid placement: Emerging Talent.</t>
          </r>
        </is>
      </c>
      <c r="T28" s="120" t="n"/>
      <c r="U28" s="121" t="inlineStr">
        <is>
          <r>
            <rPr>
              <rFont val="Calibri"/>
              <sz val="10"/>
            </rPr>
            <t xml:space="preserve">Senior Software Engineer in Technology · Consume, A3 — IC.
</t>
          </r>
          <r>
            <rPr>
              <rFont val="Calibri"/>
              <b val="1"/>
              <sz val="10"/>
            </rPr>
            <t>The work:</t>
          </r>
          <r>
            <rPr>
              <rFont val="Calibri"/>
              <sz val="10"/>
            </rPr>
            <t xml:space="preserve"> Keeps live applications/portals running — production fixes, patches, small enhancements, CRs.
At this level the role owns varied work; reviews juniors; go-to for a process.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Holders describe it with:</t>
          </r>
          <r>
            <rPr>
              <rFont val="Calibri"/>
              <sz val="10"/>
            </rPr>
            <t xml:space="preserve"> development · support · maintenance · bug fixing · feature · performance.</t>
          </r>
        </is>
      </c>
      <c r="V28"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8"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t>
          </r>
          <r>
            <rPr>
              <rFont val="Calibri"/>
              <b val="1"/>
              <sz val="10"/>
            </rPr>
            <t>TOOLS:</t>
          </r>
          <r>
            <rPr>
              <rFont val="Calibri"/>
              <sz val="10"/>
            </rPr>
            <t xml:space="preserve"> Postman · IIS
★ = must-have for the family. Scale: 1 Awareness · 2 Working · 3 Practitioner · 4 Advanced · 5 Expert.</t>
          </r>
        </is>
      </c>
      <c r="X28"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8" s="123" t="inlineStr">
        <is>
          <t>Consume · Technology · Band A · Early career</t>
        </is>
      </c>
      <c r="Z28" s="124" t="n">
        <v>3</v>
      </c>
      <c r="AA28" s="125">
        <f>IFERROR(INDEX(WM_C,MATCH($Y28,WM_KEY,0)),"")</f>
        <v>0.64</v>
      </c>
      <c r="AB28" s="126">
        <f>IF(Z28="","",Z28*AA28)</f>
        <v>1.92</v>
      </c>
      <c r="AC28" s="124" t="n">
        <v>3</v>
      </c>
      <c r="AD28" s="125">
        <f>IFERROR(INDEX(WM_AU,MATCH($Y28,WM_KEY,0)),"")</f>
        <v>0.16</v>
      </c>
      <c r="AE28" s="126">
        <f>IF(AC28="","",AC28*AD28)</f>
        <v>0.48</v>
      </c>
      <c r="AF28" s="124" t="n">
        <v>3</v>
      </c>
      <c r="AG28" s="125">
        <f>IFERROR(INDEX(WM_AC,MATCH($Y28,WM_KEY,0)),"")</f>
        <v>0.04</v>
      </c>
      <c r="AH28" s="126">
        <f>IF(AF28="","",AF28*AG28)</f>
        <v>0.12</v>
      </c>
      <c r="AI28" s="124" t="n">
        <v>1.5</v>
      </c>
      <c r="AJ28" s="125">
        <f>IFERROR(INDEX(WM_L,MATCH($Y28,WM_KEY,0)),"")</f>
        <v>0</v>
      </c>
      <c r="AK28" s="126">
        <f>IF(AI28="","",AI28*AJ28)</f>
        <v>0</v>
      </c>
      <c r="AL28" s="124" t="n">
        <v>4</v>
      </c>
      <c r="AM28" s="125">
        <f>IFERROR(INDEX(WM_E,MATCH($Y28,WM_KEY,0)),"")</f>
        <v>0.1</v>
      </c>
      <c r="AN28" s="126">
        <f>IF(AL28="","",AL28*AM28)</f>
        <v>0.4</v>
      </c>
      <c r="AO28" s="127" t="n">
        <v>3.5</v>
      </c>
      <c r="AP28" s="125">
        <f>IFERROR(INDEX(WM_BI,MATCH($Y28,WM_KEY,0)),"")</f>
        <v>0.06</v>
      </c>
      <c r="AQ28" s="126">
        <f>IF(AO28="","",AO28*AP28)</f>
        <v>0.21</v>
      </c>
      <c r="AR28" s="126">
        <f>IF(COUNT(AB28,AE28,AH28,AK28,AN28,AQ28)&lt;6,"",SUM(AB28,AE28,AH28,AK28,AN28,AQ28))</f>
        <v>3.13</v>
      </c>
      <c r="AS28" s="128" t="str">
        <f>IF(AR28="","",INDEX({"A1","A2","A3","B1","B2","B3","C1","C2","D1","D2","E1","E2"},MAX(1,MIN(12,ROUND(AR28,0)))))</f>
        <v>A3</v>
      </c>
      <c r="AT2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8" s="130" t="inlineStr">
        <is>
          <r>
            <rPr>
              <rFont val="Calibri"/>
              <b val="1"/>
              <sz val="10"/>
            </rPr>
            <t>At build:</t>
          </r>
          <r>
            <rPr>
              <rFont val="Calibri"/>
              <sz val="10"/>
            </rPr>
            <t xml:space="preserve"> Complexity 1.92 + Autonomy 0.48 + Accountability 0.12 + Leadership 0.00 + Experience 0.40 + Business impact 0.21
= 3.13 points → nearest level 3 = A3
</t>
          </r>
          <r>
            <rPr>
              <rFont val="Calibri"/>
              <b val="1"/>
              <sz val="10"/>
            </rPr>
            <t>Final level:</t>
          </r>
          <r>
            <rPr>
              <rFont val="Calibri"/>
              <sz val="10"/>
            </rPr>
            <t xml:space="preserve"> A3 · same as the score</t>
          </r>
        </is>
      </c>
      <c r="AV28" s="130" t="inlineStr">
        <is>
          <r>
            <rPr>
              <rFont val="Calibri"/>
              <b val="1"/>
              <sz val="10"/>
            </rPr>
            <t>No rule applied:</t>
          </r>
          <r>
            <rPr>
              <rFont val="Calibri"/>
              <sz val="10"/>
            </rPr>
            <t xml:space="preserve"> the score decides.</t>
          </r>
        </is>
      </c>
      <c r="AW28"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Develops and supports RBI web portals; security remediation · VAPT, performance tuning, database work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28"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code implementation, debugging, optimisation and technical fixes → matches the start
</t>
          </r>
          <r>
            <rPr>
              <rFont val="Calibri"/>
              <b val="1"/>
              <sz val="10"/>
            </rPr>
            <t>Market:</t>
          </r>
          <r>
            <rPr>
              <rFont val="Calibri"/>
              <sz val="10"/>
            </rPr>
            <t xml:space="preserve"> A3 = Technical / QC / client calls on own work</t>
          </r>
        </is>
      </c>
      <c r="AY28"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Development, security fixes and production support on critical government portals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28"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8" s="132" t="inlineStr">
        <is>
          <r>
            <rPr>
              <rFont val="Calibri"/>
              <sz val="10"/>
            </rPr>
            <t xml:space="preserve">Rated 4 of 12
</t>
          </r>
          <r>
            <rPr>
              <rFont val="Calibri"/>
              <b val="1"/>
              <sz val="10"/>
            </rPr>
            <t>Experience:</t>
          </r>
          <r>
            <rPr>
              <rFont val="Calibri"/>
              <sz val="10"/>
            </rPr>
            <t xml:space="preserve"> 5.8 yrs total · 5.2 before IRIS + 0.6 at IRIS = 4.2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8"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8" s="138" t="inlineStr"/>
      <c r="BD28" s="134" t="inlineStr">
        <is>
          <t>✓ HRIS: 5.8 yrs, B.E, 0 direct reports
✓ Survey: 20 of 20 questions answered
✓ KRAs: manager-set, quarterly
✓ Manager mapping: rating, 9-box
✗ Job description: not on file</t>
        </is>
      </c>
      <c r="BE28"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8" s="134" t="inlineStr">
        <is>
          <t>High</t>
        </is>
      </c>
      <c r="BG28" s="134" t="inlineStr"/>
      <c r="BH28" s="134" t="inlineStr"/>
      <c r="BI28" s="135" t="n"/>
      <c r="BJ28" s="136" t="n"/>
      <c r="BK28" s="136" t="n"/>
      <c r="BL28" s="136" t="n"/>
      <c r="BM28" s="136" t="n"/>
      <c r="BN28" s="137" t="n"/>
      <c r="BO28" s="120" t="n"/>
      <c r="BP28" s="120" t="n"/>
      <c r="BQ28" s="120" t="n"/>
      <c r="BR28" s="120" t="n"/>
      <c r="BS28" s="120" t="n"/>
      <c r="BT28" s="120" t="n"/>
      <c r="BU28" s="120" t="n"/>
      <c r="BV28" s="120" t="n">
        <v>3.5</v>
      </c>
    </row>
    <row r="29" ht="340" customHeight="1">
      <c r="A29" s="109" t="inlineStr">
        <is>
          <t>IRIS1901</t>
        </is>
      </c>
      <c r="B29" s="110" t="inlineStr">
        <is>
          <t>Sharad Mane</t>
        </is>
      </c>
      <c r="C29" s="111" t="inlineStr">
        <is>
          <t>Technology</t>
        </is>
      </c>
      <c r="D29" s="111" t="inlineStr">
        <is>
          <t>Zakiruddin Shaikh</t>
        </is>
      </c>
      <c r="E29" s="112" t="n">
        <v>11.4</v>
      </c>
      <c r="F29" s="112" t="n">
        <v>5.6</v>
      </c>
      <c r="G29" s="111" t="inlineStr">
        <is>
          <t>B.E</t>
        </is>
      </c>
      <c r="H29" s="113" t="inlineStr">
        <is>
          <t>Senior Software Engineer</t>
        </is>
      </c>
      <c r="I29" s="114" t="inlineStr">
        <is>
          <t>Technical Specialist</t>
        </is>
      </c>
      <c r="J29" s="115" t="inlineStr">
        <is>
          <t>Engineering &amp; Development</t>
        </is>
      </c>
      <c r="K29" s="115" t="inlineStr">
        <is>
          <t>Application Maintenance &amp; Production Support</t>
        </is>
      </c>
      <c r="L29" s="114" t="inlineStr">
        <is>
          <t>L4 – Senior</t>
        </is>
      </c>
      <c r="M29" s="116" t="inlineStr">
        <is>
          <t>A3</t>
        </is>
      </c>
      <c r="N29" s="139" t="inlineStr">
        <is>
          <t>Senior Associate</t>
        </is>
      </c>
      <c r="O29" s="26" t="inlineStr">
        <is>
          <t>A</t>
        </is>
      </c>
      <c r="P29" s="115" t="inlineStr">
        <is>
          <t>IC</t>
        </is>
      </c>
      <c r="Q29" s="117" t="inlineStr">
        <is>
          <t>▲ Up</t>
        </is>
      </c>
      <c r="R29" s="118" t="inlineStr">
        <is>
          <r>
            <rPr>
              <rFont val="Calibri"/>
              <b val="1"/>
              <sz val="10"/>
            </rPr>
            <t>WHAT THE ROLE DOES:</t>
          </r>
          <r>
            <rPr>
              <rFont val="Calibri"/>
              <sz val="10"/>
            </rPr>
            <t xml:space="preserve"> 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personally · testing · features · am · performance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fixes · implementation · technical
</t>
          </r>
          <r>
            <rPr>
              <rFont val="Calibri"/>
              <b val="1"/>
              <sz val="10"/>
            </rPr>
            <t>SKILLS &amp; KNOWLEDGE · role-holders:</t>
          </r>
          <r>
            <rPr>
              <rFont val="Calibri"/>
              <sz val="10"/>
            </rPr>
            <t xml:space="preserve"> NET MVC
</t>
          </r>
          <r>
            <rPr>
              <rFont val="Calibri"/>
              <b val="1"/>
              <sz val="10"/>
            </rPr>
            <t>TOOLS &amp; SYSTEMS:</t>
          </r>
          <r>
            <rPr>
              <rFont val="Calibri"/>
              <sz val="10"/>
            </rPr>
            <t xml:space="preserve"> Postman · IIS
</t>
          </r>
          <r>
            <rPr>
              <rFont val="Calibri"/>
              <b val="1"/>
              <sz val="10"/>
            </rPr>
            <t>MANAGER-SET KRAs:</t>
          </r>
          <r>
            <rPr>
              <rFont val="Calibri"/>
              <sz val="10"/>
            </rPr>
            <t xml:space="preserve"> Common themes in manager-set KRAs: considering critical · stories considering · leakage qa/uat · production support · live production · responsibilities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6 answered; catalogue RC-062</t>
          </r>
        </is>
      </c>
      <c r="S2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4 · Potential: High · 9-Box Grid placement: Core Contributor.</t>
          </r>
        </is>
      </c>
      <c r="T29" s="120" t="n"/>
      <c r="U29" s="121" t="inlineStr">
        <is>
          <r>
            <rPr>
              <rFont val="Calibri"/>
              <sz val="10"/>
            </rPr>
            <t xml:space="preserve">Technical Specialist in Technology · Consume, A3 — IC.
</t>
          </r>
          <r>
            <rPr>
              <rFont val="Calibri"/>
              <b val="1"/>
              <sz val="10"/>
            </rPr>
            <t>The work:</t>
          </r>
          <r>
            <rPr>
              <rFont val="Calibri"/>
              <sz val="10"/>
            </rPr>
            <t xml:space="preserve"> Keeps live applications/portals running — production fixes, patches, small enhancements, CRs.
At this level the role owns varied work; reviews juniors; go-to for a process.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Holders describe it with:</t>
          </r>
          <r>
            <rPr>
              <rFont val="Calibri"/>
              <sz val="10"/>
            </rPr>
            <t xml:space="preserve"> development · support · maintenance · bug fixing · feature · performance.</t>
          </r>
        </is>
      </c>
      <c r="V29" s="122" t="inlineStr">
        <is>
          <r>
            <rPr>
              <rFont val="Calibri"/>
              <b val="1"/>
              <sz val="10"/>
            </rPr>
            <t>Hire as:</t>
          </r>
          <r>
            <rPr>
              <rFont val="Calibri"/>
              <sz val="10"/>
            </rPr>
            <t xml:space="preserve"> Senior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9"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t>
          </r>
          <r>
            <rPr>
              <rFont val="Calibri"/>
              <b val="1"/>
              <sz val="10"/>
            </rPr>
            <t>TOOLS:</t>
          </r>
          <r>
            <rPr>
              <rFont val="Calibri"/>
              <sz val="10"/>
            </rPr>
            <t xml:space="preserve"> Postman · IIS
★ = must-have for the family. Scale: 1 Awareness · 2 Working · 3 Practitioner · 4 Advanced · 5 Expert.</t>
          </r>
        </is>
      </c>
      <c r="X29"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9" s="123" t="inlineStr">
        <is>
          <t>Consume · Technology · Band A · Early career</t>
        </is>
      </c>
      <c r="Z29" s="124" t="n">
        <v>3</v>
      </c>
      <c r="AA29" s="125">
        <f>IFERROR(INDEX(WM_C,MATCH($Y29,WM_KEY,0)),"")</f>
        <v>0.64</v>
      </c>
      <c r="AB29" s="126">
        <f>IF(Z29="","",Z29*AA29)</f>
        <v>1.92</v>
      </c>
      <c r="AC29" s="124" t="n">
        <v>3</v>
      </c>
      <c r="AD29" s="125">
        <f>IFERROR(INDEX(WM_AU,MATCH($Y29,WM_KEY,0)),"")</f>
        <v>0.16</v>
      </c>
      <c r="AE29" s="126">
        <f>IF(AC29="","",AC29*AD29)</f>
        <v>0.48</v>
      </c>
      <c r="AF29" s="124" t="n">
        <v>3</v>
      </c>
      <c r="AG29" s="125">
        <f>IFERROR(INDEX(WM_AC,MATCH($Y29,WM_KEY,0)),"")</f>
        <v>0.04</v>
      </c>
      <c r="AH29" s="126">
        <f>IF(AF29="","",AF29*AG29)</f>
        <v>0.12</v>
      </c>
      <c r="AI29" s="124" t="n">
        <v>1.5</v>
      </c>
      <c r="AJ29" s="125">
        <f>IFERROR(INDEX(WM_L,MATCH($Y29,WM_KEY,0)),"")</f>
        <v>0</v>
      </c>
      <c r="AK29" s="126">
        <f>IF(AI29="","",AI29*AJ29)</f>
        <v>0</v>
      </c>
      <c r="AL29" s="124" t="n">
        <v>6.5</v>
      </c>
      <c r="AM29" s="125">
        <f>IFERROR(INDEX(WM_E,MATCH($Y29,WM_KEY,0)),"")</f>
        <v>0.1</v>
      </c>
      <c r="AN29" s="126">
        <f>IF(AL29="","",AL29*AM29)</f>
        <v>0.65</v>
      </c>
      <c r="AO29" s="127" t="n">
        <v>3</v>
      </c>
      <c r="AP29" s="125">
        <f>IFERROR(INDEX(WM_BI,MATCH($Y29,WM_KEY,0)),"")</f>
        <v>0.06</v>
      </c>
      <c r="AQ29" s="126">
        <f>IF(AO29="","",AO29*AP29)</f>
        <v>0.18</v>
      </c>
      <c r="AR29" s="126">
        <f>IF(COUNT(AB29,AE29,AH29,AK29,AN29,AQ29)&lt;6,"",SUM(AB29,AE29,AH29,AK29,AN29,AQ29))</f>
        <v>3.35</v>
      </c>
      <c r="AS29" s="128" t="str">
        <f>IF(AR29="","",INDEX({"A1","A2","A3","B1","B2","B3","C1","C2","D1","D2","E1","E2"},MAX(1,MIN(12,ROUND(AR29,0)))))</f>
        <v>A3</v>
      </c>
      <c r="AT2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9" s="130" t="inlineStr">
        <is>
          <r>
            <rPr>
              <rFont val="Calibri"/>
              <b val="1"/>
              <sz val="10"/>
            </rPr>
            <t>At build:</t>
          </r>
          <r>
            <rPr>
              <rFont val="Calibri"/>
              <sz val="10"/>
            </rPr>
            <t xml:space="preserve"> Complexity 1.92 + Autonomy 0.48 + Accountability 0.12 + Leadership 0.00 + Experience 0.65 + Business impact 0.18
= 3.35 points → nearest level 3 = A3
</t>
          </r>
          <r>
            <rPr>
              <rFont val="Calibri"/>
              <b val="1"/>
              <sz val="10"/>
            </rPr>
            <t>Final level:</t>
          </r>
          <r>
            <rPr>
              <rFont val="Calibri"/>
              <sz val="10"/>
            </rPr>
            <t xml:space="preserve"> A3 · same as the score</t>
          </r>
        </is>
      </c>
      <c r="AV29" s="130" t="inlineStr">
        <is>
          <r>
            <rPr>
              <rFont val="Calibri"/>
              <b val="1"/>
              <sz val="10"/>
            </rPr>
            <t>No rule applied:</t>
          </r>
          <r>
            <rPr>
              <rFont val="Calibri"/>
              <sz val="10"/>
            </rPr>
            <t xml:space="preserve"> the score decides.</t>
          </r>
        </is>
      </c>
      <c r="AW29"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Develops, tests and deploys.NET changes on RBI application; handles client data requests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Varied and non-standard work; handles exceptions</t>
          </r>
        </is>
      </c>
      <c r="AX2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coding changes, bug fixes and deployment activity; weighs change impact → matches the start
</t>
          </r>
          <r>
            <rPr>
              <rFont val="Calibri"/>
              <b val="1"/>
              <sz val="10"/>
            </rPr>
            <t>Market:</t>
          </r>
          <r>
            <rPr>
              <rFont val="Calibri"/>
              <sz val="10"/>
            </rPr>
            <t xml:space="preserve"> A3 = Technical / QC / client calls on own work</t>
          </r>
        </is>
      </c>
      <c r="AY2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changes through testing to production deployment on a critical RBI application → matches the start
</t>
          </r>
          <r>
            <rPr>
              <rFont val="Calibri"/>
              <b val="1"/>
              <sz val="10"/>
            </rPr>
            <t>KRA:</t>
          </r>
          <r>
            <rPr>
              <rFont val="Calibri"/>
              <sz val="10"/>
            </rPr>
            <t xml:space="preserve"> “1. Deliver committed sprint stories with &gt;=90% sprint commitment adherence across the year 2. Maintain code quality: defect leakage to…”
</t>
          </r>
          <r>
            <rPr>
              <rFont val="Calibri"/>
              <b val="1"/>
              <sz val="10"/>
            </rPr>
            <t>Market:</t>
          </r>
          <r>
            <rPr>
              <rFont val="Calibri"/>
              <sz val="10"/>
            </rPr>
            <t xml:space="preserve"> A3 = A module / process, or work with client or regulatory consequences</t>
          </r>
        </is>
      </c>
      <c r="AZ29"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9" s="132" t="inlineStr">
        <is>
          <r>
            <rPr>
              <rFont val="Calibri"/>
              <sz val="10"/>
            </rPr>
            <t xml:space="preserve">Rated 6.5 of 12 · between B3 and C1
</t>
          </r>
          <r>
            <rPr>
              <rFont val="Calibri"/>
              <b val="1"/>
              <sz val="10"/>
            </rPr>
            <t>Experience:</t>
          </r>
          <r>
            <rPr>
              <rFont val="Calibri"/>
              <sz val="10"/>
            </rPr>
            <t xml:space="preserve"> 11.4 yrs total · 5.8 before IRIS + 5.6 at IRIS = 6.7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9"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9" s="138" t="inlineStr"/>
      <c r="BD29" s="134" t="inlineStr">
        <is>
          <t>✓ HRIS: 11.4 yrs, B.E, 0 direct reports
✓ Survey: 20 of 20 questions answered
✓ KRAs: manager-set, quarterly
✓ Manager mapping: rating, potential, 9-box
✗ Job description: not on file</t>
        </is>
      </c>
      <c r="BE29" s="134"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9" s="134" t="inlineStr">
        <is>
          <t>Medium</t>
        </is>
      </c>
      <c r="BG29" s="134" t="inlineStr"/>
      <c r="BH29" s="134" t="inlineStr"/>
      <c r="BI29" s="135" t="n"/>
      <c r="BJ29" s="136" t="n"/>
      <c r="BK29" s="136" t="n"/>
      <c r="BL29" s="136" t="n"/>
      <c r="BM29" s="136" t="n"/>
      <c r="BN29" s="137" t="n"/>
      <c r="BO29" s="120" t="n"/>
      <c r="BP29" s="120" t="n"/>
      <c r="BQ29" s="120" t="n"/>
      <c r="BR29" s="120" t="n"/>
      <c r="BS29" s="120" t="n"/>
      <c r="BT29" s="120" t="n"/>
      <c r="BU29" s="120" t="n"/>
      <c r="BV29" s="120" t="n">
        <v>3</v>
      </c>
    </row>
  </sheetData>
  <mergeCells count="18">
    <mergeCell ref="R5"/>
    <mergeCell ref="H5:Q5"/>
    <mergeCell ref="AT5:AV5"/>
    <mergeCell ref="A1:Z1"/>
    <mergeCell ref="S5:T5"/>
    <mergeCell ref="A4:D4"/>
    <mergeCell ref="A3:Z3"/>
    <mergeCell ref="L4:O4"/>
    <mergeCell ref="BC5:BH5"/>
    <mergeCell ref="Y5:AS5"/>
    <mergeCell ref="E4:G4"/>
    <mergeCell ref="BN5:BV5"/>
    <mergeCell ref="A2:Z2"/>
    <mergeCell ref="P4:R4"/>
    <mergeCell ref="AW5:BB5"/>
    <mergeCell ref="U5:X5"/>
    <mergeCell ref="BI5:BM5"/>
    <mergeCell ref="A5:G5"/>
  </mergeCells>
  <conditionalFormatting sqref="Z7:Z29">
    <cfRule type="colorScale" priority="1">
      <colorScale>
        <cfvo type="num" val="1"/>
        <cfvo type="num" val="12"/>
        <color rgb="00FFFFFF"/>
        <color rgb="005B9BD5"/>
      </colorScale>
    </cfRule>
  </conditionalFormatting>
  <conditionalFormatting sqref="AC7:AC29">
    <cfRule type="colorScale" priority="2">
      <colorScale>
        <cfvo type="num" val="1"/>
        <cfvo type="num" val="12"/>
        <color rgb="00FFFFFF"/>
        <color rgb="005B9BD5"/>
      </colorScale>
    </cfRule>
  </conditionalFormatting>
  <conditionalFormatting sqref="AF7:AF29">
    <cfRule type="colorScale" priority="3">
      <colorScale>
        <cfvo type="num" val="1"/>
        <cfvo type="num" val="12"/>
        <color rgb="00FFFFFF"/>
        <color rgb="005B9BD5"/>
      </colorScale>
    </cfRule>
  </conditionalFormatting>
  <conditionalFormatting sqref="AI7:AI29">
    <cfRule type="colorScale" priority="4">
      <colorScale>
        <cfvo type="num" val="1"/>
        <cfvo type="num" val="12"/>
        <color rgb="00FFFFFF"/>
        <color rgb="005B9BD5"/>
      </colorScale>
    </cfRule>
  </conditionalFormatting>
  <conditionalFormatting sqref="AL7:AL29">
    <cfRule type="colorScale" priority="5">
      <colorScale>
        <cfvo type="num" val="1"/>
        <cfvo type="num" val="12"/>
        <color rgb="00FFFFFF"/>
        <color rgb="005B9BD5"/>
      </colorScale>
    </cfRule>
  </conditionalFormatting>
  <conditionalFormatting sqref="AO7:AO29">
    <cfRule type="colorScale" priority="6">
      <colorScale>
        <cfvo type="num" val="1"/>
        <cfvo type="num" val="12"/>
        <color rgb="00FFFFFF"/>
        <color rgb="005B9BD5"/>
      </colorScale>
    </cfRule>
  </conditionalFormatting>
  <conditionalFormatting sqref="AR7:AR29">
    <cfRule type="colorScale" priority="7">
      <colorScale>
        <cfvo type="num" val="1"/>
        <cfvo type="num" val="12"/>
        <color rgb="00FFFFFF"/>
        <color rgb="005B9BD5"/>
      </colorScale>
    </cfRule>
  </conditionalFormatting>
  <conditionalFormatting sqref="AA7:AA29">
    <cfRule type="colorScale" priority="8">
      <colorScale>
        <cfvo type="num" val="0"/>
        <cfvo type="num" val="0.4"/>
        <color rgb="00FFFFFF"/>
        <color rgb="00A9D08E"/>
      </colorScale>
    </cfRule>
  </conditionalFormatting>
  <conditionalFormatting sqref="AD7:AD29">
    <cfRule type="colorScale" priority="9">
      <colorScale>
        <cfvo type="num" val="0"/>
        <cfvo type="num" val="0.4"/>
        <color rgb="00FFFFFF"/>
        <color rgb="00A9D08E"/>
      </colorScale>
    </cfRule>
  </conditionalFormatting>
  <conditionalFormatting sqref="AG7:AG29">
    <cfRule type="colorScale" priority="10">
      <colorScale>
        <cfvo type="num" val="0"/>
        <cfvo type="num" val="0.4"/>
        <color rgb="00FFFFFF"/>
        <color rgb="00A9D08E"/>
      </colorScale>
    </cfRule>
  </conditionalFormatting>
  <conditionalFormatting sqref="AJ7:AJ29">
    <cfRule type="colorScale" priority="11">
      <colorScale>
        <cfvo type="num" val="0"/>
        <cfvo type="num" val="0.4"/>
        <color rgb="00FFFFFF"/>
        <color rgb="00A9D08E"/>
      </colorScale>
    </cfRule>
  </conditionalFormatting>
  <conditionalFormatting sqref="AM7:AM29">
    <cfRule type="colorScale" priority="12">
      <colorScale>
        <cfvo type="num" val="0"/>
        <cfvo type="num" val="0.4"/>
        <color rgb="00FFFFFF"/>
        <color rgb="00A9D08E"/>
      </colorScale>
    </cfRule>
  </conditionalFormatting>
  <conditionalFormatting sqref="AP7:AP29">
    <cfRule type="colorScale" priority="13">
      <colorScale>
        <cfvo type="num" val="0"/>
        <cfvo type="num" val="0.4"/>
        <color rgb="00FFFFFF"/>
        <color rgb="00A9D08E"/>
      </colorScale>
    </cfRule>
  </conditionalFormatting>
  <conditionalFormatting sqref="AB7:AB29">
    <cfRule type="colorScale" priority="14">
      <colorScale>
        <cfvo type="num" val="0"/>
        <cfvo type="num" val="4"/>
        <color rgb="00FFFFFF"/>
        <color rgb="00F4B183"/>
      </colorScale>
    </cfRule>
  </conditionalFormatting>
  <conditionalFormatting sqref="AE7:AE29">
    <cfRule type="colorScale" priority="15">
      <colorScale>
        <cfvo type="num" val="0"/>
        <cfvo type="num" val="4"/>
        <color rgb="00FFFFFF"/>
        <color rgb="00F4B183"/>
      </colorScale>
    </cfRule>
  </conditionalFormatting>
  <conditionalFormatting sqref="AH7:AH29">
    <cfRule type="colorScale" priority="16">
      <colorScale>
        <cfvo type="num" val="0"/>
        <cfvo type="num" val="4"/>
        <color rgb="00FFFFFF"/>
        <color rgb="00F4B183"/>
      </colorScale>
    </cfRule>
  </conditionalFormatting>
  <conditionalFormatting sqref="AK7:AK29">
    <cfRule type="colorScale" priority="17">
      <colorScale>
        <cfvo type="num" val="0"/>
        <cfvo type="num" val="4"/>
        <color rgb="00FFFFFF"/>
        <color rgb="00F4B183"/>
      </colorScale>
    </cfRule>
  </conditionalFormatting>
  <conditionalFormatting sqref="AN7:AN29">
    <cfRule type="colorScale" priority="18">
      <colorScale>
        <cfvo type="num" val="0"/>
        <cfvo type="num" val="4"/>
        <color rgb="00FFFFFF"/>
        <color rgb="00F4B183"/>
      </colorScale>
    </cfRule>
  </conditionalFormatting>
  <conditionalFormatting sqref="AQ7:AQ29">
    <cfRule type="colorScale" priority="19">
      <colorScale>
        <cfvo type="num" val="0"/>
        <cfvo type="num" val="4"/>
        <color rgb="00FFFFFF"/>
        <color rgb="00F4B183"/>
      </colorScale>
    </cfRule>
  </conditionalFormatting>
  <dataValidations count="5">
    <dataValidation sqref="BN7:BN29" showDropDown="0" showInputMessage="0" showErrorMessage="0" allowBlank="1" type="list">
      <formula1>"Agree,Change,Discuss"</formula1>
    </dataValidation>
    <dataValidation sqref="BP7:BP29" showDropDown="0" showInputMessage="0" showErrorMessage="0" allowBlank="1" type="list">
      <formula1>"Approved,Changed,On hold"</formula1>
    </dataValidation>
    <dataValidation sqref="BS7:BS29" showDropDown="0" showInputMessage="0" showErrorMessage="0" allowBlank="1" type="list">
      <formula1>"Y,N"</formula1>
    </dataValidation>
    <dataValidation sqref="BQ7:BQ29" showDropDown="0" showInputMessage="0" showErrorMessage="0" allowBlank="1" type="list">
      <formula1>"A1,A2,A3,B1,B2,B3,B+,C1,C2,C+,D1,D2,E1,E2,X1,X2,X3"</formula1>
    </dataValidation>
    <dataValidation sqref="AO7:AO29"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A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595959"/>
    <outlinePr summaryBelow="1" summaryRight="1"/>
    <pageSetUpPr fitToPage="1"/>
  </sheetPr>
  <dimension ref="A1:EG29"/>
  <sheetViews>
    <sheetView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8" customWidth="1" min="9" max="9"/>
    <col width="22" customWidth="1" min="10" max="10"/>
    <col width="30" customWidth="1" min="11" max="11"/>
    <col width="10" customWidth="1" min="12" max="12"/>
    <col width="10" customWidth="1" min="13" max="13"/>
    <col width="12" customWidth="1" min="14" max="14"/>
    <col width="9" customWidth="1" min="15" max="15"/>
    <col width="10" customWidth="1" min="16" max="16"/>
    <col width="16" customWidth="1" min="17" max="17"/>
    <col width="20" customWidth="1" min="18" max="18"/>
    <col width="40" customWidth="1" min="19" max="19"/>
    <col width="30" customWidth="1" min="20" max="20"/>
    <col width="18"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 width="22" customWidth="1" min="108" max="108"/>
    <col width="22" customWidth="1" min="109" max="109"/>
    <col width="22" customWidth="1" min="110" max="110"/>
    <col width="22" customWidth="1" min="111" max="111"/>
    <col width="22" customWidth="1" min="112" max="112"/>
    <col width="22" customWidth="1" min="113" max="113"/>
    <col width="22" customWidth="1" min="114" max="114"/>
    <col width="22" customWidth="1" min="115" max="115"/>
    <col width="22" customWidth="1" min="116" max="116"/>
    <col width="22" customWidth="1" min="117" max="117"/>
    <col width="22"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22" customWidth="1" min="131" max="131"/>
    <col width="22" customWidth="1" min="132" max="132"/>
    <col width="22" customWidth="1" min="133" max="133"/>
    <col width="22" customWidth="1" min="134" max="134"/>
    <col width="22" customWidth="1" min="135" max="135"/>
    <col width="22" customWidth="1" min="136" max="136"/>
    <col width="22" customWidth="1" min="137" max="137"/>
  </cols>
  <sheetData>
    <row r="1" ht="34" customHeight="1">
      <c r="A1" s="1" t="inlineStr">
        <is>
          <t>Raw Data &amp; Market Standards — every input per person, next to the market standard for the person's role</t>
        </is>
      </c>
      <c r="S1" s="232" t="inlineStr">
        <is>
          <t>◂ Contents</t>
        </is>
      </c>
    </row>
    <row r="2" ht="32" customHeight="1">
      <c r="A2" s="3" t="inlineStr">
        <is>
          <r>
            <rPr>
              <rFont val="Calibri"/>
              <b val="1"/>
              <i val="1"/>
              <color rgb="00404040"/>
              <sz val="10"/>
            </rPr>
            <t>Sheet 3 · Left:</t>
          </r>
          <r>
            <rPr>
              <rFont val="Calibri"/>
              <i val="1"/>
              <color rgb="00404040"/>
              <sz val="10"/>
            </rPr>
            <t xml:space="preserve"> the person and their final role. Middle: the market standard for that role and level. Right: the work-related raw fields as received — Employee Master, KRAs, CARBON / iFile / iDEAL / DataTech manager mapping. Personal data · gender, age, date of birth, e-mail, mobile, resignation dates and data-processing notes are excluded. Each person's How We Grow survey answers are used as evidence for the ratings but are not reproduced here: only the number of questions answered is shown.</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K4" s="67" t="inlineStr">
        <is>
          <t>Newly mapped</t>
        </is>
      </c>
      <c r="L4" s="68" t="inlineStr">
        <is>
          <t>Player-Coach · B+ · C+</t>
        </is>
      </c>
      <c r="N4" s="69" t="inlineStr">
        <is>
          <t>RED = critical input needed · could change or confirm the level</t>
        </is>
      </c>
      <c r="R4" s="71" t="inlineStr">
        <is>
          <t>YELLOW = to complete in validation</t>
        </is>
      </c>
    </row>
    <row r="5" ht="32" customHeight="1">
      <c r="A5" s="73" t="inlineStr">
        <is>
          <t>PERSON &amp; ROLE — BEFORE → AFTER</t>
        </is>
      </c>
      <c r="M5" s="74" t="inlineStr">
        <is>
          <t>MARKET STANDARD FOR THIS ROLE &amp; LEVEL</t>
        </is>
      </c>
      <c r="V5" s="76" t="inlineStr">
        <is>
          <t>RAW DATA — as received · HRIS · KRAs · manager talent mapping; bracket = source file. Survey answers are counted, not quoted</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Job family</t>
        </is>
      </c>
      <c r="J6" s="92" t="inlineStr">
        <is>
          <t>Sub-family</t>
        </is>
      </c>
      <c r="K6" s="92" t="inlineStr">
        <is>
          <t>ADDITIONAL INPUTS NEEDED — what, and who provides it</t>
        </is>
      </c>
      <c r="L6" s="92" t="inlineStr">
        <is>
          <t>Survey questions answered · of 20</t>
        </is>
      </c>
      <c r="M6" s="93" t="inlineStr">
        <is>
          <t>Radford / Mercer code</t>
        </is>
      </c>
      <c r="N6" s="12" t="inlineStr">
        <is>
          <t>Pave level</t>
        </is>
      </c>
      <c r="O6" s="12" t="inlineStr">
        <is>
          <t>SFIA 9</t>
        </is>
      </c>
      <c r="P6" s="12" t="inlineStr">
        <is>
          <t>IRIS experience guide</t>
        </is>
      </c>
      <c r="Q6" s="12" t="inlineStr">
        <is>
          <t>Market experience · Accenture · Infosys</t>
        </is>
      </c>
      <c r="R6" s="12" t="inlineStr">
        <is>
          <t>Typical market title based on competitor/market benchmark</t>
        </is>
      </c>
      <c r="S6" s="12" t="inlineStr">
        <is>
          <t>Competitors, regtech &amp; SaaS leaders</t>
        </is>
      </c>
      <c r="T6" s="12" t="inlineStr">
        <is>
          <t>Professional standard</t>
        </is>
      </c>
      <c r="U6" s="12" t="inlineStr">
        <is>
          <t>Required capability · Core · Future · Functional · Leadership</t>
        </is>
      </c>
      <c r="V6" s="94" t="inlineStr">
        <is>
          <t>Sr No</t>
        </is>
      </c>
      <c r="W6" s="151" t="inlineStr">
        <is>
          <t>Emp Id · 2</t>
        </is>
      </c>
      <c r="X6" s="151" t="inlineStr">
        <is>
          <t>Employee Category</t>
        </is>
      </c>
      <c r="Y6" s="151" t="inlineStr">
        <is>
          <t>Employee Status</t>
        </is>
      </c>
      <c r="Z6" s="151" t="inlineStr">
        <is>
          <t>Employee Name · 2</t>
        </is>
      </c>
      <c r="AA6" s="151" t="inlineStr">
        <is>
          <t>DoJ</t>
        </is>
      </c>
      <c r="AB6" s="151" t="inlineStr">
        <is>
          <t>Designation</t>
        </is>
      </c>
      <c r="AC6" s="151" t="inlineStr">
        <is>
          <t>Highest Qualifications</t>
        </is>
      </c>
      <c r="AD6" s="151" t="inlineStr">
        <is>
          <t>Reporting Manager</t>
        </is>
      </c>
      <c r="AE6" s="151" t="inlineStr">
        <is>
          <t>N levels</t>
        </is>
      </c>
      <c r="AF6" s="151" t="inlineStr">
        <is>
          <t>Manager or Individual Contributor</t>
        </is>
      </c>
      <c r="AG6" s="151" t="inlineStr">
        <is>
          <t>EXP Outside IRIS</t>
        </is>
      </c>
      <c r="AH6" s="151" t="inlineStr">
        <is>
          <t>EXP Current IRIS</t>
        </is>
      </c>
      <c r="AI6" s="151" t="inlineStr">
        <is>
          <t>Business Line</t>
        </is>
      </c>
      <c r="AJ6" s="151" t="inlineStr">
        <is>
          <t>Product/Others</t>
        </is>
      </c>
      <c r="AK6" s="151" t="inlineStr">
        <is>
          <t>Department · 2</t>
        </is>
      </c>
      <c r="AL6" s="151" t="inlineStr">
        <is>
          <t>Sub Functional Categorization</t>
        </is>
      </c>
      <c r="AM6" s="151" t="inlineStr">
        <is>
          <t>Core Development</t>
        </is>
      </c>
      <c r="AN6" s="151" t="inlineStr">
        <is>
          <t>Functional Categorization</t>
        </is>
      </c>
      <c r="AO6" s="151" t="inlineStr">
        <is>
          <t>Skill Sets</t>
        </is>
      </c>
      <c r="AP6" s="151" t="inlineStr">
        <is>
          <t>Technical/Non-technical</t>
        </is>
      </c>
      <c r="AQ6" s="151" t="inlineStr">
        <is>
          <t>Total Question Answered</t>
        </is>
      </c>
      <c r="AR6" s="151" t="inlineStr">
        <is>
          <t>Status</t>
        </is>
      </c>
      <c r="AS6" s="151" t="inlineStr">
        <is>
          <t>[CARBON Mapping Master] Emp Id</t>
        </is>
      </c>
      <c r="AT6" s="151" t="inlineStr">
        <is>
          <t>[CARBON Mapping Master] Employee Name</t>
        </is>
      </c>
      <c r="AU6" s="151" t="inlineStr">
        <is>
          <t>[CARBON Mapping Master] Department</t>
        </is>
      </c>
      <c r="AV6" s="151" t="inlineStr">
        <is>
          <t>[CARBON Mapping Master] Role Family</t>
        </is>
      </c>
      <c r="AW6" s="151" t="inlineStr">
        <is>
          <t>[CARBON Mapping Master] Sub-Family</t>
        </is>
      </c>
      <c r="AX6" s="151" t="inlineStr">
        <is>
          <t>[CARBON Mapping Master] Category</t>
        </is>
      </c>
      <c r="AY6" s="151" t="inlineStr">
        <is>
          <t>[CARBON Mapping Master] Current Reporting Manager</t>
        </is>
      </c>
      <c r="AZ6" s="151" t="inlineStr">
        <is>
          <t>[CARBON Mapping Master] New Reporting Manager</t>
        </is>
      </c>
      <c r="BA6" s="151" t="inlineStr">
        <is>
          <t>[CARBON Mapping Master] Change in RM?</t>
        </is>
      </c>
      <c r="BB6" s="151" t="inlineStr">
        <is>
          <t>[CARBON Mapping Master] Current Designation</t>
        </is>
      </c>
      <c r="BC6" s="151" t="inlineStr">
        <is>
          <t>[CARBON Mapping Master] New Designation</t>
        </is>
      </c>
      <c r="BD6" s="151" t="inlineStr">
        <is>
          <t>[CARBON Mapping Master] Change in Designation?</t>
        </is>
      </c>
      <c r="BE6" s="151" t="inlineStr">
        <is>
          <t>[CARBON Mapping Master] Current Span · Mgrs only</t>
        </is>
      </c>
      <c r="BF6" s="151" t="inlineStr">
        <is>
          <t>[CARBON Mapping Master] Current Span — FTE</t>
        </is>
      </c>
      <c r="BG6" s="151" t="inlineStr">
        <is>
          <t>[CARBON Mapping Master] Current Span — Consult/Intern</t>
        </is>
      </c>
      <c r="BH6" s="151" t="inlineStr">
        <is>
          <t>[CARBON Mapping Master] Current Span Flag</t>
        </is>
      </c>
      <c r="BI6" s="151" t="inlineStr">
        <is>
          <t>[CARBON Mapping Master] New Span · Mgrs only</t>
        </is>
      </c>
      <c r="BJ6" s="151" t="inlineStr">
        <is>
          <t>[CARBON Mapping Master] New Span — FTE</t>
        </is>
      </c>
      <c r="BK6" s="151" t="inlineStr">
        <is>
          <t>[CARBON Mapping Master] New Span — Consult/Intern</t>
        </is>
      </c>
      <c r="BL6" s="151" t="inlineStr">
        <is>
          <t>[CARBON Mapping Master] New Span Flag</t>
        </is>
      </c>
      <c r="BM6" s="151" t="inlineStr">
        <is>
          <t>[CARBON Mapping Master] Change in Span?</t>
        </is>
      </c>
      <c r="BN6" s="151" t="inlineStr">
        <is>
          <t>[CARBON Mapping Master] Career Level — Current</t>
        </is>
      </c>
      <c r="BO6" s="151" t="inlineStr">
        <is>
          <t>[CARBON Mapping Master] Career Level — New</t>
        </is>
      </c>
      <c r="BP6" s="151" t="inlineStr">
        <is>
          <t>[CARBON Mapping Master] Career Level Source</t>
        </is>
      </c>
      <c r="BQ6" s="151" t="inlineStr">
        <is>
          <t>[CARBON Mapping Master] KRAs Submitted</t>
        </is>
      </c>
      <c r="BR6" s="151" t="inlineStr">
        <is>
          <t>[CARBON Mapping Master] Region / Operating Area</t>
        </is>
      </c>
      <c r="BS6" s="151" t="inlineStr">
        <is>
          <t>[CARBON Talent Mapping · Raw] Emp Id</t>
        </is>
      </c>
      <c r="BT6" s="151" t="inlineStr">
        <is>
          <t>[CARBON Talent Mapping · Raw] Employee Category</t>
        </is>
      </c>
      <c r="BU6" s="151" t="inlineStr">
        <is>
          <t>[CARBON Talent Mapping · Raw] Employee Status</t>
        </is>
      </c>
      <c r="BV6" s="151" t="inlineStr">
        <is>
          <t>[CARBON Talent Mapping · Raw] Employee Name</t>
        </is>
      </c>
      <c r="BW6" s="151" t="inlineStr">
        <is>
          <t>[CARBON Talent Mapping · Raw] DoJ</t>
        </is>
      </c>
      <c r="BX6" s="151" t="inlineStr">
        <is>
          <t>[CARBON Talent Mapping · Raw] Designation</t>
        </is>
      </c>
      <c r="BY6" s="151" t="inlineStr">
        <is>
          <t>[CARBON Talent Mapping · Raw] Role Family</t>
        </is>
      </c>
      <c r="BZ6" s="151" t="inlineStr">
        <is>
          <t>[CARBON Talent Mapping · Raw] Sub-Family</t>
        </is>
      </c>
      <c r="CA6" s="151" t="inlineStr">
        <is>
          <t>[CARBON Talent Mapping · Raw] Job Title</t>
        </is>
      </c>
      <c r="CB6" s="151" t="inlineStr">
        <is>
          <t>[CARBON Talent Mapping · Raw] Career Level</t>
        </is>
      </c>
      <c r="CC6" s="151" t="inlineStr">
        <is>
          <t>[CARBON Talent Mapping · Raw] Reporting Manager</t>
        </is>
      </c>
      <c r="CD6" s="151" t="inlineStr">
        <is>
          <t>[CARBON Talent Mapping · Raw] N levels</t>
        </is>
      </c>
      <c r="CE6" s="151" t="inlineStr">
        <is>
          <t>[CARBON Talent Mapping · Raw] Manager or Individual Contributor or Player cum Coach</t>
        </is>
      </c>
      <c r="CF6" s="151" t="inlineStr">
        <is>
          <t>[CARBON Talent Mapping · Raw] Business Line</t>
        </is>
      </c>
      <c r="CG6" s="151" t="inlineStr">
        <is>
          <t>[CARBON Talent Mapping · Raw] Department</t>
        </is>
      </c>
      <c r="CH6" s="151" t="inlineStr">
        <is>
          <t>[CARBON Talent Mapping · Raw] Total Experience</t>
        </is>
      </c>
      <c r="CI6" s="151" t="inlineStr">
        <is>
          <t>[CARBON Talent Mapping · Raw] Correct Designation Based on Work</t>
        </is>
      </c>
      <c r="CJ6" s="151" t="inlineStr">
        <is>
          <t>[CARBON Talent Mapping · Raw] Quarterly Performance Rating</t>
        </is>
      </c>
      <c r="CK6" s="151" t="inlineStr">
        <is>
          <t>[CARBON Talent Mapping · Raw] Potential Rating · High/Med/Low</t>
        </is>
      </c>
      <c r="CL6" s="151" t="inlineStr">
        <is>
          <t>[CARBON Talent Mapping · Raw] 9-Box Placement</t>
        </is>
      </c>
      <c r="CM6" s="151" t="inlineStr">
        <is>
          <t>[CARBON Talent Mapping · Raw] Ready for Promotion</t>
        </is>
      </c>
      <c r="CN6" s="151" t="inlineStr">
        <is>
          <t>[CARBON Talent Mapping · Raw] Fast Tracker · Y/N</t>
        </is>
      </c>
      <c r="CO6" s="151" t="inlineStr">
        <is>
          <t>[CARBON Talent Mapping · Raw] Critical Role · Y/N</t>
        </is>
      </c>
      <c r="CP6" s="151" t="inlineStr">
        <is>
          <t>[CARBON Talent Mapping · Raw] Comments</t>
        </is>
      </c>
      <c r="CQ6" s="151" t="inlineStr">
        <is>
          <t>[Talent Mapping · iFile / iDEAL / DataTech / Database Content] Emp Id</t>
        </is>
      </c>
      <c r="CR6" s="151" t="inlineStr">
        <is>
          <t>[Talent Mapping · iFile / iDEAL / DataTech / Database Content] Employee Category</t>
        </is>
      </c>
      <c r="CS6" s="151" t="inlineStr">
        <is>
          <t>[Talent Mapping · iFile / iDEAL / DataTech / Database Content] Employee Status</t>
        </is>
      </c>
      <c r="CT6" s="151" t="inlineStr">
        <is>
          <t>[Talent Mapping · iFile / iDEAL / DataTech / Database Content] Employee Name</t>
        </is>
      </c>
      <c r="CU6" s="151" t="inlineStr">
        <is>
          <t>[Talent Mapping · iFile / iDEAL / DataTech / Database Content] DoJ</t>
        </is>
      </c>
      <c r="CV6" s="151" t="inlineStr">
        <is>
          <t>[Talent Mapping · iFile / iDEAL / DataTech / Database Content] Designation</t>
        </is>
      </c>
      <c r="CW6" s="151" t="inlineStr">
        <is>
          <t>[Talent Mapping · iFile / iDEAL / DataTech / Database Content] Role Family</t>
        </is>
      </c>
      <c r="CX6" s="151" t="inlineStr">
        <is>
          <t>[Talent Mapping · iFile / iDEAL / DataTech / Database Content] Sub-Family</t>
        </is>
      </c>
      <c r="CY6" s="151" t="inlineStr">
        <is>
          <t>[Talent Mapping · iFile / iDEAL / DataTech / Database Content] Job Title</t>
        </is>
      </c>
      <c r="CZ6" s="151" t="inlineStr">
        <is>
          <t>[Talent Mapping · iFile / iDEAL / DataTech / Database Content] Career Level</t>
        </is>
      </c>
      <c r="DA6" s="151" t="inlineStr">
        <is>
          <t>[Talent Mapping · iFile / iDEAL / DataTech / Database Content] Highest Qualifications</t>
        </is>
      </c>
      <c r="DB6" s="151" t="inlineStr">
        <is>
          <t>[Talent Mapping · iFile / iDEAL / DataTech / Database Content] Reporting Manager</t>
        </is>
      </c>
      <c r="DC6" s="151" t="inlineStr">
        <is>
          <t>[Talent Mapping · iFile / iDEAL / DataTech / Database Content] N levels</t>
        </is>
      </c>
      <c r="DD6" s="151" t="inlineStr">
        <is>
          <t>[Talent Mapping · iFile / iDEAL / DataTech / Database Content] Manager or Individual Contributor</t>
        </is>
      </c>
      <c r="DE6" s="151" t="inlineStr">
        <is>
          <t>[Talent Mapping · iFile / iDEAL / DataTech / Database Content] EXP Outside IRIS</t>
        </is>
      </c>
      <c r="DF6" s="151" t="inlineStr">
        <is>
          <t>[Talent Mapping · iFile / iDEAL / DataTech / Database Content] EXP Current IRIS</t>
        </is>
      </c>
      <c r="DG6" s="151" t="inlineStr">
        <is>
          <t>[Talent Mapping · iFile / iDEAL / DataTech / Database Content] Total Experience</t>
        </is>
      </c>
      <c r="DH6" s="151" t="inlineStr">
        <is>
          <t>[Talent Mapping · iFile / iDEAL / DataTech / Database Content] Avg Exp in IRIS</t>
        </is>
      </c>
      <c r="DI6" s="151" t="inlineStr">
        <is>
          <t>[Talent Mapping · iFile / iDEAL / DataTech / Database Content] Business Line</t>
        </is>
      </c>
      <c r="DJ6" s="151" t="inlineStr">
        <is>
          <t>[Talent Mapping · iFile / iDEAL / DataTech / Database Content] Product/Others</t>
        </is>
      </c>
      <c r="DK6" s="151" t="inlineStr">
        <is>
          <t>[Talent Mapping · iFile / iDEAL / DataTech / Database Content] Department</t>
        </is>
      </c>
      <c r="DL6" s="151" t="inlineStr">
        <is>
          <t>[Talent Mapping · iFile / iDEAL / DataTech / Database Content] Sub Functional Categorization</t>
        </is>
      </c>
      <c r="DM6" s="151" t="inlineStr">
        <is>
          <t>[Talent Mapping · iFile / iDEAL / DataTech / Database Content] Core Development</t>
        </is>
      </c>
      <c r="DN6" s="151" t="inlineStr">
        <is>
          <t>[Talent Mapping · iFile / iDEAL / DataTech / Database Content] Functional Categorization</t>
        </is>
      </c>
      <c r="DO6" s="151" t="inlineStr">
        <is>
          <t>[Talent Mapping · iFile / iDEAL / DataTech / Database Content] Skill Sets</t>
        </is>
      </c>
      <c r="DP6" s="151" t="inlineStr">
        <is>
          <t>[Talent Mapping · iFile / iDEAL / DataTech / Database Content] Technical/Non-technical</t>
        </is>
      </c>
      <c r="DQ6" s="151" t="inlineStr">
        <is>
          <t>[Talent Mapping · iFile / iDEAL / DataTech / Database Content] Location</t>
        </is>
      </c>
      <c r="DR6" s="151" t="inlineStr">
        <is>
          <t>[Talent Mapping · iFile / iDEAL / DataTech / Database Content] Annual KRAs · objective Measurable Minimum 5 - Self</t>
        </is>
      </c>
      <c r="DS6" s="151" t="inlineStr">
        <is>
          <t>[Talent Mapping · iFile / iDEAL / DataTech / Database Content] Annual KRAs · objective Measurable Minimum 5 - set by Manager</t>
        </is>
      </c>
      <c r="DT6" s="151" t="inlineStr">
        <is>
          <t>[Talent Mapping · iFile / iDEAL / DataTech / Database Content] Quarterly KRAs</t>
        </is>
      </c>
      <c r="DU6" s="151" t="inlineStr">
        <is>
          <t>[Talent Mapping · iFile / iDEAL / DataTech / Database Content] Tentative Rating for Q1 · Scale 1-5</t>
        </is>
      </c>
      <c r="DV6" s="151" t="inlineStr">
        <is>
          <t>[Talent Mapping · iFile / iDEAL / DataTech / Database Content] Last Performance Discussion date</t>
        </is>
      </c>
      <c r="DW6" s="151" t="inlineStr">
        <is>
          <t>[Talent Mapping · iFile / iDEAL / DataTech / Database Content] Correct Designation</t>
        </is>
      </c>
      <c r="DX6" s="151" t="inlineStr">
        <is>
          <t>[Talent Mapping · iFile / iDEAL / DataTech / Database Content] Is a structural Change needed for better future</t>
        </is>
      </c>
      <c r="DY6" s="151" t="inlineStr">
        <is>
          <t>[Talent Mapping · iFile / iDEAL / DataTech / Database Content] Quarterly Performance Rating</t>
        </is>
      </c>
      <c r="DZ6" s="151" t="inlineStr">
        <is>
          <t>[Talent Mapping · iFile / iDEAL / DataTech / Database Content] Potential Rating · High/Med/Low</t>
        </is>
      </c>
      <c r="EA6" s="151" t="inlineStr">
        <is>
          <t>[Talent Mapping · iFile / iDEAL / DataTech / Database Content] 9-Box Placement</t>
        </is>
      </c>
      <c r="EB6" s="151" t="inlineStr">
        <is>
          <t>[Talent Mapping · iFile / iDEAL / DataTech / Database Content] Ready for Promotion</t>
        </is>
      </c>
      <c r="EC6" s="151" t="inlineStr">
        <is>
          <t>[Talent Mapping · iFile / iDEAL / DataTech / Database Content] Fast Tracker · Y/N</t>
        </is>
      </c>
      <c r="ED6" s="151" t="inlineStr">
        <is>
          <t>[Talent Mapping · iFile / iDEAL / DataTech / Database Content] Critical Role · Y/N</t>
        </is>
      </c>
      <c r="EE6" s="151" t="inlineStr">
        <is>
          <t>[Talent Mapping · iFile / iDEAL / DataTech / Database Content] Name of Successor Identified</t>
        </is>
      </c>
      <c r="EF6" s="151" t="inlineStr">
        <is>
          <t>[Talent Mapping · iFile / iDEAL / DataTech / Database Content] Training Needs identified for current Role</t>
        </is>
      </c>
      <c r="EG6" s="151" t="inlineStr">
        <is>
          <t>[Talent Mapping · iFile / iDEAL / DataTech / Database Content] Training Needs identified if · If promotion Ready</t>
        </is>
      </c>
    </row>
    <row r="7" ht="64" customHeight="1">
      <c r="A7" s="109" t="inlineStr">
        <is>
          <t>IRIS0114</t>
        </is>
      </c>
      <c r="B7" s="111" t="inlineStr">
        <is>
          <t>Shraddha Patil</t>
        </is>
      </c>
      <c r="C7" s="111" t="inlineStr">
        <is>
          <t>Digitizing</t>
        </is>
      </c>
      <c r="D7" s="114" t="inlineStr">
        <is>
          <t>Image Processing Specialist</t>
        </is>
      </c>
      <c r="E7" s="114" t="inlineStr">
        <is>
          <t>Digitization Manager</t>
        </is>
      </c>
      <c r="F7" s="114" t="inlineStr">
        <is>
          <t>L3 – Professional / Associate</t>
        </is>
      </c>
      <c r="G7" s="114" t="inlineStr">
        <is>
          <t>B2</t>
        </is>
      </c>
      <c r="H7" s="117" t="inlineStr">
        <is>
          <t>▲ Up</t>
        </is>
      </c>
      <c r="I7" s="111" t="inlineStr">
        <is>
          <t>Data Operations &amp; Digitization</t>
        </is>
      </c>
      <c r="J7" s="111" t="inlineStr">
        <is>
          <t>Document Conversion, Formatting &amp; Web Publishing</t>
        </is>
      </c>
      <c r="K7" s="145" t="inlineStr">
        <is>
          <t>• Confirm the reporting line — Manager</t>
        </is>
      </c>
      <c r="L7" s="111" t="n">
        <v>20</v>
      </c>
      <c r="M7" s="146" t="inlineStr">
        <is>
          <t>P4 / M3</t>
        </is>
      </c>
      <c r="N7" s="115" t="inlineStr">
        <is>
          <t>Senior / Manager</t>
        </is>
      </c>
      <c r="O7" s="115" t="inlineStr">
        <is>
          <t>4–5</t>
        </is>
      </c>
      <c r="P7" s="115" t="inlineStr">
        <is>
          <t>6–9 yrs</t>
        </is>
      </c>
      <c r="Q7" s="115" t="inlineStr">
        <is>
          <t>7–10 · 6–11</t>
        </is>
      </c>
      <c r="R7" s="115" t="inlineStr">
        <is>
          <t>Manager</t>
        </is>
      </c>
      <c r="S7" s="115" t="inlineStr">
        <is>
          <r>
            <rPr>
              <rFont val="Calibri"/>
              <b val="1"/>
              <sz val="10"/>
            </rPr>
            <t>Accenture Operations:</t>
          </r>
          <r>
            <rPr>
              <rFont val="Calibri"/>
              <sz val="10"/>
            </rPr>
            <t xml:space="preserve"> L8 Associate Manager · IRIS Vs Competitor Benchmark — operations roles: Operations Manager</t>
          </r>
        </is>
      </c>
      <c r="T7" s="115" t="inlineStr">
        <is>
          <t>COPC CX Standard · leadership &amp; planning, people, processes, performance; ISO 9001; Lean / Six Sigma</t>
        </is>
      </c>
      <c r="U7" s="115" t="inlineStr">
        <is>
          <t>Core 3 · Future 3 · Functional 4 · Leadership 3</t>
        </is>
      </c>
      <c r="V7" s="152" t="n">
        <v>25</v>
      </c>
      <c r="W7" s="153" t="inlineStr">
        <is>
          <t>IRIS0114</t>
        </is>
      </c>
      <c r="X7" s="153" t="inlineStr">
        <is>
          <t>Employee</t>
        </is>
      </c>
      <c r="Y7" s="153" t="inlineStr">
        <is>
          <t>Active</t>
        </is>
      </c>
      <c r="Z7" s="153" t="inlineStr">
        <is>
          <t>Shraddha Patil</t>
        </is>
      </c>
      <c r="AA7" s="235" t="n">
        <v>39326</v>
      </c>
      <c r="AB7" s="153" t="inlineStr">
        <is>
          <t>Image Processing Specialist</t>
        </is>
      </c>
      <c r="AC7" s="153" t="inlineStr">
        <is>
          <t>BA</t>
        </is>
      </c>
      <c r="AD7" s="153" t="inlineStr">
        <is>
          <t>Vijay Parulekar</t>
        </is>
      </c>
      <c r="AE7" s="153" t="inlineStr">
        <is>
          <t>N-6</t>
        </is>
      </c>
      <c r="AF7" s="153" t="inlineStr">
        <is>
          <t>Manager</t>
        </is>
      </c>
      <c r="AG7" s="153" t="inlineStr">
        <is>
          <t>0 years, 0 months, 0 days</t>
        </is>
      </c>
      <c r="AH7" s="153" t="inlineStr">
        <is>
          <t>18 years, 11 months, 24 days</t>
        </is>
      </c>
      <c r="AI7" s="153" t="inlineStr">
        <is>
          <t>Consume</t>
        </is>
      </c>
      <c r="AJ7" s="153" t="inlineStr">
        <is>
          <t>Consume</t>
        </is>
      </c>
      <c r="AK7" s="153" t="inlineStr">
        <is>
          <t>Digitizing</t>
        </is>
      </c>
      <c r="AL7" s="153" t="inlineStr">
        <is>
          <t>Digitizing Assisted services</t>
        </is>
      </c>
      <c r="AM7" s="153" t="inlineStr">
        <is>
          <t>No</t>
        </is>
      </c>
      <c r="AN7" s="153" t="inlineStr">
        <is>
          <t>Professional Services</t>
        </is>
      </c>
      <c r="AO7" s="153" t="inlineStr">
        <is>
          <t>OCR/Image procesing</t>
        </is>
      </c>
      <c r="AP7" s="153" t="inlineStr">
        <is>
          <t>Non-technical</t>
        </is>
      </c>
      <c r="AQ7" s="153" t="n">
        <v>20</v>
      </c>
      <c r="AR7" s="153" t="inlineStr">
        <is>
          <t>Covered</t>
        </is>
      </c>
      <c r="AS7" s="153" t="inlineStr">
        <is>
          <t>IRIS0114</t>
        </is>
      </c>
      <c r="AT7" s="153" t="inlineStr">
        <is>
          <t>Shraddha Patil</t>
        </is>
      </c>
      <c r="AU7" s="153" t="inlineStr">
        <is>
          <t>Digitizing</t>
        </is>
      </c>
      <c r="AV7" s="153" t="inlineStr">
        <is>
          <t>Professional Services</t>
        </is>
      </c>
      <c r="AW7" s="153" t="inlineStr">
        <is>
          <t>Digitization &amp; Image Processing</t>
        </is>
      </c>
      <c r="AX7" s="153" t="inlineStr">
        <is>
          <t>Employee</t>
        </is>
      </c>
      <c r="AY7" s="153" t="inlineStr">
        <is>
          <t>Vijay Parulekar</t>
        </is>
      </c>
      <c r="AZ7" s="153" t="inlineStr">
        <is>
          <t>Vijay Parulekar</t>
        </is>
      </c>
      <c r="BA7" s="153" t="inlineStr">
        <is>
          <t>No</t>
        </is>
      </c>
      <c r="BB7" s="153" t="inlineStr">
        <is>
          <t>Image Processing Specialist</t>
        </is>
      </c>
      <c r="BC7" s="153" t="inlineStr">
        <is>
          <t>Manager - Digitizing</t>
        </is>
      </c>
      <c r="BD7" s="153" t="inlineStr">
        <is>
          <t>Yes</t>
        </is>
      </c>
      <c r="BE7" s="153" t="n">
        <v>8</v>
      </c>
      <c r="BF7" s="153" t="n">
        <v>5</v>
      </c>
      <c r="BG7" s="153" t="n">
        <v>5</v>
      </c>
      <c r="BH7" s="153" t="inlineStr">
        <is>
          <t>Healthy</t>
        </is>
      </c>
      <c r="BI7" s="153" t="n">
        <v>10</v>
      </c>
      <c r="BJ7" s="153" t="n">
        <v>5</v>
      </c>
      <c r="BK7" s="153" t="n">
        <v>5</v>
      </c>
      <c r="BL7" s="153" t="inlineStr">
        <is>
          <t>Healthy</t>
        </is>
      </c>
      <c r="BM7" s="153" t="inlineStr">
        <is>
          <t>No</t>
        </is>
      </c>
      <c r="BN7" s="153" t="inlineStr">
        <is>
          <t>L3 – Professional / Associate</t>
        </is>
      </c>
      <c r="BO7" s="153" t="inlineStr">
        <is>
          <t>L4</t>
        </is>
      </c>
      <c r="BP7" s="153" t="inlineStr">
        <is>
          <t>Designation refined from Raw tab Comments column · this update</t>
        </is>
      </c>
      <c r="BQ7" s="153"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R7" s="153" t="inlineStr">
        <is>
          <t>No input received.</t>
        </is>
      </c>
      <c r="BS7" s="153" t="inlineStr">
        <is>
          <t>IRIS0114</t>
        </is>
      </c>
      <c r="BT7" s="153" t="inlineStr">
        <is>
          <t>Employee</t>
        </is>
      </c>
      <c r="BU7" s="153" t="inlineStr">
        <is>
          <t>Active</t>
        </is>
      </c>
      <c r="BV7" s="153" t="inlineStr">
        <is>
          <t>Shraddha Patil</t>
        </is>
      </c>
      <c r="BW7" s="154" t="n">
        <v>39326</v>
      </c>
      <c r="BX7" s="153" t="inlineStr">
        <is>
          <t>Image Processing Specialist</t>
        </is>
      </c>
      <c r="BY7" s="153" t="inlineStr">
        <is>
          <t>Professional Services</t>
        </is>
      </c>
      <c r="BZ7" s="153" t="inlineStr">
        <is>
          <t>Digitization &amp; Image Processing</t>
        </is>
      </c>
      <c r="CA7" s="153" t="inlineStr">
        <is>
          <t>Image Processing Specialist</t>
        </is>
      </c>
      <c r="CB7" s="153" t="inlineStr">
        <is>
          <t>L3 – Professional / Associate</t>
        </is>
      </c>
      <c r="CC7" s="153" t="inlineStr">
        <is>
          <t>Vijay Parulekar</t>
        </is>
      </c>
      <c r="CD7" s="153" t="inlineStr">
        <is>
          <t>N-6</t>
        </is>
      </c>
      <c r="CE7" s="153" t="inlineStr">
        <is>
          <t>Manager</t>
        </is>
      </c>
      <c r="CF7" s="153" t="inlineStr">
        <is>
          <t>Consume</t>
        </is>
      </c>
      <c r="CG7" s="153" t="inlineStr">
        <is>
          <t>Digitizing</t>
        </is>
      </c>
      <c r="CH7" s="153" t="inlineStr">
        <is>
          <t>18 years, 9 months, 19 days</t>
        </is>
      </c>
      <c r="CI7" s="153" t="inlineStr">
        <is>
          <t>Manager- Digitizing</t>
        </is>
      </c>
      <c r="CJ7" s="153" t="n">
        <v>5</v>
      </c>
      <c r="CK7" s="153" t="inlineStr">
        <is>
          <t>High</t>
        </is>
      </c>
      <c r="CL7" s="153" t="inlineStr">
        <is>
          <t>Core Contributor</t>
        </is>
      </c>
      <c r="CM7" s="153" t="inlineStr">
        <is>
          <t>No</t>
        </is>
      </c>
      <c r="CN7" s="153" t="inlineStr">
        <is>
          <t>No</t>
        </is>
      </c>
      <c r="CO7" s="153" t="inlineStr">
        <is>
          <t>Yes</t>
        </is>
      </c>
      <c r="CP7" s="153" t="inlineStr">
        <is>
          <t>Title to be changed to Manager - Digitizing. Not Carbon employee but to be mapped to iFile</t>
        </is>
      </c>
      <c r="CQ7" s="153" t="n"/>
      <c r="CR7" s="153" t="n"/>
      <c r="CS7" s="153" t="n"/>
      <c r="CT7" s="153" t="n"/>
      <c r="CU7" s="153" t="n"/>
      <c r="CV7" s="153" t="n"/>
      <c r="CW7" s="153" t="n"/>
      <c r="CX7" s="153" t="n"/>
      <c r="CY7" s="153" t="n"/>
      <c r="CZ7" s="153" t="n"/>
      <c r="DA7" s="153" t="n"/>
      <c r="DB7" s="153" t="n"/>
      <c r="DC7" s="153" t="n"/>
      <c r="DD7" s="153" t="n"/>
      <c r="DE7" s="153" t="n"/>
      <c r="DF7" s="153" t="n"/>
      <c r="DG7" s="153" t="n"/>
      <c r="DH7" s="153" t="n"/>
      <c r="DI7" s="153" t="n"/>
      <c r="DJ7" s="153" t="n"/>
      <c r="DK7" s="153" t="n"/>
      <c r="DL7" s="153" t="n"/>
      <c r="DM7" s="153" t="n"/>
      <c r="DN7" s="153" t="n"/>
      <c r="DO7" s="153" t="n"/>
      <c r="DP7" s="153" t="n"/>
      <c r="DQ7" s="153" t="n"/>
      <c r="DR7" s="153" t="n"/>
      <c r="DS7" s="153" t="n"/>
      <c r="DT7" s="153" t="n"/>
      <c r="DU7" s="153" t="n"/>
      <c r="DV7" s="153" t="n"/>
      <c r="DW7" s="153" t="n"/>
      <c r="DX7" s="153" t="n"/>
      <c r="DY7" s="153" t="n"/>
      <c r="DZ7" s="153" t="n"/>
      <c r="EA7" s="153" t="n"/>
      <c r="EB7" s="153" t="n"/>
      <c r="EC7" s="153" t="n"/>
      <c r="ED7" s="153" t="n"/>
      <c r="EE7" s="153" t="n"/>
      <c r="EF7" s="153" t="n"/>
      <c r="EG7" s="153" t="n"/>
    </row>
    <row r="8" ht="64" customHeight="1">
      <c r="A8" s="109" t="inlineStr">
        <is>
          <t>IRIS0167</t>
        </is>
      </c>
      <c r="B8" s="111" t="inlineStr">
        <is>
          <t>Nitin Bhoir</t>
        </is>
      </c>
      <c r="C8" s="111" t="inlineStr">
        <is>
          <t>Digitizing</t>
        </is>
      </c>
      <c r="D8" s="114" t="inlineStr">
        <is>
          <t>Image Processing Specialist</t>
        </is>
      </c>
      <c r="E8" s="114" t="inlineStr">
        <is>
          <t>Digitization Specialist</t>
        </is>
      </c>
      <c r="F8" s="114" t="inlineStr">
        <is>
          <t>L3 – Professional / Associate</t>
        </is>
      </c>
      <c r="G8" s="114" t="inlineStr">
        <is>
          <t>B1</t>
        </is>
      </c>
      <c r="H8" s="117" t="inlineStr">
        <is>
          <t>▲ Up</t>
        </is>
      </c>
      <c r="I8" s="111" t="inlineStr">
        <is>
          <t>Data Operations &amp; Digitization</t>
        </is>
      </c>
      <c r="J8" s="111" t="inlineStr">
        <is>
          <t>Document Conversion, Formatting &amp; Web Publishing</t>
        </is>
      </c>
      <c r="K8" s="111" t="inlineStr"/>
      <c r="L8" s="111" t="n">
        <v>20</v>
      </c>
      <c r="M8" s="146" t="inlineStr">
        <is>
          <t>P3 / M2</t>
        </is>
      </c>
      <c r="N8" s="115" t="inlineStr">
        <is>
          <t>Career / · Team Lead</t>
        </is>
      </c>
      <c r="O8" s="115" t="inlineStr">
        <is>
          <t>4 Enable</t>
        </is>
      </c>
      <c r="P8" s="115" t="inlineStr">
        <is>
          <t>4–7 yrs</t>
        </is>
      </c>
      <c r="Q8" s="115" t="inlineStr">
        <is>
          <t>5–8 · 4–8</t>
        </is>
      </c>
      <c r="R8" s="115" t="inlineStr">
        <is>
          <t>Specialist / QC Analyst</t>
        </is>
      </c>
      <c r="S8" s="115" t="inlineStr">
        <is>
          <r>
            <rPr>
              <rFont val="Calibri"/>
              <b val="1"/>
              <sz val="10"/>
            </rPr>
            <t>Accenture Operations:</t>
          </r>
          <r>
            <rPr>
              <rFont val="Calibri"/>
              <sz val="10"/>
            </rPr>
            <t xml:space="preserve"> L9 Team Lead · IRIS Vs Competitor Benchmark — operations roles: Team Lead / Quality Lead</t>
          </r>
        </is>
      </c>
      <c r="T8" s="115" t="inlineStr">
        <is>
          <t>COPC CX Standard · leadership &amp; planning, people, processes, performance; ISO 9001; Lean / Six Sigma</t>
        </is>
      </c>
      <c r="U8" s="115" t="inlineStr">
        <is>
          <t>Core 3 · Future 3 · Functional 3 · Leadership 1</t>
        </is>
      </c>
      <c r="V8" s="152" t="n">
        <v>34</v>
      </c>
      <c r="W8" s="153" t="inlineStr">
        <is>
          <t>IRIS0167</t>
        </is>
      </c>
      <c r="X8" s="153" t="inlineStr">
        <is>
          <t>Employee</t>
        </is>
      </c>
      <c r="Y8" s="153" t="inlineStr">
        <is>
          <t>Active</t>
        </is>
      </c>
      <c r="Z8" s="153" t="inlineStr">
        <is>
          <t>Nitin Bhoir</t>
        </is>
      </c>
      <c r="AA8" s="235" t="n">
        <v>39470</v>
      </c>
      <c r="AB8" s="153" t="inlineStr">
        <is>
          <t>Image Processing Specialist</t>
        </is>
      </c>
      <c r="AC8" s="153" t="inlineStr">
        <is>
          <t>BA</t>
        </is>
      </c>
      <c r="AD8" s="153" t="inlineStr">
        <is>
          <t>Shraddha Patil</t>
        </is>
      </c>
      <c r="AE8" s="153" t="inlineStr">
        <is>
          <t>N-7</t>
        </is>
      </c>
      <c r="AF8" s="153" t="inlineStr">
        <is>
          <t>Individual Contributor</t>
        </is>
      </c>
      <c r="AG8" s="153" t="inlineStr">
        <is>
          <t>0 years, 3 months, 0 days</t>
        </is>
      </c>
      <c r="AH8" s="153" t="inlineStr">
        <is>
          <t>18 years, 7 months, 2 days</t>
        </is>
      </c>
      <c r="AI8" s="153" t="inlineStr">
        <is>
          <t>Consume</t>
        </is>
      </c>
      <c r="AJ8" s="153" t="inlineStr">
        <is>
          <t>Consume</t>
        </is>
      </c>
      <c r="AK8" s="153" t="inlineStr">
        <is>
          <t>Digitizing</t>
        </is>
      </c>
      <c r="AL8" s="153" t="inlineStr">
        <is>
          <t>Digitizing Assisted services</t>
        </is>
      </c>
      <c r="AM8" s="153" t="inlineStr">
        <is>
          <t>No</t>
        </is>
      </c>
      <c r="AN8" s="153" t="inlineStr">
        <is>
          <t>Professional Services</t>
        </is>
      </c>
      <c r="AO8" s="153" t="inlineStr">
        <is>
          <t>OCR/Image procesing</t>
        </is>
      </c>
      <c r="AP8" s="153" t="inlineStr">
        <is>
          <t>Non-technical</t>
        </is>
      </c>
      <c r="AQ8" s="153" t="n">
        <v>20</v>
      </c>
      <c r="AR8" s="153" t="inlineStr">
        <is>
          <t>Covered</t>
        </is>
      </c>
      <c r="AS8" s="153" t="inlineStr">
        <is>
          <t>IRIS0167</t>
        </is>
      </c>
      <c r="AT8" s="153" t="inlineStr">
        <is>
          <t>Nitin Bhoir</t>
        </is>
      </c>
      <c r="AU8" s="153" t="inlineStr">
        <is>
          <t>Digitizing</t>
        </is>
      </c>
      <c r="AV8" s="153" t="inlineStr">
        <is>
          <t>Professional Services</t>
        </is>
      </c>
      <c r="AW8" s="153" t="inlineStr">
        <is>
          <t>Regulatory Portal Operations</t>
        </is>
      </c>
      <c r="AX8" s="153" t="inlineStr">
        <is>
          <t>Employee</t>
        </is>
      </c>
      <c r="AY8" s="153" t="inlineStr">
        <is>
          <t>Shraddha Patil</t>
        </is>
      </c>
      <c r="AZ8" s="153" t="inlineStr">
        <is>
          <t>Shraddha Patil</t>
        </is>
      </c>
      <c r="BA8" s="153" t="inlineStr">
        <is>
          <t>No</t>
        </is>
      </c>
      <c r="BB8" s="153" t="inlineStr">
        <is>
          <t>Image Processing Specialist</t>
        </is>
      </c>
      <c r="BC8" s="153" t="inlineStr">
        <is>
          <t>Sr Regulatory Portal Operations Specialist</t>
        </is>
      </c>
      <c r="BD8" s="153" t="inlineStr">
        <is>
          <t>Yes</t>
        </is>
      </c>
      <c r="BE8" s="153" t="inlineStr">
        <is>
          <t>—</t>
        </is>
      </c>
      <c r="BF8" s="153" t="inlineStr">
        <is>
          <t>—</t>
        </is>
      </c>
      <c r="BG8" s="153" t="inlineStr">
        <is>
          <t>—</t>
        </is>
      </c>
      <c r="BH8" s="153" t="inlineStr">
        <is>
          <t>Not a manager</t>
        </is>
      </c>
      <c r="BI8" s="153" t="inlineStr">
        <is>
          <t>—</t>
        </is>
      </c>
      <c r="BJ8" s="153" t="inlineStr">
        <is>
          <t>—</t>
        </is>
      </c>
      <c r="BK8" s="153" t="inlineStr">
        <is>
          <t>—</t>
        </is>
      </c>
      <c r="BL8" s="153" t="inlineStr">
        <is>
          <t>Not a manager</t>
        </is>
      </c>
      <c r="BM8" s="153" t="inlineStr">
        <is>
          <t>—</t>
        </is>
      </c>
      <c r="BN8" s="153" t="inlineStr">
        <is>
          <t>L3 – Professional / Associate</t>
        </is>
      </c>
      <c r="BO8" s="153" t="inlineStr">
        <is>
          <t>L3</t>
        </is>
      </c>
      <c r="BP8" s="153" t="inlineStr">
        <is>
          <t>Matched from Title Hierarchy · new designation</t>
        </is>
      </c>
      <c r="BQ8"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R8" s="153" t="inlineStr">
        <is>
          <t>Belapur Data Center India.</t>
        </is>
      </c>
      <c r="BS8" s="153" t="inlineStr">
        <is>
          <t>IRIS0167</t>
        </is>
      </c>
      <c r="BT8" s="153" t="inlineStr">
        <is>
          <t>Employee</t>
        </is>
      </c>
      <c r="BU8" s="153" t="inlineStr">
        <is>
          <t>Active</t>
        </is>
      </c>
      <c r="BV8" s="153" t="inlineStr">
        <is>
          <t>Nitin Bhoir</t>
        </is>
      </c>
      <c r="BW8" s="154" t="n">
        <v>39470</v>
      </c>
      <c r="BX8" s="153" t="inlineStr">
        <is>
          <t>Image Processing Specialist</t>
        </is>
      </c>
      <c r="BY8" s="153" t="inlineStr">
        <is>
          <t>Professional Services</t>
        </is>
      </c>
      <c r="BZ8" s="153" t="inlineStr">
        <is>
          <t>Digitization &amp; Image Processing</t>
        </is>
      </c>
      <c r="CA8" s="153" t="inlineStr">
        <is>
          <t>Image Processing Specialist</t>
        </is>
      </c>
      <c r="CB8" s="153" t="inlineStr">
        <is>
          <t>L3 – Professional / Associate</t>
        </is>
      </c>
      <c r="CC8" s="153" t="inlineStr">
        <is>
          <t>Shraddha Patil</t>
        </is>
      </c>
      <c r="CD8" s="153" t="inlineStr">
        <is>
          <t>N-7</t>
        </is>
      </c>
      <c r="CE8" s="153" t="inlineStr">
        <is>
          <t>Individual Contributor</t>
        </is>
      </c>
      <c r="CF8" s="153" t="inlineStr">
        <is>
          <t>Consume</t>
        </is>
      </c>
      <c r="CG8" s="153" t="inlineStr">
        <is>
          <t>Digitizing</t>
        </is>
      </c>
      <c r="CH8" s="153" t="inlineStr">
        <is>
          <t>18 years, 7 months, 28 days</t>
        </is>
      </c>
      <c r="CI8" s="153" t="inlineStr">
        <is>
          <t>Sr.Image Processing Specialist</t>
        </is>
      </c>
      <c r="CJ8" s="153" t="n">
        <v>3</v>
      </c>
      <c r="CK8" s="153" t="inlineStr">
        <is>
          <t>Medium</t>
        </is>
      </c>
      <c r="CL8" s="153" t="inlineStr">
        <is>
          <t>Core Contributor</t>
        </is>
      </c>
      <c r="CM8" s="153" t="inlineStr">
        <is>
          <t>No</t>
        </is>
      </c>
      <c r="CN8" s="153" t="inlineStr">
        <is>
          <t>No</t>
        </is>
      </c>
      <c r="CO8" s="153" t="inlineStr">
        <is>
          <t>Yes</t>
        </is>
      </c>
      <c r="CP8" s="153" t="inlineStr">
        <is>
          <t>Title to be standardized to : Sr.Image Processing Specialist</t>
        </is>
      </c>
      <c r="CQ8" s="153" t="n"/>
      <c r="CR8" s="153" t="n"/>
      <c r="CS8" s="153" t="n"/>
      <c r="CT8" s="153" t="n"/>
      <c r="CU8" s="153" t="n"/>
      <c r="CV8" s="153" t="n"/>
      <c r="CW8" s="153" t="n"/>
      <c r="CX8" s="153" t="n"/>
      <c r="CY8" s="153" t="n"/>
      <c r="CZ8" s="153" t="n"/>
      <c r="DA8" s="153" t="n"/>
      <c r="DB8" s="153" t="n"/>
      <c r="DC8" s="153" t="n"/>
      <c r="DD8" s="153" t="n"/>
      <c r="DE8" s="153" t="n"/>
      <c r="DF8" s="153" t="n"/>
      <c r="DG8" s="153" t="n"/>
      <c r="DH8" s="153" t="n"/>
      <c r="DI8" s="153" t="n"/>
      <c r="DJ8" s="153" t="n"/>
      <c r="DK8" s="153" t="n"/>
      <c r="DL8" s="153" t="n"/>
      <c r="DM8" s="153" t="n"/>
      <c r="DN8" s="153" t="n"/>
      <c r="DO8" s="153" t="n"/>
      <c r="DP8" s="153" t="n"/>
      <c r="DQ8" s="153" t="n"/>
      <c r="DR8" s="153" t="n"/>
      <c r="DS8" s="153" t="n"/>
      <c r="DT8" s="153" t="n"/>
      <c r="DU8" s="153" t="n"/>
      <c r="DV8" s="153" t="n"/>
      <c r="DW8" s="153" t="n"/>
      <c r="DX8" s="153" t="n"/>
      <c r="DY8" s="153" t="n"/>
      <c r="DZ8" s="153" t="n"/>
      <c r="EA8" s="153" t="n"/>
      <c r="EB8" s="153" t="n"/>
      <c r="EC8" s="153" t="n"/>
      <c r="ED8" s="153" t="n"/>
      <c r="EE8" s="153" t="n"/>
      <c r="EF8" s="153" t="n"/>
      <c r="EG8" s="153" t="n"/>
    </row>
    <row r="9" ht="64" customHeight="1">
      <c r="A9" s="109" t="inlineStr">
        <is>
          <t>IRIS0110</t>
        </is>
      </c>
      <c r="B9" s="111" t="inlineStr">
        <is>
          <t>Aniket Manval</t>
        </is>
      </c>
      <c r="C9" s="111" t="inlineStr">
        <is>
          <t>Digitizing</t>
        </is>
      </c>
      <c r="D9" s="114" t="inlineStr">
        <is>
          <t>Image Processing Specialist</t>
        </is>
      </c>
      <c r="E9" s="114" t="inlineStr">
        <is>
          <t>Senior Digitization Associate</t>
        </is>
      </c>
      <c r="F9" s="114" t="inlineStr">
        <is>
          <t>L3 – Professional / Associate</t>
        </is>
      </c>
      <c r="G9" s="114" t="inlineStr">
        <is>
          <t>A3</t>
        </is>
      </c>
      <c r="H9" s="117" t="inlineStr">
        <is>
          <t>▲ Up</t>
        </is>
      </c>
      <c r="I9" s="111" t="inlineStr">
        <is>
          <t>Data Operations &amp; Digitization</t>
        </is>
      </c>
      <c r="J9" s="111" t="inlineStr">
        <is>
          <t>Document Conversion, Formatting &amp; Web Publishing</t>
        </is>
      </c>
      <c r="K9" s="111" t="inlineStr"/>
      <c r="L9" s="111" t="n">
        <v>20</v>
      </c>
      <c r="M9" s="146" t="inlineStr">
        <is>
          <t>P2</t>
        </is>
      </c>
      <c r="N9" s="115" t="inlineStr">
        <is>
          <t>Developing</t>
        </is>
      </c>
      <c r="O9" s="115" t="inlineStr">
        <is>
          <t>3 Apply</t>
        </is>
      </c>
      <c r="P9" s="115" t="inlineStr">
        <is>
          <t>2–4 yrs</t>
        </is>
      </c>
      <c r="Q9" s="115" t="inlineStr">
        <is>
          <t>3–5 · 2–5</t>
        </is>
      </c>
      <c r="R9" s="115" t="inlineStr">
        <is>
          <t>Senior Associate</t>
        </is>
      </c>
      <c r="S9" s="115" t="inlineStr">
        <is>
          <r>
            <rPr>
              <rFont val="Calibri"/>
              <b val="1"/>
              <sz val="10"/>
            </rPr>
            <t>DataTracks:</t>
          </r>
          <r>
            <rPr>
              <rFont val="Calibri"/>
              <sz val="10"/>
            </rPr>
            <t xml:space="preserve"> Senior Associate · 2–5 yrs · Accenture Operations: L10 Senior Analyst · IRIS Vs Competitor Benchmark — operations roles: Senior Processor / QC</t>
          </r>
        </is>
      </c>
      <c r="T9" s="115" t="inlineStr">
        <is>
          <t>COPC CX Standard · leadership &amp; planning, people, processes, performance; ISO 9001; Lean / Six Sigma</t>
        </is>
      </c>
      <c r="U9" s="115" t="inlineStr">
        <is>
          <t>Core 2 · Future 2 · Functional 3 · Leadership not scored</t>
        </is>
      </c>
      <c r="V9" s="152" t="n">
        <v>24</v>
      </c>
      <c r="W9" s="153" t="inlineStr">
        <is>
          <t>IRIS0110</t>
        </is>
      </c>
      <c r="X9" s="153" t="inlineStr">
        <is>
          <t>Employee</t>
        </is>
      </c>
      <c r="Y9" s="153" t="inlineStr">
        <is>
          <t>Active</t>
        </is>
      </c>
      <c r="Z9" s="153" t="inlineStr">
        <is>
          <t>Aniket Manval</t>
        </is>
      </c>
      <c r="AA9" s="235" t="n">
        <v>39326</v>
      </c>
      <c r="AB9" s="153" t="inlineStr">
        <is>
          <t>Image Processing Specialist</t>
        </is>
      </c>
      <c r="AC9" s="153" t="inlineStr">
        <is>
          <t>Undergraduate</t>
        </is>
      </c>
      <c r="AD9" s="153" t="inlineStr">
        <is>
          <t>Shraddha Patil</t>
        </is>
      </c>
      <c r="AE9" s="153" t="inlineStr">
        <is>
          <t>N-7</t>
        </is>
      </c>
      <c r="AF9" s="153" t="inlineStr">
        <is>
          <t>Individual Contributor</t>
        </is>
      </c>
      <c r="AG9" s="153" t="inlineStr">
        <is>
          <t>0 years, 4 months, 0 days</t>
        </is>
      </c>
      <c r="AH9" s="153" t="inlineStr">
        <is>
          <t>18 years, 11 months, 24 days</t>
        </is>
      </c>
      <c r="AI9" s="153" t="inlineStr">
        <is>
          <t>Consume</t>
        </is>
      </c>
      <c r="AJ9" s="153" t="inlineStr">
        <is>
          <t>Consume</t>
        </is>
      </c>
      <c r="AK9" s="153" t="inlineStr">
        <is>
          <t>Digitizing</t>
        </is>
      </c>
      <c r="AL9" s="153" t="inlineStr">
        <is>
          <t>Digitizing Assisted services</t>
        </is>
      </c>
      <c r="AM9" s="153" t="inlineStr">
        <is>
          <t>No</t>
        </is>
      </c>
      <c r="AN9" s="153" t="inlineStr">
        <is>
          <t>Professional Services</t>
        </is>
      </c>
      <c r="AO9" s="153" t="inlineStr">
        <is>
          <t>OCR/Image procesing</t>
        </is>
      </c>
      <c r="AP9" s="153" t="inlineStr">
        <is>
          <t>Non-technical</t>
        </is>
      </c>
      <c r="AQ9" s="153" t="n">
        <v>20</v>
      </c>
      <c r="AR9" s="153" t="inlineStr">
        <is>
          <t>Covered</t>
        </is>
      </c>
      <c r="AS9" s="153" t="inlineStr">
        <is>
          <t>IRIS0110</t>
        </is>
      </c>
      <c r="AT9" s="153" t="inlineStr">
        <is>
          <t>Aniket Manval</t>
        </is>
      </c>
      <c r="AU9" s="153" t="inlineStr">
        <is>
          <t>Digitizing</t>
        </is>
      </c>
      <c r="AV9" s="153" t="inlineStr">
        <is>
          <t>Professional Services</t>
        </is>
      </c>
      <c r="AW9" s="153" t="inlineStr">
        <is>
          <t>Regulatory Portal Operations</t>
        </is>
      </c>
      <c r="AX9" s="153" t="inlineStr">
        <is>
          <t>Employee</t>
        </is>
      </c>
      <c r="AY9" s="153" t="inlineStr">
        <is>
          <t>Shraddha Patil</t>
        </is>
      </c>
      <c r="AZ9" s="153" t="inlineStr">
        <is>
          <t>Shraddha Patil</t>
        </is>
      </c>
      <c r="BA9" s="153" t="inlineStr">
        <is>
          <t>No</t>
        </is>
      </c>
      <c r="BB9" s="153" t="inlineStr">
        <is>
          <t>Image Processing Specialist</t>
        </is>
      </c>
      <c r="BC9" s="153" t="inlineStr">
        <is>
          <t>Sr Regulatory Portal Operations Specialist</t>
        </is>
      </c>
      <c r="BD9" s="153" t="inlineStr">
        <is>
          <t>Yes</t>
        </is>
      </c>
      <c r="BE9" s="153" t="inlineStr">
        <is>
          <t>—</t>
        </is>
      </c>
      <c r="BF9" s="153" t="inlineStr">
        <is>
          <t>—</t>
        </is>
      </c>
      <c r="BG9" s="153" t="inlineStr">
        <is>
          <t>—</t>
        </is>
      </c>
      <c r="BH9" s="153" t="inlineStr">
        <is>
          <t>Not a manager</t>
        </is>
      </c>
      <c r="BI9" s="153" t="inlineStr">
        <is>
          <t>—</t>
        </is>
      </c>
      <c r="BJ9" s="153" t="inlineStr">
        <is>
          <t>—</t>
        </is>
      </c>
      <c r="BK9" s="153" t="inlineStr">
        <is>
          <t>—</t>
        </is>
      </c>
      <c r="BL9" s="153" t="inlineStr">
        <is>
          <t>Not a manager</t>
        </is>
      </c>
      <c r="BM9" s="153" t="inlineStr">
        <is>
          <t>—</t>
        </is>
      </c>
      <c r="BN9" s="153" t="inlineStr">
        <is>
          <t>L3 – Professional / Associate</t>
        </is>
      </c>
      <c r="BO9" s="153" t="inlineStr">
        <is>
          <t>L3</t>
        </is>
      </c>
      <c r="BP9" s="153" t="inlineStr">
        <is>
          <t>Matched from Title Hierarchy · new designation</t>
        </is>
      </c>
      <c r="BQ9"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R9" s="153" t="inlineStr">
        <is>
          <t>Indian.</t>
        </is>
      </c>
      <c r="BS9" s="153" t="inlineStr">
        <is>
          <t>IRIS0110</t>
        </is>
      </c>
      <c r="BT9" s="153" t="inlineStr">
        <is>
          <t>Employee</t>
        </is>
      </c>
      <c r="BU9" s="153" t="inlineStr">
        <is>
          <t>Active</t>
        </is>
      </c>
      <c r="BV9" s="153" t="inlineStr">
        <is>
          <t>Aniket Manval</t>
        </is>
      </c>
      <c r="BW9" s="154" t="n">
        <v>39326</v>
      </c>
      <c r="BX9" s="153" t="inlineStr">
        <is>
          <t>Image Processing Specialist</t>
        </is>
      </c>
      <c r="BY9" s="153" t="inlineStr">
        <is>
          <t>Professional Services</t>
        </is>
      </c>
      <c r="BZ9" s="153" t="inlineStr">
        <is>
          <t>Digitization &amp; Image Processing</t>
        </is>
      </c>
      <c r="CA9" s="153" t="inlineStr">
        <is>
          <t>Image Processing Specialist</t>
        </is>
      </c>
      <c r="CB9" s="153" t="inlineStr">
        <is>
          <t>L3 – Professional / Associate</t>
        </is>
      </c>
      <c r="CC9" s="153" t="inlineStr">
        <is>
          <t>Shraddha Patil</t>
        </is>
      </c>
      <c r="CD9" s="153" t="inlineStr">
        <is>
          <t>N-7</t>
        </is>
      </c>
      <c r="CE9" s="153" t="inlineStr">
        <is>
          <t>Individual Contributor</t>
        </is>
      </c>
      <c r="CF9" s="153" t="inlineStr">
        <is>
          <t>Consume</t>
        </is>
      </c>
      <c r="CG9" s="153" t="inlineStr">
        <is>
          <t>Digitizing</t>
        </is>
      </c>
      <c r="CH9" s="153" t="inlineStr">
        <is>
          <t>19 years, 1 months, 19 days</t>
        </is>
      </c>
      <c r="CI9" s="153" t="inlineStr">
        <is>
          <t>Sr.Image Processing Specialist</t>
        </is>
      </c>
      <c r="CJ9" s="153" t="n">
        <v>4</v>
      </c>
      <c r="CK9" s="153" t="inlineStr">
        <is>
          <t>High</t>
        </is>
      </c>
      <c r="CL9" s="153" t="inlineStr">
        <is>
          <t>Core Contributor</t>
        </is>
      </c>
      <c r="CM9" s="153" t="inlineStr">
        <is>
          <t>No</t>
        </is>
      </c>
      <c r="CN9" s="153" t="inlineStr">
        <is>
          <t>No</t>
        </is>
      </c>
      <c r="CO9" s="153" t="inlineStr">
        <is>
          <t>Yes</t>
        </is>
      </c>
      <c r="CP9" s="153" t="inlineStr">
        <is>
          <t>Title to be standardized to : Sr.Image Processing Specialist</t>
        </is>
      </c>
      <c r="CQ9" s="153" t="n"/>
      <c r="CR9" s="153" t="n"/>
      <c r="CS9" s="153" t="n"/>
      <c r="CT9" s="153" t="n"/>
      <c r="CU9" s="153" t="n"/>
      <c r="CV9" s="153" t="n"/>
      <c r="CW9" s="153" t="n"/>
      <c r="CX9" s="153" t="n"/>
      <c r="CY9" s="153" t="n"/>
      <c r="CZ9" s="153" t="n"/>
      <c r="DA9" s="153" t="n"/>
      <c r="DB9" s="153" t="n"/>
      <c r="DC9" s="153" t="n"/>
      <c r="DD9" s="153" t="n"/>
      <c r="DE9" s="153" t="n"/>
      <c r="DF9" s="153" t="n"/>
      <c r="DG9" s="153" t="n"/>
      <c r="DH9" s="153" t="n"/>
      <c r="DI9" s="153" t="n"/>
      <c r="DJ9" s="153" t="n"/>
      <c r="DK9" s="153" t="n"/>
      <c r="DL9" s="153" t="n"/>
      <c r="DM9" s="153" t="n"/>
      <c r="DN9" s="153" t="n"/>
      <c r="DO9" s="153" t="n"/>
      <c r="DP9" s="153" t="n"/>
      <c r="DQ9" s="153" t="n"/>
      <c r="DR9" s="153" t="n"/>
      <c r="DS9" s="153" t="n"/>
      <c r="DT9" s="153" t="n"/>
      <c r="DU9" s="153" t="n"/>
      <c r="DV9" s="153" t="n"/>
      <c r="DW9" s="153" t="n"/>
      <c r="DX9" s="153" t="n"/>
      <c r="DY9" s="153" t="n"/>
      <c r="DZ9" s="153" t="n"/>
      <c r="EA9" s="153" t="n"/>
      <c r="EB9" s="153" t="n"/>
      <c r="EC9" s="153" t="n"/>
      <c r="ED9" s="153" t="n"/>
      <c r="EE9" s="153" t="n"/>
      <c r="EF9" s="153" t="n"/>
      <c r="EG9" s="153" t="n"/>
    </row>
    <row r="10" ht="64" customHeight="1">
      <c r="A10" s="109" t="inlineStr">
        <is>
          <t>IRIS0170</t>
        </is>
      </c>
      <c r="B10" s="111" t="inlineStr">
        <is>
          <t>Manish Paithankar</t>
        </is>
      </c>
      <c r="C10" s="111" t="inlineStr">
        <is>
          <t>Digitizing</t>
        </is>
      </c>
      <c r="D10" s="114" t="inlineStr">
        <is>
          <t>Image Processing Specialist</t>
        </is>
      </c>
      <c r="E10" s="114" t="inlineStr">
        <is>
          <t>Senior Digitization Associate</t>
        </is>
      </c>
      <c r="F10" s="114" t="inlineStr">
        <is>
          <t>L3 – Professional / Associate</t>
        </is>
      </c>
      <c r="G10" s="114" t="inlineStr">
        <is>
          <t>A3</t>
        </is>
      </c>
      <c r="H10" s="117" t="inlineStr">
        <is>
          <t>▲ Up</t>
        </is>
      </c>
      <c r="I10" s="111" t="inlineStr">
        <is>
          <t>Data Operations &amp; Digitization</t>
        </is>
      </c>
      <c r="J10" s="111" t="inlineStr">
        <is>
          <t>Document Conversion, Formatting &amp; Web Publishing</t>
        </is>
      </c>
      <c r="K10" s="111" t="inlineStr"/>
      <c r="L10" s="111" t="n">
        <v>20</v>
      </c>
      <c r="M10" s="146" t="inlineStr">
        <is>
          <t>P2</t>
        </is>
      </c>
      <c r="N10" s="115" t="inlineStr">
        <is>
          <t>Developing</t>
        </is>
      </c>
      <c r="O10" s="115" t="inlineStr">
        <is>
          <t>3 Apply</t>
        </is>
      </c>
      <c r="P10" s="115" t="inlineStr">
        <is>
          <t>2–4 yrs</t>
        </is>
      </c>
      <c r="Q10" s="115" t="inlineStr">
        <is>
          <t>3–5 · 2–5</t>
        </is>
      </c>
      <c r="R10" s="115" t="inlineStr">
        <is>
          <t>Senior Associate</t>
        </is>
      </c>
      <c r="S10" s="115" t="inlineStr">
        <is>
          <r>
            <rPr>
              <rFont val="Calibri"/>
              <b val="1"/>
              <sz val="10"/>
            </rPr>
            <t>DataTracks:</t>
          </r>
          <r>
            <rPr>
              <rFont val="Calibri"/>
              <sz val="10"/>
            </rPr>
            <t xml:space="preserve"> Senior Associate · 2–5 yrs · Accenture Operations: L10 Senior Analyst · IRIS Vs Competitor Benchmark — operations roles: Senior Processor / QC</t>
          </r>
        </is>
      </c>
      <c r="T10" s="115" t="inlineStr">
        <is>
          <t>COPC CX Standard · leadership &amp; planning, people, processes, performance; ISO 9001; Lean / Six Sigma</t>
        </is>
      </c>
      <c r="U10" s="115" t="inlineStr">
        <is>
          <t>Core 2 · Future 2 · Functional 3 · Leadership not scored</t>
        </is>
      </c>
      <c r="V10" s="152" t="n">
        <v>35</v>
      </c>
      <c r="W10" s="153" t="inlineStr">
        <is>
          <t>IRIS0170</t>
        </is>
      </c>
      <c r="X10" s="153" t="inlineStr">
        <is>
          <t>Employee</t>
        </is>
      </c>
      <c r="Y10" s="153" t="inlineStr">
        <is>
          <t>Active</t>
        </is>
      </c>
      <c r="Z10" s="153" t="inlineStr">
        <is>
          <t>Manish Paithankar</t>
        </is>
      </c>
      <c r="AA10" s="235" t="n">
        <v>39470</v>
      </c>
      <c r="AB10" s="153" t="inlineStr">
        <is>
          <t>Image Processing Specialist</t>
        </is>
      </c>
      <c r="AC10" s="153" t="inlineStr">
        <is>
          <t>B.Com</t>
        </is>
      </c>
      <c r="AD10" s="153" t="inlineStr">
        <is>
          <t>Shraddha Patil</t>
        </is>
      </c>
      <c r="AE10" s="153" t="inlineStr">
        <is>
          <t>N-7</t>
        </is>
      </c>
      <c r="AF10" s="153" t="inlineStr">
        <is>
          <t>Individual Contributor</t>
        </is>
      </c>
      <c r="AG10" s="153" t="inlineStr">
        <is>
          <t>0 years, 0 months, 0 days</t>
        </is>
      </c>
      <c r="AH10" s="153" t="inlineStr">
        <is>
          <t>18 years, 7 months, 2 days</t>
        </is>
      </c>
      <c r="AI10" s="153" t="inlineStr">
        <is>
          <t>Consume</t>
        </is>
      </c>
      <c r="AJ10" s="153" t="inlineStr">
        <is>
          <t>Consume</t>
        </is>
      </c>
      <c r="AK10" s="153" t="inlineStr">
        <is>
          <t>Digitizing</t>
        </is>
      </c>
      <c r="AL10" s="153" t="inlineStr">
        <is>
          <t>Digitizing Assisted services</t>
        </is>
      </c>
      <c r="AM10" s="153" t="inlineStr">
        <is>
          <t>No</t>
        </is>
      </c>
      <c r="AN10" s="153" t="inlineStr">
        <is>
          <t>Professional Services</t>
        </is>
      </c>
      <c r="AO10" s="153" t="inlineStr">
        <is>
          <t>OCR/Image procesing</t>
        </is>
      </c>
      <c r="AP10" s="153" t="inlineStr">
        <is>
          <t>Non-technical</t>
        </is>
      </c>
      <c r="AQ10" s="153" t="n">
        <v>20</v>
      </c>
      <c r="AR10" s="153" t="inlineStr">
        <is>
          <t>Covered</t>
        </is>
      </c>
      <c r="AS10" s="153" t="inlineStr">
        <is>
          <t>IRIS0170</t>
        </is>
      </c>
      <c r="AT10" s="153" t="inlineStr">
        <is>
          <t>Manish Paithankar</t>
        </is>
      </c>
      <c r="AU10" s="153" t="inlineStr">
        <is>
          <t>Digitizing</t>
        </is>
      </c>
      <c r="AV10" s="153" t="inlineStr">
        <is>
          <t>Professional Services</t>
        </is>
      </c>
      <c r="AW10" s="153" t="inlineStr">
        <is>
          <t>Regulatory Portal Operations</t>
        </is>
      </c>
      <c r="AX10" s="153" t="inlineStr">
        <is>
          <t>Employee</t>
        </is>
      </c>
      <c r="AY10" s="153" t="inlineStr">
        <is>
          <t>Shraddha Patil</t>
        </is>
      </c>
      <c r="AZ10" s="153" t="inlineStr">
        <is>
          <t>Shraddha Patil</t>
        </is>
      </c>
      <c r="BA10" s="153" t="inlineStr">
        <is>
          <t>No</t>
        </is>
      </c>
      <c r="BB10" s="153" t="inlineStr">
        <is>
          <t>Image Processing Specialist</t>
        </is>
      </c>
      <c r="BC10" s="153" t="inlineStr">
        <is>
          <t>Sr Regulatory Portal Operations Specialist</t>
        </is>
      </c>
      <c r="BD10" s="153" t="inlineStr">
        <is>
          <t>Yes</t>
        </is>
      </c>
      <c r="BE10" s="153" t="inlineStr">
        <is>
          <t>—</t>
        </is>
      </c>
      <c r="BF10" s="153" t="inlineStr">
        <is>
          <t>—</t>
        </is>
      </c>
      <c r="BG10" s="153" t="inlineStr">
        <is>
          <t>—</t>
        </is>
      </c>
      <c r="BH10" s="153" t="inlineStr">
        <is>
          <t>Not a manager</t>
        </is>
      </c>
      <c r="BI10" s="153" t="inlineStr">
        <is>
          <t>—</t>
        </is>
      </c>
      <c r="BJ10" s="153" t="inlineStr">
        <is>
          <t>—</t>
        </is>
      </c>
      <c r="BK10" s="153" t="inlineStr">
        <is>
          <t>—</t>
        </is>
      </c>
      <c r="BL10" s="153" t="inlineStr">
        <is>
          <t>Not a manager</t>
        </is>
      </c>
      <c r="BM10" s="153" t="inlineStr">
        <is>
          <t>—</t>
        </is>
      </c>
      <c r="BN10" s="153" t="inlineStr">
        <is>
          <t>L3 – Professional / Associate</t>
        </is>
      </c>
      <c r="BO10" s="153" t="inlineStr">
        <is>
          <t>L3</t>
        </is>
      </c>
      <c r="BP10" s="153" t="inlineStr">
        <is>
          <t>Matched from Title Hierarchy · new designation</t>
        </is>
      </c>
      <c r="BQ10"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R10" s="153" t="inlineStr">
        <is>
          <t>No input received — attended/was listed as a respondent but did not provide answers to any of the survey questions.</t>
        </is>
      </c>
      <c r="BS10" s="153" t="inlineStr">
        <is>
          <t>IRIS0170</t>
        </is>
      </c>
      <c r="BT10" s="153" t="inlineStr">
        <is>
          <t>Employee</t>
        </is>
      </c>
      <c r="BU10" s="153" t="inlineStr">
        <is>
          <t>Active</t>
        </is>
      </c>
      <c r="BV10" s="153" t="inlineStr">
        <is>
          <t>Manish Paithankar</t>
        </is>
      </c>
      <c r="BW10" s="154" t="n">
        <v>39470</v>
      </c>
      <c r="BX10" s="153" t="inlineStr">
        <is>
          <t>Image Processing Specialist</t>
        </is>
      </c>
      <c r="BY10" s="153" t="inlineStr">
        <is>
          <t>Professional Services</t>
        </is>
      </c>
      <c r="BZ10" s="153" t="inlineStr">
        <is>
          <t>Digitization &amp; Image Processing</t>
        </is>
      </c>
      <c r="CA10" s="153" t="inlineStr">
        <is>
          <t>Image Processing Specialist</t>
        </is>
      </c>
      <c r="CB10" s="153" t="inlineStr">
        <is>
          <t>L3 – Professional / Associate</t>
        </is>
      </c>
      <c r="CC10" s="153" t="inlineStr">
        <is>
          <t>Shraddha Patil</t>
        </is>
      </c>
      <c r="CD10" s="153" t="inlineStr">
        <is>
          <t>N-7</t>
        </is>
      </c>
      <c r="CE10" s="153" t="inlineStr">
        <is>
          <t>Individual Contributor</t>
        </is>
      </c>
      <c r="CF10" s="153" t="inlineStr">
        <is>
          <t>Consume</t>
        </is>
      </c>
      <c r="CG10" s="153" t="inlineStr">
        <is>
          <t>Digitizing</t>
        </is>
      </c>
      <c r="CH10" s="153" t="inlineStr">
        <is>
          <t>18 years, 4 months, 28 days</t>
        </is>
      </c>
      <c r="CI10" s="153" t="inlineStr">
        <is>
          <t>Sr.Image Processing Specialist</t>
        </is>
      </c>
      <c r="CJ10" s="153" t="n">
        <v>3</v>
      </c>
      <c r="CK10" s="153" t="inlineStr">
        <is>
          <t>Medium</t>
        </is>
      </c>
      <c r="CL10" s="153" t="inlineStr">
        <is>
          <t>Core Contributor</t>
        </is>
      </c>
      <c r="CM10" s="153" t="inlineStr">
        <is>
          <t>No</t>
        </is>
      </c>
      <c r="CN10" s="153" t="inlineStr">
        <is>
          <t>No</t>
        </is>
      </c>
      <c r="CO10" s="153" t="inlineStr">
        <is>
          <t>Yes</t>
        </is>
      </c>
      <c r="CP10" s="153" t="inlineStr">
        <is>
          <t>Title to be standardized to : Sr.Image Processing Specialist</t>
        </is>
      </c>
      <c r="CQ10" s="153" t="n"/>
      <c r="CR10" s="153" t="n"/>
      <c r="CS10" s="153" t="n"/>
      <c r="CT10" s="153" t="n"/>
      <c r="CU10" s="153" t="n"/>
      <c r="CV10" s="153" t="n"/>
      <c r="CW10" s="153" t="n"/>
      <c r="CX10" s="153" t="n"/>
      <c r="CY10" s="153" t="n"/>
      <c r="CZ10" s="153" t="n"/>
      <c r="DA10" s="153" t="n"/>
      <c r="DB10" s="153" t="n"/>
      <c r="DC10" s="153" t="n"/>
      <c r="DD10" s="153" t="n"/>
      <c r="DE10" s="153" t="n"/>
      <c r="DF10" s="153" t="n"/>
      <c r="DG10" s="153" t="n"/>
      <c r="DH10" s="153" t="n"/>
      <c r="DI10" s="153" t="n"/>
      <c r="DJ10" s="153" t="n"/>
      <c r="DK10" s="153" t="n"/>
      <c r="DL10" s="153" t="n"/>
      <c r="DM10" s="153" t="n"/>
      <c r="DN10" s="153" t="n"/>
      <c r="DO10" s="153" t="n"/>
      <c r="DP10" s="153" t="n"/>
      <c r="DQ10" s="153" t="n"/>
      <c r="DR10" s="153" t="n"/>
      <c r="DS10" s="153" t="n"/>
      <c r="DT10" s="153" t="n"/>
      <c r="DU10" s="153" t="n"/>
      <c r="DV10" s="153" t="n"/>
      <c r="DW10" s="153" t="n"/>
      <c r="DX10" s="153" t="n"/>
      <c r="DY10" s="153" t="n"/>
      <c r="DZ10" s="153" t="n"/>
      <c r="EA10" s="153" t="n"/>
      <c r="EB10" s="153" t="n"/>
      <c r="EC10" s="153" t="n"/>
      <c r="ED10" s="153" t="n"/>
      <c r="EE10" s="153" t="n"/>
      <c r="EF10" s="153" t="n"/>
      <c r="EG10" s="153" t="n"/>
    </row>
    <row r="11" ht="64" customHeight="1">
      <c r="A11" s="109" t="inlineStr">
        <is>
          <t>IRIS1211</t>
        </is>
      </c>
      <c r="B11" s="111" t="inlineStr">
        <is>
          <t>Manoj Ravidas</t>
        </is>
      </c>
      <c r="C11" s="111" t="inlineStr">
        <is>
          <t>Digitizing</t>
        </is>
      </c>
      <c r="D11" s="114" t="inlineStr">
        <is>
          <t>Image Processing Specialist</t>
        </is>
      </c>
      <c r="E11" s="114" t="inlineStr">
        <is>
          <t>Senior Digitization Associate</t>
        </is>
      </c>
      <c r="F11" s="114" t="inlineStr">
        <is>
          <t>L3 – Professional / Associate</t>
        </is>
      </c>
      <c r="G11" s="114" t="inlineStr">
        <is>
          <t>A3</t>
        </is>
      </c>
      <c r="H11" s="117" t="inlineStr">
        <is>
          <t>▲ Up</t>
        </is>
      </c>
      <c r="I11" s="111" t="inlineStr">
        <is>
          <t>Data Operations &amp; Digitization</t>
        </is>
      </c>
      <c r="J11" s="111" t="inlineStr">
        <is>
          <t>Document Conversion, Formatting &amp; Web Publishing</t>
        </is>
      </c>
      <c r="K11" s="111" t="inlineStr"/>
      <c r="L11" s="111" t="n">
        <v>20</v>
      </c>
      <c r="M11" s="146" t="inlineStr">
        <is>
          <t>P2</t>
        </is>
      </c>
      <c r="N11" s="115" t="inlineStr">
        <is>
          <t>Developing</t>
        </is>
      </c>
      <c r="O11" s="115" t="inlineStr">
        <is>
          <t>3 Apply</t>
        </is>
      </c>
      <c r="P11" s="115" t="inlineStr">
        <is>
          <t>2–4 yrs</t>
        </is>
      </c>
      <c r="Q11" s="115" t="inlineStr">
        <is>
          <t>3–5 · 2–5</t>
        </is>
      </c>
      <c r="R11" s="115" t="inlineStr">
        <is>
          <t>Senior Associate</t>
        </is>
      </c>
      <c r="S11" s="115" t="inlineStr">
        <is>
          <r>
            <rPr>
              <rFont val="Calibri"/>
              <b val="1"/>
              <sz val="10"/>
            </rPr>
            <t>DataTracks:</t>
          </r>
          <r>
            <rPr>
              <rFont val="Calibri"/>
              <sz val="10"/>
            </rPr>
            <t xml:space="preserve"> Senior Associate · 2–5 yrs · Accenture Operations: L10 Senior Analyst · IRIS Vs Competitor Benchmark — operations roles: Senior Processor / QC</t>
          </r>
        </is>
      </c>
      <c r="T11" s="115" t="inlineStr">
        <is>
          <t>COPC CX Standard · leadership &amp; planning, people, processes, performance; ISO 9001; Lean / Six Sigma</t>
        </is>
      </c>
      <c r="U11" s="115" t="inlineStr">
        <is>
          <t>Core 2 · Future 2 · Functional 3 · Leadership not scored</t>
        </is>
      </c>
      <c r="V11" s="152" t="n">
        <v>56</v>
      </c>
      <c r="W11" s="153" t="inlineStr">
        <is>
          <t>IRIS1211</t>
        </is>
      </c>
      <c r="X11" s="153" t="inlineStr">
        <is>
          <t>Employee</t>
        </is>
      </c>
      <c r="Y11" s="153" t="inlineStr">
        <is>
          <t>Active</t>
        </is>
      </c>
      <c r="Z11" s="153" t="inlineStr">
        <is>
          <t>Manoj Ravidas</t>
        </is>
      </c>
      <c r="AA11" s="235" t="n">
        <v>40325</v>
      </c>
      <c r="AB11" s="153" t="inlineStr">
        <is>
          <t>Image Processing Specialist</t>
        </is>
      </c>
      <c r="AC11" s="153" t="inlineStr">
        <is>
          <t>B.Com</t>
        </is>
      </c>
      <c r="AD11" s="153" t="inlineStr">
        <is>
          <t>Shraddha Patil</t>
        </is>
      </c>
      <c r="AE11" s="153" t="inlineStr">
        <is>
          <t>N-7</t>
        </is>
      </c>
      <c r="AF11" s="153" t="inlineStr">
        <is>
          <t>Individual Contributor</t>
        </is>
      </c>
      <c r="AG11" s="153" t="inlineStr">
        <is>
          <t>0 years, 0 months, 0 days</t>
        </is>
      </c>
      <c r="AH11" s="153" t="inlineStr">
        <is>
          <t>16 years, 2 months, 29 days</t>
        </is>
      </c>
      <c r="AI11" s="153" t="inlineStr">
        <is>
          <t>Consume</t>
        </is>
      </c>
      <c r="AJ11" s="153" t="inlineStr">
        <is>
          <t>Consume</t>
        </is>
      </c>
      <c r="AK11" s="153" t="inlineStr">
        <is>
          <t>Digitizing</t>
        </is>
      </c>
      <c r="AL11" s="153" t="inlineStr">
        <is>
          <t>Digitizing Assisted services</t>
        </is>
      </c>
      <c r="AM11" s="153" t="inlineStr">
        <is>
          <t>No</t>
        </is>
      </c>
      <c r="AN11" s="153" t="inlineStr">
        <is>
          <t>Professional Services</t>
        </is>
      </c>
      <c r="AO11" s="153" t="inlineStr">
        <is>
          <t>OCR/Image procesing</t>
        </is>
      </c>
      <c r="AP11" s="153" t="inlineStr">
        <is>
          <t>Non-technical</t>
        </is>
      </c>
      <c r="AQ11" s="153" t="n">
        <v>20</v>
      </c>
      <c r="AR11" s="153" t="inlineStr">
        <is>
          <t>Covered</t>
        </is>
      </c>
      <c r="AS11" s="153" t="inlineStr">
        <is>
          <t>IRIS1211</t>
        </is>
      </c>
      <c r="AT11" s="153" t="inlineStr">
        <is>
          <t>Manoj Ravidas</t>
        </is>
      </c>
      <c r="AU11" s="153" t="inlineStr">
        <is>
          <t>Digitizing</t>
        </is>
      </c>
      <c r="AV11" s="153" t="inlineStr">
        <is>
          <t>Professional Services</t>
        </is>
      </c>
      <c r="AW11" s="153" t="inlineStr">
        <is>
          <t>Regulatory Portal Operations</t>
        </is>
      </c>
      <c r="AX11" s="153" t="inlineStr">
        <is>
          <t>Employee</t>
        </is>
      </c>
      <c r="AY11" s="153" t="inlineStr">
        <is>
          <t>Shraddha Patil</t>
        </is>
      </c>
      <c r="AZ11" s="153" t="inlineStr">
        <is>
          <t>Manoj Tiwari</t>
        </is>
      </c>
      <c r="BA11" s="153" t="inlineStr">
        <is>
          <t>No</t>
        </is>
      </c>
      <c r="BB11" s="153" t="inlineStr">
        <is>
          <t>Image Processing Specialist</t>
        </is>
      </c>
      <c r="BC11" s="153" t="inlineStr">
        <is>
          <t>Sr Regulatory Portal Operations Specialist</t>
        </is>
      </c>
      <c r="BD11" s="153" t="inlineStr">
        <is>
          <t>Yes</t>
        </is>
      </c>
      <c r="BE11" s="153" t="inlineStr">
        <is>
          <t>—</t>
        </is>
      </c>
      <c r="BF11" s="153" t="inlineStr">
        <is>
          <t>—</t>
        </is>
      </c>
      <c r="BG11" s="153" t="inlineStr">
        <is>
          <t>—</t>
        </is>
      </c>
      <c r="BH11" s="153" t="inlineStr">
        <is>
          <t>Not a manager</t>
        </is>
      </c>
      <c r="BI11" s="153" t="inlineStr">
        <is>
          <t>—</t>
        </is>
      </c>
      <c r="BJ11" s="153" t="inlineStr">
        <is>
          <t>—</t>
        </is>
      </c>
      <c r="BK11" s="153" t="inlineStr">
        <is>
          <t>—</t>
        </is>
      </c>
      <c r="BL11" s="153" t="inlineStr">
        <is>
          <t>Not a manager</t>
        </is>
      </c>
      <c r="BM11" s="153" t="inlineStr">
        <is>
          <t>—</t>
        </is>
      </c>
      <c r="BN11" s="153" t="inlineStr">
        <is>
          <t>L3 – Professional / Associate</t>
        </is>
      </c>
      <c r="BO11" s="153" t="inlineStr">
        <is>
          <t>L3</t>
        </is>
      </c>
      <c r="BP11" s="153" t="inlineStr">
        <is>
          <t>Matched from Title Hierarchy · new designation</t>
        </is>
      </c>
      <c r="BQ11"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R11" s="153" t="inlineStr">
        <is>
          <t>INDIA.</t>
        </is>
      </c>
      <c r="BS11" s="153" t="inlineStr">
        <is>
          <t>IRIS1211</t>
        </is>
      </c>
      <c r="BT11" s="153" t="inlineStr">
        <is>
          <t>Employee</t>
        </is>
      </c>
      <c r="BU11" s="153" t="inlineStr">
        <is>
          <t>Active</t>
        </is>
      </c>
      <c r="BV11" s="153" t="inlineStr">
        <is>
          <t>Manoj Ravidas</t>
        </is>
      </c>
      <c r="BW11" s="154" t="n">
        <v>40325</v>
      </c>
      <c r="BX11" s="153" t="inlineStr">
        <is>
          <t>Image Processing Specialist</t>
        </is>
      </c>
      <c r="BY11" s="153" t="inlineStr">
        <is>
          <t>Professional Services</t>
        </is>
      </c>
      <c r="BZ11" s="153" t="inlineStr">
        <is>
          <t>Digitization &amp; Image Processing</t>
        </is>
      </c>
      <c r="CA11" s="153" t="inlineStr">
        <is>
          <t>Image Processing Specialist</t>
        </is>
      </c>
      <c r="CB11" s="153" t="inlineStr">
        <is>
          <t>L3 – Professional / Associate</t>
        </is>
      </c>
      <c r="CC11" s="153" t="inlineStr">
        <is>
          <t>Shraddha Patil</t>
        </is>
      </c>
      <c r="CD11" s="153" t="inlineStr">
        <is>
          <t>N-7</t>
        </is>
      </c>
      <c r="CE11" s="153" t="inlineStr">
        <is>
          <t>Individual Contributor</t>
        </is>
      </c>
      <c r="CF11" s="153" t="inlineStr">
        <is>
          <t>Consume</t>
        </is>
      </c>
      <c r="CG11" s="153" t="inlineStr">
        <is>
          <t>Digitizing</t>
        </is>
      </c>
      <c r="CH11" s="153" t="inlineStr">
        <is>
          <t>16 years, 0 months, 24 days</t>
        </is>
      </c>
      <c r="CI11" s="153" t="inlineStr">
        <is>
          <t>Sr.Image Processing Specialist</t>
        </is>
      </c>
      <c r="CJ11" s="153" t="n">
        <v>4</v>
      </c>
      <c r="CK11" s="153" t="inlineStr">
        <is>
          <t>High</t>
        </is>
      </c>
      <c r="CL11" s="153" t="inlineStr">
        <is>
          <t>Core Contributor</t>
        </is>
      </c>
      <c r="CM11" s="153" t="inlineStr">
        <is>
          <t>No</t>
        </is>
      </c>
      <c r="CN11" s="153" t="inlineStr">
        <is>
          <t>No</t>
        </is>
      </c>
      <c r="CO11" s="153" t="inlineStr">
        <is>
          <t>Yes</t>
        </is>
      </c>
      <c r="CP11" s="153" t="inlineStr">
        <is>
          <t>Title to be standardized to : Sr.Image Processing Specialist</t>
        </is>
      </c>
      <c r="CQ11" s="153" t="n"/>
      <c r="CR11" s="153" t="n"/>
      <c r="CS11" s="153" t="n"/>
      <c r="CT11" s="153" t="n"/>
      <c r="CU11" s="153" t="n"/>
      <c r="CV11" s="153" t="n"/>
      <c r="CW11" s="153" t="n"/>
      <c r="CX11" s="153" t="n"/>
      <c r="CY11" s="153" t="n"/>
      <c r="CZ11" s="153" t="n"/>
      <c r="DA11" s="153" t="n"/>
      <c r="DB11" s="153" t="n"/>
      <c r="DC11" s="153" t="n"/>
      <c r="DD11" s="153" t="n"/>
      <c r="DE11" s="153" t="n"/>
      <c r="DF11" s="153" t="n"/>
      <c r="DG11" s="153" t="n"/>
      <c r="DH11" s="153" t="n"/>
      <c r="DI11" s="153" t="n"/>
      <c r="DJ11" s="153" t="n"/>
      <c r="DK11" s="153" t="n"/>
      <c r="DL11" s="153" t="n"/>
      <c r="DM11" s="153" t="n"/>
      <c r="DN11" s="153" t="n"/>
      <c r="DO11" s="153" t="n"/>
      <c r="DP11" s="153" t="n"/>
      <c r="DQ11" s="153" t="n"/>
      <c r="DR11" s="153" t="n"/>
      <c r="DS11" s="153" t="n"/>
      <c r="DT11" s="153" t="n"/>
      <c r="DU11" s="153" t="n"/>
      <c r="DV11" s="153" t="n"/>
      <c r="DW11" s="153" t="n"/>
      <c r="DX11" s="153" t="n"/>
      <c r="DY11" s="153" t="n"/>
      <c r="DZ11" s="153" t="n"/>
      <c r="EA11" s="153" t="n"/>
      <c r="EB11" s="153" t="n"/>
      <c r="EC11" s="153" t="n"/>
      <c r="ED11" s="153" t="n"/>
      <c r="EE11" s="153" t="n"/>
      <c r="EF11" s="153" t="n"/>
      <c r="EG11" s="153" t="n"/>
    </row>
    <row r="12" ht="64" customHeight="1">
      <c r="A12" s="109" t="inlineStr">
        <is>
          <t>IRIS1213</t>
        </is>
      </c>
      <c r="B12" s="111" t="inlineStr">
        <is>
          <t>Manoj Tiwari</t>
        </is>
      </c>
      <c r="C12" s="111" t="inlineStr">
        <is>
          <t>Digitizing</t>
        </is>
      </c>
      <c r="D12" s="114" t="inlineStr">
        <is>
          <t>Image Processing Specialist</t>
        </is>
      </c>
      <c r="E12" s="114" t="inlineStr">
        <is>
          <t>Senior Digitization Associate</t>
        </is>
      </c>
      <c r="F12" s="114" t="inlineStr">
        <is>
          <t>L3 – Professional / Associate</t>
        </is>
      </c>
      <c r="G12" s="114" t="inlineStr">
        <is>
          <t>A3</t>
        </is>
      </c>
      <c r="H12" s="117" t="inlineStr">
        <is>
          <t>▲ Up</t>
        </is>
      </c>
      <c r="I12" s="111" t="inlineStr">
        <is>
          <t>Data Operations &amp; Digitization</t>
        </is>
      </c>
      <c r="J12" s="111" t="inlineStr">
        <is>
          <t>Document Conversion, Formatting &amp; Web Publishing</t>
        </is>
      </c>
      <c r="K12" s="111" t="inlineStr"/>
      <c r="L12" s="111" t="n">
        <v>20</v>
      </c>
      <c r="M12" s="146" t="inlineStr">
        <is>
          <t>P2</t>
        </is>
      </c>
      <c r="N12" s="115" t="inlineStr">
        <is>
          <t>Developing</t>
        </is>
      </c>
      <c r="O12" s="115" t="inlineStr">
        <is>
          <t>3 Apply</t>
        </is>
      </c>
      <c r="P12" s="115" t="inlineStr">
        <is>
          <t>2–4 yrs</t>
        </is>
      </c>
      <c r="Q12" s="115" t="inlineStr">
        <is>
          <t>3–5 · 2–5</t>
        </is>
      </c>
      <c r="R12" s="115" t="inlineStr">
        <is>
          <t>Senior Associate</t>
        </is>
      </c>
      <c r="S12" s="115" t="inlineStr">
        <is>
          <r>
            <rPr>
              <rFont val="Calibri"/>
              <b val="1"/>
              <sz val="10"/>
            </rPr>
            <t>DataTracks:</t>
          </r>
          <r>
            <rPr>
              <rFont val="Calibri"/>
              <sz val="10"/>
            </rPr>
            <t xml:space="preserve"> Senior Associate · 2–5 yrs · Accenture Operations: L10 Senior Analyst · IRIS Vs Competitor Benchmark — operations roles: Senior Processor / QC</t>
          </r>
        </is>
      </c>
      <c r="T12" s="115" t="inlineStr">
        <is>
          <t>COPC CX Standard · leadership &amp; planning, people, processes, performance; ISO 9001; Lean / Six Sigma</t>
        </is>
      </c>
      <c r="U12" s="115" t="inlineStr">
        <is>
          <t>Core 2 · Future 2 · Functional 3 · Leadership not scored</t>
        </is>
      </c>
      <c r="V12" s="152" t="n">
        <v>69</v>
      </c>
      <c r="W12" s="153" t="inlineStr">
        <is>
          <t>IRIS1213</t>
        </is>
      </c>
      <c r="X12" s="153" t="inlineStr">
        <is>
          <t>Employee</t>
        </is>
      </c>
      <c r="Y12" s="153" t="inlineStr">
        <is>
          <t>Active</t>
        </is>
      </c>
      <c r="Z12" s="153" t="inlineStr">
        <is>
          <t>Manoj Tiwari</t>
        </is>
      </c>
      <c r="AA12" s="235" t="n">
        <v>40567</v>
      </c>
      <c r="AB12" s="153" t="inlineStr">
        <is>
          <t>Image Processing Specialist</t>
        </is>
      </c>
      <c r="AC12" s="153" t="inlineStr">
        <is>
          <t>B.Com</t>
        </is>
      </c>
      <c r="AD12" s="153" t="inlineStr">
        <is>
          <t>Shraddha Patil</t>
        </is>
      </c>
      <c r="AE12" s="153" t="inlineStr">
        <is>
          <t>N-7</t>
        </is>
      </c>
      <c r="AF12" s="153" t="inlineStr">
        <is>
          <t>Individual Contributor</t>
        </is>
      </c>
      <c r="AG12" s="153" t="inlineStr">
        <is>
          <t>1 years, 0 months, 0 days</t>
        </is>
      </c>
      <c r="AH12" s="153" t="inlineStr">
        <is>
          <t>15 years, 7 months, 1 days</t>
        </is>
      </c>
      <c r="AI12" s="153" t="inlineStr">
        <is>
          <t>Consume</t>
        </is>
      </c>
      <c r="AJ12" s="153" t="inlineStr">
        <is>
          <t>Consume</t>
        </is>
      </c>
      <c r="AK12" s="153" t="inlineStr">
        <is>
          <t>Digitizing</t>
        </is>
      </c>
      <c r="AL12" s="153" t="inlineStr">
        <is>
          <t>Digitizing Assisted services</t>
        </is>
      </c>
      <c r="AM12" s="153" t="inlineStr">
        <is>
          <t>No</t>
        </is>
      </c>
      <c r="AN12" s="153" t="inlineStr">
        <is>
          <t>Professional Services</t>
        </is>
      </c>
      <c r="AO12" s="153" t="inlineStr">
        <is>
          <t>OCR/Image procesing</t>
        </is>
      </c>
      <c r="AP12" s="153" t="inlineStr">
        <is>
          <t>Non-technical</t>
        </is>
      </c>
      <c r="AQ12" s="153" t="n">
        <v>20</v>
      </c>
      <c r="AR12" s="153" t="inlineStr">
        <is>
          <t>Covered</t>
        </is>
      </c>
      <c r="AS12" s="153" t="inlineStr">
        <is>
          <t>IRIS1213</t>
        </is>
      </c>
      <c r="AT12" s="153" t="inlineStr">
        <is>
          <t>Manoj Tiwari</t>
        </is>
      </c>
      <c r="AU12" s="153" t="inlineStr">
        <is>
          <t>Digitizing</t>
        </is>
      </c>
      <c r="AV12" s="153" t="inlineStr">
        <is>
          <t>Professional Services</t>
        </is>
      </c>
      <c r="AW12" s="153" t="inlineStr">
        <is>
          <t>Regulatory Portal Operations</t>
        </is>
      </c>
      <c r="AX12" s="153" t="inlineStr">
        <is>
          <t>Employee</t>
        </is>
      </c>
      <c r="AY12" s="153" t="inlineStr">
        <is>
          <t>Shraddha Patil</t>
        </is>
      </c>
      <c r="AZ12" s="153" t="inlineStr">
        <is>
          <t>Shraddha Patil</t>
        </is>
      </c>
      <c r="BA12" s="153" t="inlineStr">
        <is>
          <t>No</t>
        </is>
      </c>
      <c r="BB12" s="153" t="inlineStr">
        <is>
          <t>Image Processing Specialist</t>
        </is>
      </c>
      <c r="BC12" s="153" t="inlineStr">
        <is>
          <t>Sr Regulatory Portal Operations Specialist</t>
        </is>
      </c>
      <c r="BD12" s="153" t="inlineStr">
        <is>
          <t>Yes</t>
        </is>
      </c>
      <c r="BE12" s="153" t="inlineStr">
        <is>
          <t>—</t>
        </is>
      </c>
      <c r="BF12" s="153" t="inlineStr">
        <is>
          <t>—</t>
        </is>
      </c>
      <c r="BG12" s="153" t="inlineStr">
        <is>
          <t>—</t>
        </is>
      </c>
      <c r="BH12" s="153" t="inlineStr">
        <is>
          <t>Not a manager</t>
        </is>
      </c>
      <c r="BI12" s="153" t="inlineStr">
        <is>
          <t>—</t>
        </is>
      </c>
      <c r="BJ12" s="153" t="inlineStr">
        <is>
          <t>—</t>
        </is>
      </c>
      <c r="BK12" s="153" t="inlineStr">
        <is>
          <t>—</t>
        </is>
      </c>
      <c r="BL12" s="153" t="inlineStr">
        <is>
          <t>Not a manager</t>
        </is>
      </c>
      <c r="BM12" s="153" t="inlineStr">
        <is>
          <t>—</t>
        </is>
      </c>
      <c r="BN12" s="153" t="inlineStr">
        <is>
          <t>L3 – Professional / Associate</t>
        </is>
      </c>
      <c r="BO12" s="153" t="inlineStr">
        <is>
          <t>L3</t>
        </is>
      </c>
      <c r="BP12" s="153" t="inlineStr">
        <is>
          <t>Matched from Title Hierarchy · new designation</t>
        </is>
      </c>
      <c r="BQ12"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R12" s="153" t="inlineStr">
        <is>
          <t>RBI Belapur Data Center; RBI Data Publishing.</t>
        </is>
      </c>
      <c r="BS12" s="153" t="inlineStr">
        <is>
          <t>IRIS1213</t>
        </is>
      </c>
      <c r="BT12" s="153" t="inlineStr">
        <is>
          <t>Employee</t>
        </is>
      </c>
      <c r="BU12" s="153" t="inlineStr">
        <is>
          <t>Active</t>
        </is>
      </c>
      <c r="BV12" s="153" t="inlineStr">
        <is>
          <t>Manoj Tiwari</t>
        </is>
      </c>
      <c r="BW12" s="154" t="n">
        <v>40567</v>
      </c>
      <c r="BX12" s="153" t="inlineStr">
        <is>
          <t>Image Processing Specialist</t>
        </is>
      </c>
      <c r="BY12" s="153" t="inlineStr">
        <is>
          <t>Professional Services</t>
        </is>
      </c>
      <c r="BZ12" s="153" t="inlineStr">
        <is>
          <t>Digitization &amp; Image Processing</t>
        </is>
      </c>
      <c r="CA12" s="153" t="inlineStr">
        <is>
          <t>Image Processing Specialist</t>
        </is>
      </c>
      <c r="CB12" s="153" t="inlineStr">
        <is>
          <t>L3 – Professional / Associate</t>
        </is>
      </c>
      <c r="CC12" s="153" t="inlineStr">
        <is>
          <t>Shraddha Patil</t>
        </is>
      </c>
      <c r="CD12" s="153" t="inlineStr">
        <is>
          <t>N-7</t>
        </is>
      </c>
      <c r="CE12" s="153" t="inlineStr">
        <is>
          <t>Individual Contributor</t>
        </is>
      </c>
      <c r="CF12" s="153" t="inlineStr">
        <is>
          <t>Consume</t>
        </is>
      </c>
      <c r="CG12" s="153" t="inlineStr">
        <is>
          <t>Digitizing</t>
        </is>
      </c>
      <c r="CH12" s="153" t="inlineStr">
        <is>
          <t>16 years, 4 months, 27 days</t>
        </is>
      </c>
      <c r="CI12" s="153" t="inlineStr">
        <is>
          <t>Sr.Image Processing Specialist</t>
        </is>
      </c>
      <c r="CJ12" s="153" t="n">
        <v>4</v>
      </c>
      <c r="CK12" s="153" t="inlineStr">
        <is>
          <t>Medium</t>
        </is>
      </c>
      <c r="CL12" s="153" t="inlineStr">
        <is>
          <t>Core Contributor</t>
        </is>
      </c>
      <c r="CM12" s="153" t="inlineStr">
        <is>
          <t>No</t>
        </is>
      </c>
      <c r="CN12" s="153" t="inlineStr">
        <is>
          <t>No</t>
        </is>
      </c>
      <c r="CO12" s="153" t="inlineStr">
        <is>
          <t>Yes</t>
        </is>
      </c>
      <c r="CP12" s="153" t="inlineStr">
        <is>
          <t>Title to be standardized to : Sr.Image Processing Specialist</t>
        </is>
      </c>
      <c r="CQ12" s="153" t="n"/>
      <c r="CR12" s="153" t="n"/>
      <c r="CS12" s="153" t="n"/>
      <c r="CT12" s="153" t="n"/>
      <c r="CU12" s="153" t="n"/>
      <c r="CV12" s="153" t="n"/>
      <c r="CW12" s="153" t="n"/>
      <c r="CX12" s="153" t="n"/>
      <c r="CY12" s="153" t="n"/>
      <c r="CZ12" s="153" t="n"/>
      <c r="DA12" s="153" t="n"/>
      <c r="DB12" s="153" t="n"/>
      <c r="DC12" s="153" t="n"/>
      <c r="DD12" s="153" t="n"/>
      <c r="DE12" s="153" t="n"/>
      <c r="DF12" s="153" t="n"/>
      <c r="DG12" s="153" t="n"/>
      <c r="DH12" s="153" t="n"/>
      <c r="DI12" s="153" t="n"/>
      <c r="DJ12" s="153" t="n"/>
      <c r="DK12" s="153" t="n"/>
      <c r="DL12" s="153" t="n"/>
      <c r="DM12" s="153" t="n"/>
      <c r="DN12" s="153" t="n"/>
      <c r="DO12" s="153" t="n"/>
      <c r="DP12" s="153" t="n"/>
      <c r="DQ12" s="153" t="n"/>
      <c r="DR12" s="153" t="n"/>
      <c r="DS12" s="153" t="n"/>
      <c r="DT12" s="153" t="n"/>
      <c r="DU12" s="153" t="n"/>
      <c r="DV12" s="153" t="n"/>
      <c r="DW12" s="153" t="n"/>
      <c r="DX12" s="153" t="n"/>
      <c r="DY12" s="153" t="n"/>
      <c r="DZ12" s="153" t="n"/>
      <c r="EA12" s="153" t="n"/>
      <c r="EB12" s="153" t="n"/>
      <c r="EC12" s="153" t="n"/>
      <c r="ED12" s="153" t="n"/>
      <c r="EE12" s="153" t="n"/>
      <c r="EF12" s="153" t="n"/>
      <c r="EG12" s="153" t="n"/>
    </row>
    <row r="13" ht="64" customHeight="1">
      <c r="A13" s="109" t="inlineStr">
        <is>
          <t>IRISC283</t>
        </is>
      </c>
      <c r="B13" s="111" t="inlineStr">
        <is>
          <t>Saurav Kamtekar</t>
        </is>
      </c>
      <c r="C13" s="111" t="inlineStr">
        <is>
          <t>Digitizing</t>
        </is>
      </c>
      <c r="D13" s="114" t="inlineStr">
        <is>
          <t>Consultant</t>
        </is>
      </c>
      <c r="E13" s="114" t="inlineStr">
        <is>
          <t>Senior Digitization Associate</t>
        </is>
      </c>
      <c r="F13" s="114" t="inlineStr">
        <is>
          <t>L3 – Professional / Associate</t>
        </is>
      </c>
      <c r="G13" s="114" t="inlineStr">
        <is>
          <t>A3</t>
        </is>
      </c>
      <c r="H13" s="117" t="inlineStr">
        <is>
          <t>▲ Up</t>
        </is>
      </c>
      <c r="I13" s="111" t="inlineStr">
        <is>
          <t>Data Operations &amp; Digitization</t>
        </is>
      </c>
      <c r="J13" s="111" t="inlineStr">
        <is>
          <t>Document Conversion, Formatting &amp; Web Publishing</t>
        </is>
      </c>
      <c r="K13" s="111" t="inlineStr"/>
      <c r="L13" s="111" t="n">
        <v>20</v>
      </c>
      <c r="M13" s="146" t="inlineStr">
        <is>
          <t>P2</t>
        </is>
      </c>
      <c r="N13" s="115" t="inlineStr">
        <is>
          <t>Developing</t>
        </is>
      </c>
      <c r="O13" s="115" t="inlineStr">
        <is>
          <t>3 Apply</t>
        </is>
      </c>
      <c r="P13" s="115" t="inlineStr">
        <is>
          <t>2–4 yrs</t>
        </is>
      </c>
      <c r="Q13" s="115" t="inlineStr">
        <is>
          <t>3–5 · 2–5</t>
        </is>
      </c>
      <c r="R13" s="115" t="inlineStr">
        <is>
          <t>Senior Associate</t>
        </is>
      </c>
      <c r="S13" s="115" t="inlineStr">
        <is>
          <r>
            <rPr>
              <rFont val="Calibri"/>
              <b val="1"/>
              <sz val="10"/>
            </rPr>
            <t>DataTracks:</t>
          </r>
          <r>
            <rPr>
              <rFont val="Calibri"/>
              <sz val="10"/>
            </rPr>
            <t xml:space="preserve"> Senior Associate · 2–5 yrs · Accenture Operations: L10 Senior Analyst · IRIS Vs Competitor Benchmark — operations roles: Senior Processor / QC</t>
          </r>
        </is>
      </c>
      <c r="T13" s="115" t="inlineStr">
        <is>
          <t>COPC CX Standard · leadership &amp; planning, people, processes, performance; ISO 9001; Lean / Six Sigma</t>
        </is>
      </c>
      <c r="U13" s="115" t="inlineStr">
        <is>
          <t>Core 2 · Future 2 · Functional 3 · Leadership not scored</t>
        </is>
      </c>
      <c r="V13" s="152" t="n">
        <v>306</v>
      </c>
      <c r="W13" s="153" t="inlineStr">
        <is>
          <t>IRISC283</t>
        </is>
      </c>
      <c r="X13" s="153" t="inlineStr">
        <is>
          <t>On Contract</t>
        </is>
      </c>
      <c r="Y13" s="153" t="inlineStr">
        <is>
          <t>Active</t>
        </is>
      </c>
      <c r="Z13" s="153" t="inlineStr">
        <is>
          <t>Saurav Kamtekar</t>
        </is>
      </c>
      <c r="AA13" s="235" t="n">
        <v>45337</v>
      </c>
      <c r="AB13" s="153" t="inlineStr">
        <is>
          <t>Consultant</t>
        </is>
      </c>
      <c r="AC13" s="153" t="inlineStr">
        <is>
          <t>Undergraduate</t>
        </is>
      </c>
      <c r="AD13" s="153" t="inlineStr">
        <is>
          <t>Shraddha Patil</t>
        </is>
      </c>
      <c r="AE13" s="153" t="inlineStr">
        <is>
          <t>N-7</t>
        </is>
      </c>
      <c r="AF13" s="153" t="inlineStr">
        <is>
          <t>Individual Contributor</t>
        </is>
      </c>
      <c r="AG13" s="153" t="inlineStr">
        <is>
          <t>0 years, 0 months, 0 days</t>
        </is>
      </c>
      <c r="AH13" s="153" t="inlineStr">
        <is>
          <t>2 years, 6 months, 10 days</t>
        </is>
      </c>
      <c r="AI13" s="153" t="inlineStr">
        <is>
          <t>Consume</t>
        </is>
      </c>
      <c r="AJ13" s="153" t="inlineStr">
        <is>
          <t>Consume</t>
        </is>
      </c>
      <c r="AK13" s="153" t="inlineStr">
        <is>
          <t>Digitizing</t>
        </is>
      </c>
      <c r="AL13" s="153" t="inlineStr">
        <is>
          <t>Digitizing Assisted services</t>
        </is>
      </c>
      <c r="AM13" s="153" t="inlineStr">
        <is>
          <t>No</t>
        </is>
      </c>
      <c r="AN13" s="153" t="inlineStr">
        <is>
          <t>Professional Services</t>
        </is>
      </c>
      <c r="AO13" s="153" t="inlineStr">
        <is>
          <t>OCR/Image procesing</t>
        </is>
      </c>
      <c r="AP13" s="153" t="inlineStr">
        <is>
          <t>Non-technical</t>
        </is>
      </c>
      <c r="AQ13" s="153" t="n">
        <v>20</v>
      </c>
      <c r="AR13" s="153" t="inlineStr">
        <is>
          <t>Covered</t>
        </is>
      </c>
      <c r="AS13" s="153" t="inlineStr">
        <is>
          <t>IRISC283</t>
        </is>
      </c>
      <c r="AT13" s="153" t="inlineStr">
        <is>
          <t>Saurav Kamtekar</t>
        </is>
      </c>
      <c r="AU13" s="153" t="inlineStr">
        <is>
          <t>Digitizing</t>
        </is>
      </c>
      <c r="AV13" s="153" t="inlineStr">
        <is>
          <t>Professional Services</t>
        </is>
      </c>
      <c r="AW13" s="153" t="inlineStr">
        <is>
          <t>Regulatory Portal Operations</t>
        </is>
      </c>
      <c r="AX13" s="153" t="inlineStr">
        <is>
          <t>On Contract</t>
        </is>
      </c>
      <c r="AY13" s="153" t="inlineStr">
        <is>
          <t>Shraddha Patil</t>
        </is>
      </c>
      <c r="AZ13" s="153" t="inlineStr">
        <is>
          <t>Shraddha Patil</t>
        </is>
      </c>
      <c r="BA13" s="153" t="inlineStr">
        <is>
          <t>No</t>
        </is>
      </c>
      <c r="BB13" s="153" t="inlineStr">
        <is>
          <t>Consultant</t>
        </is>
      </c>
      <c r="BC13" s="153" t="inlineStr">
        <is>
          <t>Regulatory Portal Operations Consultant</t>
        </is>
      </c>
      <c r="BD13" s="153" t="inlineStr">
        <is>
          <t>No</t>
        </is>
      </c>
      <c r="BE13" s="153" t="inlineStr">
        <is>
          <t>—</t>
        </is>
      </c>
      <c r="BF13" s="153" t="inlineStr">
        <is>
          <t>—</t>
        </is>
      </c>
      <c r="BG13" s="153" t="inlineStr">
        <is>
          <t>—</t>
        </is>
      </c>
      <c r="BH13" s="153" t="inlineStr">
        <is>
          <t>Not a manager</t>
        </is>
      </c>
      <c r="BI13" s="153" t="inlineStr">
        <is>
          <t>—</t>
        </is>
      </c>
      <c r="BJ13" s="153" t="inlineStr">
        <is>
          <t>—</t>
        </is>
      </c>
      <c r="BK13" s="153" t="inlineStr">
        <is>
          <t>—</t>
        </is>
      </c>
      <c r="BL13" s="153" t="inlineStr">
        <is>
          <t>Not a manager</t>
        </is>
      </c>
      <c r="BM13" s="153" t="inlineStr">
        <is>
          <t>—</t>
        </is>
      </c>
      <c r="BN13" s="153" t="inlineStr">
        <is>
          <t>L3 – Professional / Associate</t>
        </is>
      </c>
      <c r="BO13" s="153" t="inlineStr">
        <is>
          <t>L3 – Professional / Associate</t>
        </is>
      </c>
      <c r="BP13" s="153" t="inlineStr">
        <is>
          <t>No designation change — current record value carried forward</t>
        </is>
      </c>
      <c r="BQ13"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R13" s="153" t="inlineStr">
        <is>
          <t>No input received — attended/was listed as a respondent but did not provide answers to any of the survey questions.</t>
        </is>
      </c>
      <c r="BS13" s="153" t="inlineStr">
        <is>
          <t>IRISC283</t>
        </is>
      </c>
      <c r="BT13" s="153" t="inlineStr">
        <is>
          <t>On Contract</t>
        </is>
      </c>
      <c r="BU13" s="153" t="inlineStr">
        <is>
          <t>Active</t>
        </is>
      </c>
      <c r="BV13" s="153" t="inlineStr">
        <is>
          <t>Saurav Kamtekar</t>
        </is>
      </c>
      <c r="BW13" s="154" t="n">
        <v>45337</v>
      </c>
      <c r="BX13" s="153" t="inlineStr">
        <is>
          <t>Consultant</t>
        </is>
      </c>
      <c r="BY13" s="153" t="inlineStr">
        <is>
          <t>Professional Services</t>
        </is>
      </c>
      <c r="BZ13" s="153" t="inlineStr">
        <is>
          <t>Digitization &amp; Image Processing</t>
        </is>
      </c>
      <c r="CA13" s="153" t="inlineStr">
        <is>
          <t>Consultant</t>
        </is>
      </c>
      <c r="CB13" s="153" t="inlineStr">
        <is>
          <t>L3 – Professional / Associate</t>
        </is>
      </c>
      <c r="CC13" s="153" t="inlineStr">
        <is>
          <t>Shraddha Patil</t>
        </is>
      </c>
      <c r="CD13" s="153" t="inlineStr">
        <is>
          <t>N-7</t>
        </is>
      </c>
      <c r="CE13" s="153" t="inlineStr">
        <is>
          <t>Individual Contributor</t>
        </is>
      </c>
      <c r="CF13" s="153" t="inlineStr">
        <is>
          <t>Consume</t>
        </is>
      </c>
      <c r="CG13" s="153" t="inlineStr">
        <is>
          <t>Digitizing</t>
        </is>
      </c>
      <c r="CH13" s="153" t="inlineStr">
        <is>
          <t>2 years, 4 months, 5 days</t>
        </is>
      </c>
      <c r="CI13" s="153" t="inlineStr">
        <is>
          <t>Consultant</t>
        </is>
      </c>
      <c r="CJ13" s="153" t="n">
        <v>3</v>
      </c>
      <c r="CK13" s="153" t="inlineStr">
        <is>
          <t>Medium</t>
        </is>
      </c>
      <c r="CL13" s="153" t="inlineStr">
        <is>
          <t>Core Contributor</t>
        </is>
      </c>
      <c r="CM13" s="153" t="inlineStr">
        <is>
          <t>No</t>
        </is>
      </c>
      <c r="CN13" s="153" t="inlineStr">
        <is>
          <t>No</t>
        </is>
      </c>
      <c r="CO13" s="153" t="inlineStr">
        <is>
          <t>Yes</t>
        </is>
      </c>
      <c r="CP13" s="153" t="n"/>
      <c r="CQ13" s="153" t="n"/>
      <c r="CR13" s="153" t="n"/>
      <c r="CS13" s="153" t="n"/>
      <c r="CT13" s="153" t="n"/>
      <c r="CU13" s="153" t="n"/>
      <c r="CV13" s="153" t="n"/>
      <c r="CW13" s="153" t="n"/>
      <c r="CX13" s="153" t="n"/>
      <c r="CY13" s="153" t="n"/>
      <c r="CZ13" s="153" t="n"/>
      <c r="DA13" s="153" t="n"/>
      <c r="DB13" s="153" t="n"/>
      <c r="DC13" s="153" t="n"/>
      <c r="DD13" s="153" t="n"/>
      <c r="DE13" s="153" t="n"/>
      <c r="DF13" s="153" t="n"/>
      <c r="DG13" s="153" t="n"/>
      <c r="DH13" s="153" t="n"/>
      <c r="DI13" s="153" t="n"/>
      <c r="DJ13" s="153" t="n"/>
      <c r="DK13" s="153" t="n"/>
      <c r="DL13" s="153" t="n"/>
      <c r="DM13" s="153" t="n"/>
      <c r="DN13" s="153" t="n"/>
      <c r="DO13" s="153" t="n"/>
      <c r="DP13" s="153" t="n"/>
      <c r="DQ13" s="153" t="n"/>
      <c r="DR13" s="153" t="n"/>
      <c r="DS13" s="153" t="n"/>
      <c r="DT13" s="153" t="n"/>
      <c r="DU13" s="153" t="n"/>
      <c r="DV13" s="153" t="n"/>
      <c r="DW13" s="153" t="n"/>
      <c r="DX13" s="153" t="n"/>
      <c r="DY13" s="153" t="n"/>
      <c r="DZ13" s="153" t="n"/>
      <c r="EA13" s="153" t="n"/>
      <c r="EB13" s="153" t="n"/>
      <c r="EC13" s="153" t="n"/>
      <c r="ED13" s="153" t="n"/>
      <c r="EE13" s="153" t="n"/>
      <c r="EF13" s="153" t="n"/>
      <c r="EG13" s="153" t="n"/>
    </row>
    <row r="14" ht="64" customHeight="1">
      <c r="A14" s="109" t="inlineStr">
        <is>
          <t>IRISC338</t>
        </is>
      </c>
      <c r="B14" s="111" t="inlineStr">
        <is>
          <t>Snehal Bhavesh Farad</t>
        </is>
      </c>
      <c r="C14" s="111" t="inlineStr">
        <is>
          <t>Digitizing</t>
        </is>
      </c>
      <c r="D14" s="114" t="inlineStr">
        <is>
          <t>Consultant</t>
        </is>
      </c>
      <c r="E14" s="114" t="inlineStr">
        <is>
          <t>Senior Digitization Associate</t>
        </is>
      </c>
      <c r="F14" s="114" t="inlineStr">
        <is>
          <t>L3 – Professional / Associate</t>
        </is>
      </c>
      <c r="G14" s="114" t="inlineStr">
        <is>
          <t>A3</t>
        </is>
      </c>
      <c r="H14" s="117" t="inlineStr">
        <is>
          <t>▲ Up</t>
        </is>
      </c>
      <c r="I14" s="111" t="inlineStr">
        <is>
          <t>Data Operations &amp; Digitization</t>
        </is>
      </c>
      <c r="J14" s="111" t="inlineStr">
        <is>
          <t>Document Conversion, Formatting &amp; Web Publishing</t>
        </is>
      </c>
      <c r="K14" s="145" t="inlineStr">
        <is>
          <t>• Correct the experience record — HR</t>
        </is>
      </c>
      <c r="L14" s="111" t="n">
        <v>17</v>
      </c>
      <c r="M14" s="146" t="inlineStr">
        <is>
          <t>P2</t>
        </is>
      </c>
      <c r="N14" s="115" t="inlineStr">
        <is>
          <t>Developing</t>
        </is>
      </c>
      <c r="O14" s="115" t="inlineStr">
        <is>
          <t>3 Apply</t>
        </is>
      </c>
      <c r="P14" s="115" t="inlineStr">
        <is>
          <t>2–4 yrs</t>
        </is>
      </c>
      <c r="Q14" s="115" t="inlineStr">
        <is>
          <t>3–5 · 2–5</t>
        </is>
      </c>
      <c r="R14" s="115" t="inlineStr">
        <is>
          <t>Senior Associate</t>
        </is>
      </c>
      <c r="S14" s="115" t="inlineStr">
        <is>
          <r>
            <rPr>
              <rFont val="Calibri"/>
              <b val="1"/>
              <sz val="10"/>
            </rPr>
            <t>DataTracks:</t>
          </r>
          <r>
            <rPr>
              <rFont val="Calibri"/>
              <sz val="10"/>
            </rPr>
            <t xml:space="preserve"> Senior Associate · 2–5 yrs · Accenture Operations: L10 Senior Analyst · IRIS Vs Competitor Benchmark — operations roles: Senior Processor / QC</t>
          </r>
        </is>
      </c>
      <c r="T14" s="115" t="inlineStr">
        <is>
          <t>COPC CX Standard · leadership &amp; planning, people, processes, performance; ISO 9001; Lean / Six Sigma</t>
        </is>
      </c>
      <c r="U14" s="115" t="inlineStr">
        <is>
          <t>Core 2 · Future 2 · Functional 3 · Leadership not scored</t>
        </is>
      </c>
      <c r="V14" s="152" t="n">
        <v>441</v>
      </c>
      <c r="W14" s="153" t="inlineStr">
        <is>
          <t>IRISC338</t>
        </is>
      </c>
      <c r="X14" s="153" t="inlineStr">
        <is>
          <t>On Contract</t>
        </is>
      </c>
      <c r="Y14" s="153" t="inlineStr">
        <is>
          <t>Active</t>
        </is>
      </c>
      <c r="Z14" s="153" t="inlineStr">
        <is>
          <t>Snehal Bhavesh Farad</t>
        </is>
      </c>
      <c r="AA14" s="235" t="n">
        <v>46044</v>
      </c>
      <c r="AB14" s="153" t="inlineStr">
        <is>
          <t>Consultant</t>
        </is>
      </c>
      <c r="AC14" s="153" t="inlineStr">
        <is>
          <t>BA</t>
        </is>
      </c>
      <c r="AD14" s="153" t="inlineStr">
        <is>
          <t>Shraddha Patil</t>
        </is>
      </c>
      <c r="AE14" s="153" t="inlineStr">
        <is>
          <t>N-7</t>
        </is>
      </c>
      <c r="AF14" s="153" t="inlineStr">
        <is>
          <t>Individual Contributor</t>
        </is>
      </c>
      <c r="AG14" s="153" t="inlineStr">
        <is>
          <t>4 years, 5 months, 0 days</t>
        </is>
      </c>
      <c r="AH14" s="153" t="inlineStr">
        <is>
          <t>0 years, 7 months, 3 days</t>
        </is>
      </c>
      <c r="AI14" s="153" t="inlineStr">
        <is>
          <t>Consume</t>
        </is>
      </c>
      <c r="AJ14" s="153" t="inlineStr">
        <is>
          <t>Consume</t>
        </is>
      </c>
      <c r="AK14" s="153" t="inlineStr">
        <is>
          <t>Digitizing</t>
        </is>
      </c>
      <c r="AL14" s="153" t="inlineStr">
        <is>
          <t>Digitizing Assisted services</t>
        </is>
      </c>
      <c r="AM14" s="153" t="inlineStr">
        <is>
          <t>No</t>
        </is>
      </c>
      <c r="AN14" s="153" t="inlineStr">
        <is>
          <t>Professional Services</t>
        </is>
      </c>
      <c r="AO14" s="153" t="inlineStr">
        <is>
          <t>OCR/Image procesing</t>
        </is>
      </c>
      <c r="AP14" s="153" t="inlineStr">
        <is>
          <t>Non-technical</t>
        </is>
      </c>
      <c r="AQ14" s="153" t="n">
        <v>20</v>
      </c>
      <c r="AR14" s="153" t="inlineStr">
        <is>
          <t>Covered</t>
        </is>
      </c>
      <c r="AS14" s="153" t="inlineStr">
        <is>
          <t>IRISC338</t>
        </is>
      </c>
      <c r="AT14" s="153" t="inlineStr">
        <is>
          <t>Snehal Bhavesh Farad</t>
        </is>
      </c>
      <c r="AU14" s="153" t="inlineStr">
        <is>
          <t>Digitizing</t>
        </is>
      </c>
      <c r="AV14" s="153" t="inlineStr">
        <is>
          <t>Professional Services</t>
        </is>
      </c>
      <c r="AW14" s="153" t="inlineStr">
        <is>
          <t>Regulatory Portal Operations</t>
        </is>
      </c>
      <c r="AX14" s="153" t="inlineStr">
        <is>
          <t>On Contract</t>
        </is>
      </c>
      <c r="AY14" s="153" t="inlineStr">
        <is>
          <t>Shraddha Patil</t>
        </is>
      </c>
      <c r="AZ14" s="153" t="inlineStr">
        <is>
          <t>Manoj Tiwari</t>
        </is>
      </c>
      <c r="BA14" s="153" t="inlineStr">
        <is>
          <t>No</t>
        </is>
      </c>
      <c r="BB14" s="153" t="inlineStr">
        <is>
          <t>Consultant</t>
        </is>
      </c>
      <c r="BC14" s="153" t="inlineStr">
        <is>
          <t>Regulatory Portal Operations Consultant</t>
        </is>
      </c>
      <c r="BD14" s="153" t="inlineStr">
        <is>
          <t>No</t>
        </is>
      </c>
      <c r="BE14" s="153" t="inlineStr">
        <is>
          <t>—</t>
        </is>
      </c>
      <c r="BF14" s="153" t="inlineStr">
        <is>
          <t>—</t>
        </is>
      </c>
      <c r="BG14" s="153" t="inlineStr">
        <is>
          <t>—</t>
        </is>
      </c>
      <c r="BH14" s="153" t="inlineStr">
        <is>
          <t>Not a manager</t>
        </is>
      </c>
      <c r="BI14" s="153" t="inlineStr">
        <is>
          <t>—</t>
        </is>
      </c>
      <c r="BJ14" s="153" t="inlineStr">
        <is>
          <t>—</t>
        </is>
      </c>
      <c r="BK14" s="153" t="inlineStr">
        <is>
          <t>—</t>
        </is>
      </c>
      <c r="BL14" s="153" t="inlineStr">
        <is>
          <t>Not a manager</t>
        </is>
      </c>
      <c r="BM14" s="153" t="inlineStr">
        <is>
          <t>—</t>
        </is>
      </c>
      <c r="BN14" s="153" t="inlineStr">
        <is>
          <t>L3 – Professional / Associate</t>
        </is>
      </c>
      <c r="BO14" s="153" t="inlineStr">
        <is>
          <t>L3 – Professional / Associate</t>
        </is>
      </c>
      <c r="BP14" s="153" t="inlineStr">
        <is>
          <t>No designation change — current record value carried forward</t>
        </is>
      </c>
      <c r="BQ14"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R14" s="153" t="inlineStr">
        <is>
          <t>No input received.</t>
        </is>
      </c>
      <c r="BS14" s="153" t="inlineStr">
        <is>
          <t>IRISC338</t>
        </is>
      </c>
      <c r="BT14" s="153" t="inlineStr">
        <is>
          <t>On Contract</t>
        </is>
      </c>
      <c r="BU14" s="153" t="inlineStr">
        <is>
          <t>Active</t>
        </is>
      </c>
      <c r="BV14" s="153" t="inlineStr">
        <is>
          <t>Snehal Bhavesh Farad</t>
        </is>
      </c>
      <c r="BW14" s="154" t="n">
        <v>46044</v>
      </c>
      <c r="BX14" s="153" t="inlineStr">
        <is>
          <t>Consultant</t>
        </is>
      </c>
      <c r="BY14" s="153" t="inlineStr">
        <is>
          <t>Professional Services</t>
        </is>
      </c>
      <c r="BZ14" s="153" t="inlineStr">
        <is>
          <t>Digitization &amp; Image Processing</t>
        </is>
      </c>
      <c r="CA14" s="153" t="inlineStr">
        <is>
          <t>Consultant</t>
        </is>
      </c>
      <c r="CB14" s="153" t="inlineStr">
        <is>
          <t>L3 – Professional / Associate</t>
        </is>
      </c>
      <c r="CC14" s="153" t="inlineStr">
        <is>
          <t>Shraddha Patil</t>
        </is>
      </c>
      <c r="CD14" s="153" t="inlineStr">
        <is>
          <t>N-7</t>
        </is>
      </c>
      <c r="CE14" s="153" t="inlineStr">
        <is>
          <t>Individual Contributor</t>
        </is>
      </c>
      <c r="CF14" s="153" t="inlineStr">
        <is>
          <t>Consume</t>
        </is>
      </c>
      <c r="CG14" s="153" t="inlineStr">
        <is>
          <t>Digitizing</t>
        </is>
      </c>
      <c r="CH14" s="153" t="inlineStr">
        <is>
          <t>4 years, 9 months, 29 days</t>
        </is>
      </c>
      <c r="CI14" s="153" t="inlineStr">
        <is>
          <t>Consultant</t>
        </is>
      </c>
      <c r="CJ14" s="153" t="n">
        <v>3</v>
      </c>
      <c r="CK14" s="153" t="inlineStr">
        <is>
          <t>Medium</t>
        </is>
      </c>
      <c r="CL14" s="153" t="inlineStr">
        <is>
          <t>Core Contributor</t>
        </is>
      </c>
      <c r="CM14" s="153" t="inlineStr">
        <is>
          <t>No</t>
        </is>
      </c>
      <c r="CN14" s="153" t="inlineStr">
        <is>
          <t>No</t>
        </is>
      </c>
      <c r="CO14" s="153" t="inlineStr">
        <is>
          <t>Yes</t>
        </is>
      </c>
      <c r="CP14" s="153" t="n"/>
      <c r="CQ14" s="153" t="n"/>
      <c r="CR14" s="153" t="n"/>
      <c r="CS14" s="153" t="n"/>
      <c r="CT14" s="153" t="n"/>
      <c r="CU14" s="153" t="n"/>
      <c r="CV14" s="153" t="n"/>
      <c r="CW14" s="153" t="n"/>
      <c r="CX14" s="153" t="n"/>
      <c r="CY14" s="153" t="n"/>
      <c r="CZ14" s="153" t="n"/>
      <c r="DA14" s="153" t="n"/>
      <c r="DB14" s="153" t="n"/>
      <c r="DC14" s="153" t="n"/>
      <c r="DD14" s="153" t="n"/>
      <c r="DE14" s="153" t="n"/>
      <c r="DF14" s="153" t="n"/>
      <c r="DG14" s="153" t="n"/>
      <c r="DH14" s="153" t="n"/>
      <c r="DI14" s="153" t="n"/>
      <c r="DJ14" s="153" t="n"/>
      <c r="DK14" s="153" t="n"/>
      <c r="DL14" s="153" t="n"/>
      <c r="DM14" s="153" t="n"/>
      <c r="DN14" s="153" t="n"/>
      <c r="DO14" s="153" t="n"/>
      <c r="DP14" s="153" t="n"/>
      <c r="DQ14" s="153" t="n"/>
      <c r="DR14" s="153" t="n"/>
      <c r="DS14" s="153" t="n"/>
      <c r="DT14" s="153" t="n"/>
      <c r="DU14" s="153" t="n"/>
      <c r="DV14" s="153" t="n"/>
      <c r="DW14" s="153" t="n"/>
      <c r="DX14" s="153" t="n"/>
      <c r="DY14" s="153" t="n"/>
      <c r="DZ14" s="153" t="n"/>
      <c r="EA14" s="153" t="n"/>
      <c r="EB14" s="153" t="n"/>
      <c r="EC14" s="153" t="n"/>
      <c r="ED14" s="153" t="n"/>
      <c r="EE14" s="153" t="n"/>
      <c r="EF14" s="153" t="n"/>
      <c r="EG14" s="153" t="n"/>
    </row>
    <row r="15" ht="64" customHeight="1">
      <c r="A15" s="109" t="inlineStr">
        <is>
          <t>IRISC337</t>
        </is>
      </c>
      <c r="B15" s="111" t="inlineStr">
        <is>
          <t>Siddhesh Harishchandra Mali</t>
        </is>
      </c>
      <c r="C15" s="111" t="inlineStr">
        <is>
          <t>Digitizing</t>
        </is>
      </c>
      <c r="D15" s="114" t="inlineStr">
        <is>
          <t>Consultant</t>
        </is>
      </c>
      <c r="E15" s="114" t="inlineStr">
        <is>
          <t>Digitization Associate</t>
        </is>
      </c>
      <c r="F15" s="111" t="inlineStr">
        <is>
          <t>L3 – Professional / Associate</t>
        </is>
      </c>
      <c r="G15" s="24" t="inlineStr">
        <is>
          <t>A2</t>
        </is>
      </c>
      <c r="H15" s="142" t="inlineStr">
        <is>
          <t>• Same level</t>
        </is>
      </c>
      <c r="I15" s="111" t="inlineStr">
        <is>
          <t>Data Operations &amp; Digitization</t>
        </is>
      </c>
      <c r="J15" s="111" t="inlineStr">
        <is>
          <t>Document Conversion, Formatting &amp; Web Publishing</t>
        </is>
      </c>
      <c r="K15" s="111" t="inlineStr"/>
      <c r="L15" s="111" t="n">
        <v>20</v>
      </c>
      <c r="M15" s="146" t="inlineStr">
        <is>
          <t>P1–P2</t>
        </is>
      </c>
      <c r="N15" s="115" t="inlineStr">
        <is>
          <t>Entry / Developing</t>
        </is>
      </c>
      <c r="O15" s="115" t="inlineStr">
        <is>
          <t>2 Assist</t>
        </is>
      </c>
      <c r="P15" s="115" t="inlineStr">
        <is>
          <t>0–2 yrs</t>
        </is>
      </c>
      <c r="Q15" s="115" t="inlineStr">
        <is>
          <t>1–3 · 0–3</t>
        </is>
      </c>
      <c r="R15" s="115" t="inlineStr">
        <is>
          <t>Associate / Processor / Senior Associate</t>
        </is>
      </c>
      <c r="S15" s="115" t="inlineStr">
        <is>
          <r>
            <rPr>
              <rFont val="Calibri"/>
              <b val="1"/>
              <sz val="10"/>
            </rPr>
            <t>DataTracks:</t>
          </r>
          <r>
            <rPr>
              <rFont val="Calibri"/>
              <sz val="10"/>
            </rPr>
            <t xml:space="preserve"> Associate · Accenture Operations: L11 Analyst · IRIS Vs Competitor Benchmark — operations roles: Processor / Agent</t>
          </r>
        </is>
      </c>
      <c r="T15" s="115" t="inlineStr">
        <is>
          <t>COPC CX Standard · leadership &amp; planning, people, processes, performance; ISO 9001; Lean / Six Sigma</t>
        </is>
      </c>
      <c r="U15" s="115" t="inlineStr">
        <is>
          <t>Core 2 · Future 2 · Functional 2 · Leadership not scored</t>
        </is>
      </c>
      <c r="V15" s="152" t="n">
        <v>440</v>
      </c>
      <c r="W15" s="153" t="inlineStr">
        <is>
          <t>IRISC337</t>
        </is>
      </c>
      <c r="X15" s="153" t="inlineStr">
        <is>
          <t>On Contract</t>
        </is>
      </c>
      <c r="Y15" s="153" t="inlineStr">
        <is>
          <t>Active</t>
        </is>
      </c>
      <c r="Z15" s="153" t="inlineStr">
        <is>
          <t>Siddhesh Harishchandra Mali</t>
        </is>
      </c>
      <c r="AA15" s="235" t="n">
        <v>46044</v>
      </c>
      <c r="AB15" s="153" t="inlineStr">
        <is>
          <t>Consultant</t>
        </is>
      </c>
      <c r="AC15" s="153" t="inlineStr">
        <is>
          <t>B.Sc</t>
        </is>
      </c>
      <c r="AD15" s="153" t="inlineStr">
        <is>
          <t>Shraddha Patil</t>
        </is>
      </c>
      <c r="AE15" s="153" t="inlineStr">
        <is>
          <t>N-7</t>
        </is>
      </c>
      <c r="AF15" s="153" t="inlineStr">
        <is>
          <t>Individual Contributor</t>
        </is>
      </c>
      <c r="AG15" s="153" t="inlineStr">
        <is>
          <t>0 years, 1 months, 0 days</t>
        </is>
      </c>
      <c r="AH15" s="153" t="inlineStr">
        <is>
          <t>0 years, 7 months, 3 days</t>
        </is>
      </c>
      <c r="AI15" s="153" t="inlineStr">
        <is>
          <t>Consume</t>
        </is>
      </c>
      <c r="AJ15" s="153" t="inlineStr">
        <is>
          <t>Consume</t>
        </is>
      </c>
      <c r="AK15" s="153" t="inlineStr">
        <is>
          <t>Digitizing</t>
        </is>
      </c>
      <c r="AL15" s="153" t="inlineStr">
        <is>
          <t>Digitizing Assisted services</t>
        </is>
      </c>
      <c r="AM15" s="153" t="inlineStr">
        <is>
          <t>No</t>
        </is>
      </c>
      <c r="AN15" s="153" t="inlineStr">
        <is>
          <t>Professional Services</t>
        </is>
      </c>
      <c r="AO15" s="153" t="inlineStr">
        <is>
          <t>OCR/Image procesing</t>
        </is>
      </c>
      <c r="AP15" s="153" t="inlineStr">
        <is>
          <t>Non-technical</t>
        </is>
      </c>
      <c r="AQ15" s="153" t="n">
        <v>20</v>
      </c>
      <c r="AR15" s="153" t="inlineStr">
        <is>
          <t>Covered</t>
        </is>
      </c>
      <c r="AS15" s="153" t="inlineStr">
        <is>
          <t>IRISC337</t>
        </is>
      </c>
      <c r="AT15" s="153" t="inlineStr">
        <is>
          <t>Siddhesh Harishchandra Mali</t>
        </is>
      </c>
      <c r="AU15" s="153" t="inlineStr">
        <is>
          <t>Digitizing</t>
        </is>
      </c>
      <c r="AV15" s="153" t="inlineStr">
        <is>
          <t>Professional Services</t>
        </is>
      </c>
      <c r="AW15" s="153" t="inlineStr">
        <is>
          <t>Regulatory Portal Operations</t>
        </is>
      </c>
      <c r="AX15" s="153" t="inlineStr">
        <is>
          <t>On Contract</t>
        </is>
      </c>
      <c r="AY15" s="153" t="inlineStr">
        <is>
          <t>Shraddha Patil</t>
        </is>
      </c>
      <c r="AZ15" s="153" t="inlineStr">
        <is>
          <t>Manoj Tiwari</t>
        </is>
      </c>
      <c r="BA15" s="153" t="inlineStr">
        <is>
          <t>No</t>
        </is>
      </c>
      <c r="BB15" s="153" t="inlineStr">
        <is>
          <t>Consultant</t>
        </is>
      </c>
      <c r="BC15" s="153" t="inlineStr">
        <is>
          <t>Regulatory Portal Operations Consultant</t>
        </is>
      </c>
      <c r="BD15" s="153" t="inlineStr">
        <is>
          <t>No</t>
        </is>
      </c>
      <c r="BE15" s="153" t="inlineStr">
        <is>
          <t>—</t>
        </is>
      </c>
      <c r="BF15" s="153" t="inlineStr">
        <is>
          <t>—</t>
        </is>
      </c>
      <c r="BG15" s="153" t="inlineStr">
        <is>
          <t>—</t>
        </is>
      </c>
      <c r="BH15" s="153" t="inlineStr">
        <is>
          <t>Not a manager</t>
        </is>
      </c>
      <c r="BI15" s="153" t="inlineStr">
        <is>
          <t>—</t>
        </is>
      </c>
      <c r="BJ15" s="153" t="inlineStr">
        <is>
          <t>—</t>
        </is>
      </c>
      <c r="BK15" s="153" t="inlineStr">
        <is>
          <t>—</t>
        </is>
      </c>
      <c r="BL15" s="153" t="inlineStr">
        <is>
          <t>Not a manager</t>
        </is>
      </c>
      <c r="BM15" s="153" t="inlineStr">
        <is>
          <t>—</t>
        </is>
      </c>
      <c r="BN15" s="153" t="inlineStr">
        <is>
          <t>L3 – Professional / Associate</t>
        </is>
      </c>
      <c r="BO15" s="153" t="inlineStr">
        <is>
          <t>L3 – Professional / Associate</t>
        </is>
      </c>
      <c r="BP15" s="153" t="inlineStr">
        <is>
          <t>No designation change — current record value carried forward</t>
        </is>
      </c>
      <c r="BQ15" s="1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R15" s="153" t="inlineStr">
        <is>
          <t>No input received.</t>
        </is>
      </c>
      <c r="BS15" s="153" t="inlineStr">
        <is>
          <t>IRISC337</t>
        </is>
      </c>
      <c r="BT15" s="153" t="inlineStr">
        <is>
          <t>On Contract</t>
        </is>
      </c>
      <c r="BU15" s="153" t="inlineStr">
        <is>
          <t>Active</t>
        </is>
      </c>
      <c r="BV15" s="153" t="inlineStr">
        <is>
          <t>Siddhesh Harishchandra Mali</t>
        </is>
      </c>
      <c r="BW15" s="154" t="n">
        <v>46044</v>
      </c>
      <c r="BX15" s="153" t="inlineStr">
        <is>
          <t>Consultant</t>
        </is>
      </c>
      <c r="BY15" s="153" t="inlineStr">
        <is>
          <t>Professional Services</t>
        </is>
      </c>
      <c r="BZ15" s="153" t="inlineStr">
        <is>
          <t>Digitization &amp; Image Processing</t>
        </is>
      </c>
      <c r="CA15" s="153" t="inlineStr">
        <is>
          <t>Consultant</t>
        </is>
      </c>
      <c r="CB15" s="153" t="inlineStr">
        <is>
          <t>L3 – Professional / Associate</t>
        </is>
      </c>
      <c r="CC15" s="153" t="inlineStr">
        <is>
          <t>Shraddha Patil</t>
        </is>
      </c>
      <c r="CD15" s="153" t="inlineStr">
        <is>
          <t>N-7</t>
        </is>
      </c>
      <c r="CE15" s="153" t="inlineStr">
        <is>
          <t>Individual Contributor</t>
        </is>
      </c>
      <c r="CF15" s="153" t="inlineStr">
        <is>
          <t>Consume</t>
        </is>
      </c>
      <c r="CG15" s="153" t="inlineStr">
        <is>
          <t>Digitizing</t>
        </is>
      </c>
      <c r="CH15" s="153" t="inlineStr">
        <is>
          <t>0 years, 5 months, 29 days</t>
        </is>
      </c>
      <c r="CI15" s="153" t="inlineStr">
        <is>
          <t>Consultant</t>
        </is>
      </c>
      <c r="CJ15" s="153" t="n">
        <v>3</v>
      </c>
      <c r="CK15" s="153" t="inlineStr">
        <is>
          <t>Medium</t>
        </is>
      </c>
      <c r="CL15" s="153" t="inlineStr">
        <is>
          <t>Core Contributor</t>
        </is>
      </c>
      <c r="CM15" s="153" t="inlineStr">
        <is>
          <t>No</t>
        </is>
      </c>
      <c r="CN15" s="153" t="inlineStr">
        <is>
          <t>No</t>
        </is>
      </c>
      <c r="CO15" s="153" t="inlineStr">
        <is>
          <t>Yes</t>
        </is>
      </c>
      <c r="CP15" s="153" t="n"/>
      <c r="CQ15" s="153" t="n"/>
      <c r="CR15" s="153" t="n"/>
      <c r="CS15" s="153" t="n"/>
      <c r="CT15" s="153" t="n"/>
      <c r="CU15" s="153" t="n"/>
      <c r="CV15" s="153" t="n"/>
      <c r="CW15" s="153" t="n"/>
      <c r="CX15" s="153" t="n"/>
      <c r="CY15" s="153" t="n"/>
      <c r="CZ15" s="153" t="n"/>
      <c r="DA15" s="153" t="n"/>
      <c r="DB15" s="153" t="n"/>
      <c r="DC15" s="153" t="n"/>
      <c r="DD15" s="153" t="n"/>
      <c r="DE15" s="153" t="n"/>
      <c r="DF15" s="153" t="n"/>
      <c r="DG15" s="153" t="n"/>
      <c r="DH15" s="153" t="n"/>
      <c r="DI15" s="153" t="n"/>
      <c r="DJ15" s="153" t="n"/>
      <c r="DK15" s="153" t="n"/>
      <c r="DL15" s="153" t="n"/>
      <c r="DM15" s="153" t="n"/>
      <c r="DN15" s="153" t="n"/>
      <c r="DO15" s="153" t="n"/>
      <c r="DP15" s="153" t="n"/>
      <c r="DQ15" s="153" t="n"/>
      <c r="DR15" s="153" t="n"/>
      <c r="DS15" s="153" t="n"/>
      <c r="DT15" s="153" t="n"/>
      <c r="DU15" s="153" t="n"/>
      <c r="DV15" s="153" t="n"/>
      <c r="DW15" s="153" t="n"/>
      <c r="DX15" s="153" t="n"/>
      <c r="DY15" s="153" t="n"/>
      <c r="DZ15" s="153" t="n"/>
      <c r="EA15" s="153" t="n"/>
      <c r="EB15" s="153" t="n"/>
      <c r="EC15" s="153" t="n"/>
      <c r="ED15" s="153" t="n"/>
      <c r="EE15" s="153" t="n"/>
      <c r="EF15" s="153" t="n"/>
      <c r="EG15" s="153" t="n"/>
    </row>
    <row r="16" ht="64" customHeight="1">
      <c r="A16" s="109" t="inlineStr">
        <is>
          <t>IRIS0007</t>
        </is>
      </c>
      <c r="B16" s="111" t="inlineStr">
        <is>
          <t>Gopal Krishna Sahu</t>
        </is>
      </c>
      <c r="C16" s="111" t="inlineStr">
        <is>
          <t>India Content</t>
        </is>
      </c>
      <c r="D16" s="114" t="inlineStr">
        <is>
          <t>Data Analyst Manager</t>
        </is>
      </c>
      <c r="E16" s="114" t="inlineStr">
        <is>
          <t>Data Operations Manager</t>
        </is>
      </c>
      <c r="F16" s="111" t="inlineStr">
        <is>
          <t>L5 – Manager</t>
        </is>
      </c>
      <c r="G16" s="27" t="inlineStr">
        <is>
          <t>B2</t>
        </is>
      </c>
      <c r="H16" s="142" t="inlineStr">
        <is>
          <t>• Same level</t>
        </is>
      </c>
      <c r="I16" s="111" t="inlineStr">
        <is>
          <t>Data &amp; Analytics</t>
        </is>
      </c>
      <c r="J16" s="111" t="inlineStr">
        <is>
          <t>Financial Data Processing</t>
        </is>
      </c>
      <c r="K16" s="145" t="inlineStr">
        <is>
          <t>• Confirm structure behind the senior title · org chart — Business head
• Correct the experience record — HR</t>
        </is>
      </c>
      <c r="L16" s="111" t="n">
        <v>20</v>
      </c>
      <c r="M16" s="146" t="inlineStr">
        <is>
          <t>P4 / M3</t>
        </is>
      </c>
      <c r="N16" s="115" t="inlineStr">
        <is>
          <t>Senior / Manager</t>
        </is>
      </c>
      <c r="O16" s="115" t="inlineStr">
        <is>
          <t>4–5</t>
        </is>
      </c>
      <c r="P16" s="115" t="inlineStr">
        <is>
          <t>6–9 yrs</t>
        </is>
      </c>
      <c r="Q16" s="115" t="inlineStr">
        <is>
          <t>7–10 · 6–11</t>
        </is>
      </c>
      <c r="R16" s="115" t="inlineStr">
        <is>
          <t>Manager</t>
        </is>
      </c>
      <c r="S16" s="115" t="inlineStr">
        <is>
          <r>
            <rPr>
              <rFont val="Calibri"/>
              <b val="1"/>
              <sz val="10"/>
            </rPr>
            <t>Atlassian company-wide P-levels:</t>
          </r>
          <r>
            <rPr>
              <rFont val="Calibri"/>
              <sz val="10"/>
            </rPr>
            <t xml:space="preserve"> P50 Senior Analyst · IRIS Vs Competitor Benchmark — data analyst ladder: Lead Data Analyst</t>
          </r>
        </is>
      </c>
      <c r="T16" s="115" t="inlineStr">
        <is>
          <t>DAMA-DMBOK · 11 knowledge areas around data governance</t>
        </is>
      </c>
      <c r="U16" s="115" t="inlineStr">
        <is>
          <t>Core 3 · Future 3 · Functional 4 · Leadership 3</t>
        </is>
      </c>
      <c r="V16" s="152" t="n">
        <v>4</v>
      </c>
      <c r="W16" s="153" t="inlineStr">
        <is>
          <t>IRIS0007</t>
        </is>
      </c>
      <c r="X16" s="153" t="inlineStr">
        <is>
          <t>Employee</t>
        </is>
      </c>
      <c r="Y16" s="153" t="inlineStr">
        <is>
          <t>Active</t>
        </is>
      </c>
      <c r="Z16" s="153" t="inlineStr">
        <is>
          <t>Gopal Krishna Sahu</t>
        </is>
      </c>
      <c r="AA16" s="235" t="n">
        <v>38200</v>
      </c>
      <c r="AB16" s="153" t="inlineStr">
        <is>
          <t>Data Analyst Manager</t>
        </is>
      </c>
      <c r="AC16" s="153" t="inlineStr">
        <is>
          <t>MBA</t>
        </is>
      </c>
      <c r="AD16" s="153" t="inlineStr">
        <is>
          <t>Arup Ganguly</t>
        </is>
      </c>
      <c r="AE16" s="153" t="inlineStr">
        <is>
          <t>N-3</t>
        </is>
      </c>
      <c r="AF16" s="153" t="inlineStr">
        <is>
          <t>Manager</t>
        </is>
      </c>
      <c r="AG16" s="153" t="inlineStr">
        <is>
          <t>13 years, 1 months, 0 days</t>
        </is>
      </c>
      <c r="AH16" s="153" t="inlineStr">
        <is>
          <t>22 years, 0 months, 24 days</t>
        </is>
      </c>
      <c r="AI16" s="153" t="inlineStr">
        <is>
          <t>Consume</t>
        </is>
      </c>
      <c r="AJ16" s="153" t="inlineStr">
        <is>
          <t>Consume</t>
        </is>
      </c>
      <c r="AK16" s="153" t="inlineStr">
        <is>
          <t>India Content</t>
        </is>
      </c>
      <c r="AL16" s="153" t="inlineStr">
        <is>
          <t>Client Engagement</t>
        </is>
      </c>
      <c r="AM16" s="153" t="inlineStr">
        <is>
          <t>No</t>
        </is>
      </c>
      <c r="AN16" s="153" t="inlineStr">
        <is>
          <t>Client Engagement</t>
        </is>
      </c>
      <c r="AO16" s="153" t="inlineStr">
        <is>
          <t>Data Processing</t>
        </is>
      </c>
      <c r="AP16" s="153" t="inlineStr">
        <is>
          <t>Non-technical</t>
        </is>
      </c>
      <c r="AQ16" s="153" t="n">
        <v>20</v>
      </c>
      <c r="AR16" s="153" t="inlineStr">
        <is>
          <t>Covered</t>
        </is>
      </c>
      <c r="AS16" s="153" t="n"/>
      <c r="AT16" s="153" t="n"/>
      <c r="AU16" s="153" t="n"/>
      <c r="AV16" s="153" t="n"/>
      <c r="AW16" s="153" t="n"/>
      <c r="AX16" s="153" t="n"/>
      <c r="AY16" s="153" t="n"/>
      <c r="AZ16" s="153" t="n"/>
      <c r="BA16" s="153" t="n"/>
      <c r="BB16" s="153" t="n"/>
      <c r="BC16" s="153" t="n"/>
      <c r="BD16" s="153" t="n"/>
      <c r="BE16" s="153" t="n"/>
      <c r="BF16" s="153" t="n"/>
      <c r="BG16" s="153" t="n"/>
      <c r="BH16" s="153" t="n"/>
      <c r="BI16" s="153" t="n"/>
      <c r="BJ16" s="153" t="n"/>
      <c r="BK16" s="153" t="n"/>
      <c r="BL16" s="153" t="n"/>
      <c r="BM16" s="153" t="n"/>
      <c r="BN16" s="153" t="n"/>
      <c r="BO16" s="153" t="n"/>
      <c r="BP16" s="153" t="n"/>
      <c r="BQ16" s="153" t="n"/>
      <c r="BR16" s="153" t="n"/>
      <c r="BS16" s="153" t="n"/>
      <c r="BT16" s="153" t="n"/>
      <c r="BU16" s="153" t="n"/>
      <c r="BV16" s="153" t="n"/>
      <c r="BW16" s="153" t="n"/>
      <c r="BX16" s="153" t="n"/>
      <c r="BY16" s="153" t="n"/>
      <c r="BZ16" s="153" t="n"/>
      <c r="CA16" s="153" t="n"/>
      <c r="CB16" s="153" t="n"/>
      <c r="CC16" s="153" t="n"/>
      <c r="CD16" s="153" t="n"/>
      <c r="CE16" s="153" t="n"/>
      <c r="CF16" s="153" t="n"/>
      <c r="CG16" s="153" t="n"/>
      <c r="CH16" s="153" t="n"/>
      <c r="CI16" s="153" t="n"/>
      <c r="CJ16" s="153" t="n"/>
      <c r="CK16" s="153" t="n"/>
      <c r="CL16" s="153" t="n"/>
      <c r="CM16" s="153" t="n"/>
      <c r="CN16" s="153" t="n"/>
      <c r="CO16" s="153" t="n"/>
      <c r="CP16" s="153" t="n"/>
      <c r="CQ16" s="153" t="inlineStr">
        <is>
          <t>IRIS0007</t>
        </is>
      </c>
      <c r="CR16" s="153" t="inlineStr">
        <is>
          <t>Employee</t>
        </is>
      </c>
      <c r="CS16" s="153" t="inlineStr">
        <is>
          <t>Active</t>
        </is>
      </c>
      <c r="CT16" s="153" t="inlineStr">
        <is>
          <t>Gopal Krishna Sahu</t>
        </is>
      </c>
      <c r="CU16" s="154" t="n">
        <v>38200</v>
      </c>
      <c r="CV16" s="153" t="inlineStr">
        <is>
          <t>Data Analyst Manager</t>
        </is>
      </c>
      <c r="CW16" s="153" t="inlineStr">
        <is>
          <t>Data &amp; Analytics</t>
        </is>
      </c>
      <c r="CX16" s="153" t="inlineStr">
        <is>
          <t>Data &amp; Analytics</t>
        </is>
      </c>
      <c r="CY16" s="153" t="inlineStr">
        <is>
          <t>Data Analyst Manager</t>
        </is>
      </c>
      <c r="CZ16" s="153" t="inlineStr">
        <is>
          <t>L5 – Manager</t>
        </is>
      </c>
      <c r="DA16" s="153" t="inlineStr">
        <is>
          <t>MBA</t>
        </is>
      </c>
      <c r="DB16" s="153" t="inlineStr">
        <is>
          <t>Arup Ganguly</t>
        </is>
      </c>
      <c r="DC16" s="153" t="inlineStr">
        <is>
          <t>N-2</t>
        </is>
      </c>
      <c r="DD16" s="153" t="inlineStr">
        <is>
          <t>Manager</t>
        </is>
      </c>
      <c r="DE16" s="153" t="inlineStr">
        <is>
          <t>13 years, 1 months, 0 days</t>
        </is>
      </c>
      <c r="DF16" s="153" t="inlineStr">
        <is>
          <t>21 years, 10 months, 19 days</t>
        </is>
      </c>
      <c r="DG16" s="153" t="inlineStr">
        <is>
          <t>34 years, 11 months, 19 days</t>
        </is>
      </c>
      <c r="DH16" s="153" t="n">
        <v>21.8853881278539</v>
      </c>
      <c r="DI16" s="153" t="inlineStr">
        <is>
          <t>Consume</t>
        </is>
      </c>
      <c r="DJ16" s="153" t="inlineStr">
        <is>
          <t>Consume</t>
        </is>
      </c>
      <c r="DK16" s="153" t="inlineStr">
        <is>
          <t>India Content</t>
        </is>
      </c>
      <c r="DL16" s="153" t="inlineStr">
        <is>
          <t>Client Engagement</t>
        </is>
      </c>
      <c r="DM16" s="153" t="inlineStr">
        <is>
          <t>No</t>
        </is>
      </c>
      <c r="DN16" s="153" t="inlineStr">
        <is>
          <t>Client Engagement</t>
        </is>
      </c>
      <c r="DO16" s="153" t="inlineStr">
        <is>
          <t>Data Processing</t>
        </is>
      </c>
      <c r="DP16" s="153" t="inlineStr">
        <is>
          <t>Non-technical</t>
        </is>
      </c>
      <c r="DQ16" s="153" t="inlineStr">
        <is>
          <t>Remote - Mumbai</t>
        </is>
      </c>
      <c r="DR16" s="153"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DS16" s="153"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DT16" s="153" t="inlineStr">
        <is>
          <r>
            <rPr>
              <rFont val="Calibri"/>
              <b val="1"/>
              <sz val="10"/>
            </rPr>
            <t>Q1:</t>
          </r>
          <r>
            <rPr>
              <rFont val="Calibri"/>
              <sz val="10"/>
            </rPr>
            <t xml:space="preserve"> Ensure team delivers 100% of client filings within regulatory deadlines
</t>
          </r>
          <r>
            <rPr>
              <rFont val="Calibri"/>
              <b val="1"/>
              <sz val="10"/>
            </rPr>
            <t>Q1:</t>
          </r>
          <r>
            <rPr>
              <rFont val="Calibri"/>
              <sz val="10"/>
            </rPr>
            <t xml:space="preserve"> Keep team accuracy &gt;=99% with critical errors trending to zero
</t>
          </r>
          <r>
            <rPr>
              <rFont val="Calibri"/>
              <b val="1"/>
              <sz val="10"/>
            </rPr>
            <t>Q1:</t>
          </r>
          <r>
            <rPr>
              <rFont val="Calibri"/>
              <sz val="10"/>
            </rPr>
            <t xml:space="preserve"> Maintain team capacity / utilisation in target band with balanced workload
</t>
          </r>
          <r>
            <rPr>
              <rFont val="Calibri"/>
              <b val="1"/>
              <sz val="10"/>
            </rPr>
            <t>Q1:</t>
          </r>
          <r>
            <rPr>
              <rFont val="Calibri"/>
              <sz val="10"/>
            </rPr>
            <t xml:space="preserve"> Drive &lt;=3% client-reported rework across the team</t>
          </r>
        </is>
      </c>
      <c r="DU16" s="153" t="n">
        <v>4</v>
      </c>
      <c r="DV16" s="153" t="n"/>
      <c r="DW16" s="153" t="inlineStr">
        <is>
          <t>Head of Delivery Content</t>
        </is>
      </c>
      <c r="DX16" s="153" t="inlineStr">
        <is>
          <t>No</t>
        </is>
      </c>
      <c r="DY16" s="153" t="n">
        <v>4</v>
      </c>
      <c r="DZ16" s="153" t="inlineStr">
        <is>
          <t>Medium</t>
        </is>
      </c>
      <c r="EA16" s="153" t="inlineStr">
        <is>
          <t>Emerging Talent</t>
        </is>
      </c>
      <c r="EB16" s="153" t="inlineStr">
        <is>
          <t>No</t>
        </is>
      </c>
      <c r="EC16" s="153" t="inlineStr">
        <is>
          <t>No</t>
        </is>
      </c>
      <c r="ED16" s="153" t="inlineStr">
        <is>
          <t>No</t>
        </is>
      </c>
      <c r="EE16" s="153" t="inlineStr">
        <is>
          <t>No</t>
        </is>
      </c>
      <c r="EF16" s="153" t="n"/>
      <c r="EG16" s="153" t="n"/>
    </row>
    <row r="17" ht="64" customHeight="1">
      <c r="A17" s="109" t="inlineStr">
        <is>
          <t>IRIS0015</t>
        </is>
      </c>
      <c r="B17" s="111" t="inlineStr">
        <is>
          <t>Virendra Borkar</t>
        </is>
      </c>
      <c r="C17" s="111" t="inlineStr">
        <is>
          <t>India Content</t>
        </is>
      </c>
      <c r="D17" s="114" t="inlineStr">
        <is>
          <t>Data Analyst Lead</t>
        </is>
      </c>
      <c r="E17" s="114" t="inlineStr">
        <is>
          <t>Data Specialist</t>
        </is>
      </c>
      <c r="F17" s="114" t="inlineStr">
        <is>
          <t>L5 – Lead · IC</t>
        </is>
      </c>
      <c r="G17" s="114" t="inlineStr">
        <is>
          <t>B1</t>
        </is>
      </c>
      <c r="H17" s="140" t="inlineStr">
        <is>
          <t>▼ Down · protected</t>
        </is>
      </c>
      <c r="I17" s="111" t="inlineStr">
        <is>
          <t>Data &amp; Analytics</t>
        </is>
      </c>
      <c r="J17" s="111" t="inlineStr">
        <is>
          <t>Financial Data Processing</t>
        </is>
      </c>
      <c r="K17" s="111" t="inlineStr"/>
      <c r="L17" s="111" t="n">
        <v>20</v>
      </c>
      <c r="M17" s="146" t="inlineStr">
        <is>
          <t>P3 / M2</t>
        </is>
      </c>
      <c r="N17" s="115" t="inlineStr">
        <is>
          <t>Career / · Team Lead</t>
        </is>
      </c>
      <c r="O17" s="115" t="inlineStr">
        <is>
          <t>4 Enable</t>
        </is>
      </c>
      <c r="P17" s="115" t="inlineStr">
        <is>
          <t>4–7 yrs</t>
        </is>
      </c>
      <c r="Q17" s="115" t="inlineStr">
        <is>
          <t>5–8 · 4–8</t>
        </is>
      </c>
      <c r="R17" s="115" t="inlineStr">
        <is>
          <t>Senior Data Analyst</t>
        </is>
      </c>
      <c r="S17" s="115" t="inlineStr">
        <is>
          <r>
            <rPr>
              <rFont val="Calibri"/>
              <b val="1"/>
              <sz val="10"/>
            </rPr>
            <t>Atlassian company-wide P-levels:</t>
          </r>
          <r>
            <rPr>
              <rFont val="Calibri"/>
              <sz val="10"/>
            </rPr>
            <t xml:space="preserve"> P40 · IRIS Vs Competitor Benchmark — data analyst ladder: Senior Data Analyst</t>
          </r>
        </is>
      </c>
      <c r="T17" s="115" t="inlineStr">
        <is>
          <t>DAMA-DMBOK · 11 knowledge areas around data governance</t>
        </is>
      </c>
      <c r="U17" s="115" t="inlineStr">
        <is>
          <t>Core 3 · Future 3 · Functional 3 · Leadership 1</t>
        </is>
      </c>
      <c r="V17" s="152" t="n">
        <v>8</v>
      </c>
      <c r="W17" s="153" t="inlineStr">
        <is>
          <t>IRIS0015</t>
        </is>
      </c>
      <c r="X17" s="153" t="inlineStr">
        <is>
          <t>Employee</t>
        </is>
      </c>
      <c r="Y17" s="153" t="inlineStr">
        <is>
          <t>Active</t>
        </is>
      </c>
      <c r="Z17" s="153" t="inlineStr">
        <is>
          <t>Virendra Borkar</t>
        </is>
      </c>
      <c r="AA17" s="235" t="n">
        <v>38285</v>
      </c>
      <c r="AB17" s="153" t="inlineStr">
        <is>
          <t>Data Analyst Lead</t>
        </is>
      </c>
      <c r="AC17" s="153" t="inlineStr">
        <is>
          <t>B.Com</t>
        </is>
      </c>
      <c r="AD17" s="153" t="inlineStr">
        <is>
          <t>Gopal Krishna Sahu</t>
        </is>
      </c>
      <c r="AE17" s="153" t="inlineStr">
        <is>
          <t>N-4</t>
        </is>
      </c>
      <c r="AF17" s="153" t="inlineStr">
        <is>
          <t>Individual Contributor</t>
        </is>
      </c>
      <c r="AG17" s="153" t="inlineStr">
        <is>
          <t>0 years, 5 months, 0 days</t>
        </is>
      </c>
      <c r="AH17" s="153" t="inlineStr">
        <is>
          <t>21 years, 10 months, 0 days</t>
        </is>
      </c>
      <c r="AI17" s="153" t="inlineStr">
        <is>
          <t>Consume</t>
        </is>
      </c>
      <c r="AJ17" s="153" t="inlineStr">
        <is>
          <t>Consume</t>
        </is>
      </c>
      <c r="AK17" s="153" t="inlineStr">
        <is>
          <t>India Content</t>
        </is>
      </c>
      <c r="AL17" s="153" t="inlineStr">
        <is>
          <t>Expert Assisted services</t>
        </is>
      </c>
      <c r="AM17" s="153" t="inlineStr">
        <is>
          <t>No</t>
        </is>
      </c>
      <c r="AN17" s="153" t="inlineStr">
        <is>
          <t>Professional Services</t>
        </is>
      </c>
      <c r="AO17" s="153" t="inlineStr">
        <is>
          <t>Data Processing</t>
        </is>
      </c>
      <c r="AP17" s="153" t="inlineStr">
        <is>
          <t>Non-technical</t>
        </is>
      </c>
      <c r="AQ17" s="153" t="n">
        <v>20</v>
      </c>
      <c r="AR17" s="153" t="inlineStr">
        <is>
          <t>Covered</t>
        </is>
      </c>
      <c r="AS17" s="153" t="n"/>
      <c r="AT17" s="153" t="n"/>
      <c r="AU17" s="153" t="n"/>
      <c r="AV17" s="153" t="n"/>
      <c r="AW17" s="153" t="n"/>
      <c r="AX17" s="153" t="n"/>
      <c r="AY17" s="153" t="n"/>
      <c r="AZ17" s="153" t="n"/>
      <c r="BA17" s="153" t="n"/>
      <c r="BB17" s="153" t="n"/>
      <c r="BC17" s="153" t="n"/>
      <c r="BD17" s="153" t="n"/>
      <c r="BE17" s="153" t="n"/>
      <c r="BF17" s="153" t="n"/>
      <c r="BG17" s="153" t="n"/>
      <c r="BH17" s="153" t="n"/>
      <c r="BI17" s="153" t="n"/>
      <c r="BJ17" s="153" t="n"/>
      <c r="BK17" s="153" t="n"/>
      <c r="BL17" s="153" t="n"/>
      <c r="BM17" s="153" t="n"/>
      <c r="BN17" s="153" t="n"/>
      <c r="BO17" s="153" t="n"/>
      <c r="BP17" s="153" t="n"/>
      <c r="BQ17" s="153" t="n"/>
      <c r="BR17" s="153" t="n"/>
      <c r="BS17" s="153" t="n"/>
      <c r="BT17" s="153" t="n"/>
      <c r="BU17" s="153" t="n"/>
      <c r="BV17" s="153" t="n"/>
      <c r="BW17" s="153" t="n"/>
      <c r="BX17" s="153" t="n"/>
      <c r="BY17" s="153" t="n"/>
      <c r="BZ17" s="153" t="n"/>
      <c r="CA17" s="153" t="n"/>
      <c r="CB17" s="153" t="n"/>
      <c r="CC17" s="153" t="n"/>
      <c r="CD17" s="153" t="n"/>
      <c r="CE17" s="153" t="n"/>
      <c r="CF17" s="153" t="n"/>
      <c r="CG17" s="153" t="n"/>
      <c r="CH17" s="153" t="n"/>
      <c r="CI17" s="153" t="n"/>
      <c r="CJ17" s="153" t="n"/>
      <c r="CK17" s="153" t="n"/>
      <c r="CL17" s="153" t="n"/>
      <c r="CM17" s="153" t="n"/>
      <c r="CN17" s="153" t="n"/>
      <c r="CO17" s="153" t="n"/>
      <c r="CP17" s="153" t="n"/>
      <c r="CQ17" s="153" t="inlineStr">
        <is>
          <t>IRIS0015</t>
        </is>
      </c>
      <c r="CR17" s="153" t="inlineStr">
        <is>
          <t>Employee</t>
        </is>
      </c>
      <c r="CS17" s="153" t="inlineStr">
        <is>
          <t>Active</t>
        </is>
      </c>
      <c r="CT17" s="153" t="inlineStr">
        <is>
          <t>Virendra Borkar</t>
        </is>
      </c>
      <c r="CU17" s="154" t="n">
        <v>38285</v>
      </c>
      <c r="CV17" s="153" t="inlineStr">
        <is>
          <t>Data Analyst Lead</t>
        </is>
      </c>
      <c r="CW17" s="153" t="inlineStr">
        <is>
          <t>Consulting &amp; Professional Services</t>
        </is>
      </c>
      <c r="CX17" s="153" t="inlineStr">
        <is>
          <t>Regulatory Content</t>
        </is>
      </c>
      <c r="CY17" s="153" t="inlineStr">
        <is>
          <t>Data Analyst Lead</t>
        </is>
      </c>
      <c r="CZ17" s="153" t="inlineStr">
        <is>
          <t>L5 – Lead · IC</t>
        </is>
      </c>
      <c r="DA17" s="153" t="inlineStr">
        <is>
          <t>B.Com</t>
        </is>
      </c>
      <c r="DB17" s="153" t="inlineStr">
        <is>
          <t>Gopal Krishna Sahu</t>
        </is>
      </c>
      <c r="DC17" s="153" t="inlineStr">
        <is>
          <t>N-3</t>
        </is>
      </c>
      <c r="DD17" s="153" t="inlineStr">
        <is>
          <t>Individual Contributor</t>
        </is>
      </c>
      <c r="DE17" s="153" t="inlineStr">
        <is>
          <t>0 years, 5 months, 0 days</t>
        </is>
      </c>
      <c r="DF17" s="153" t="inlineStr">
        <is>
          <t>21 years, 7 months, 26 days</t>
        </is>
      </c>
      <c r="DG17" s="153" t="inlineStr">
        <is>
          <t>22 years, 0 months, 26 days</t>
        </is>
      </c>
      <c r="DH17" s="153" t="n"/>
      <c r="DI17" s="153" t="inlineStr">
        <is>
          <t>Consume</t>
        </is>
      </c>
      <c r="DJ17" s="153" t="inlineStr">
        <is>
          <t>Consume</t>
        </is>
      </c>
      <c r="DK17" s="153" t="inlineStr">
        <is>
          <t>India Content</t>
        </is>
      </c>
      <c r="DL17" s="153" t="inlineStr">
        <is>
          <t>Expert Assisted services</t>
        </is>
      </c>
      <c r="DM17" s="153" t="inlineStr">
        <is>
          <t>No</t>
        </is>
      </c>
      <c r="DN17" s="153" t="inlineStr">
        <is>
          <t>Professional Services</t>
        </is>
      </c>
      <c r="DO17" s="153" t="inlineStr">
        <is>
          <t>Data Processing</t>
        </is>
      </c>
      <c r="DP17" s="153" t="inlineStr">
        <is>
          <t>Non-technical</t>
        </is>
      </c>
      <c r="DQ17" s="153" t="inlineStr">
        <is>
          <t>Remote - Mumbai</t>
        </is>
      </c>
      <c r="DR17" s="1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17"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17"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17" s="153" t="n">
        <v>3</v>
      </c>
      <c r="DV17" s="154" t="n">
        <v>45933</v>
      </c>
      <c r="DW17" s="153" t="inlineStr">
        <is>
          <t>Data Analyst Lead</t>
        </is>
      </c>
      <c r="DX17" s="153" t="inlineStr">
        <is>
          <t>No</t>
        </is>
      </c>
      <c r="DY17" s="153" t="n">
        <v>3</v>
      </c>
      <c r="DZ17" s="153" t="inlineStr">
        <is>
          <t>Medium</t>
        </is>
      </c>
      <c r="EA17" s="153" t="inlineStr">
        <is>
          <t>Future Leader</t>
        </is>
      </c>
      <c r="EB17" s="153" t="inlineStr">
        <is>
          <t>Yes</t>
        </is>
      </c>
      <c r="EC17" s="153" t="inlineStr">
        <is>
          <t>Yes</t>
        </is>
      </c>
      <c r="ED17" s="153" t="inlineStr">
        <is>
          <t>Yes</t>
        </is>
      </c>
      <c r="EE17" s="153" t="inlineStr">
        <is>
          <t>Swapnil Katrat</t>
        </is>
      </c>
      <c r="EF17" s="153" t="inlineStr">
        <is>
          <t>The team needs training for new automation tools.</t>
        </is>
      </c>
      <c r="EG17"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18" ht="64" customHeight="1">
      <c r="A18" s="109" t="inlineStr">
        <is>
          <t>IRIS1743</t>
        </is>
      </c>
      <c r="B18" s="111" t="inlineStr">
        <is>
          <t>Akash Dubey</t>
        </is>
      </c>
      <c r="C18" s="111" t="inlineStr">
        <is>
          <t>India Content</t>
        </is>
      </c>
      <c r="D18" s="114" t="inlineStr">
        <is>
          <t>Data Analyst</t>
        </is>
      </c>
      <c r="E18" s="114" t="inlineStr">
        <is>
          <t>Senior Data Analyst</t>
        </is>
      </c>
      <c r="F18" s="114" t="inlineStr">
        <is>
          <t>L3 – Professional / Associate</t>
        </is>
      </c>
      <c r="G18" s="114" t="inlineStr">
        <is>
          <t>A3</t>
        </is>
      </c>
      <c r="H18" s="117" t="inlineStr">
        <is>
          <t>▲ Up</t>
        </is>
      </c>
      <c r="I18" s="111" t="inlineStr">
        <is>
          <t>Data &amp; Analytics</t>
        </is>
      </c>
      <c r="J18" s="111" t="inlineStr">
        <is>
          <t>Financial Data Processing</t>
        </is>
      </c>
      <c r="K18" s="111" t="inlineStr"/>
      <c r="L18" s="111" t="n">
        <v>20</v>
      </c>
      <c r="M18" s="146" t="inlineStr">
        <is>
          <t>P2</t>
        </is>
      </c>
      <c r="N18" s="115" t="inlineStr">
        <is>
          <t>Developing</t>
        </is>
      </c>
      <c r="O18" s="115" t="inlineStr">
        <is>
          <t>3 Apply</t>
        </is>
      </c>
      <c r="P18" s="115" t="inlineStr">
        <is>
          <t>2–4 yrs</t>
        </is>
      </c>
      <c r="Q18" s="115" t="inlineStr">
        <is>
          <t>3–5 · 2–5</t>
        </is>
      </c>
      <c r="R18" s="115" t="inlineStr">
        <is>
          <t>Data Analyst</t>
        </is>
      </c>
      <c r="S18" s="115" t="inlineStr">
        <is>
          <r>
            <rPr>
              <rFont val="Calibri"/>
              <b val="1"/>
              <sz val="10"/>
            </rPr>
            <t>Atlassian company-wide P-levels:</t>
          </r>
          <r>
            <rPr>
              <rFont val="Calibri"/>
              <sz val="10"/>
            </rPr>
            <t xml:space="preserve"> P40 Analyst · IRIS Vs Competitor Benchmark — data analyst ladder: Data Analyst II</t>
          </r>
        </is>
      </c>
      <c r="T18" s="115" t="inlineStr">
        <is>
          <t>DAMA-DMBOK · 11 knowledge areas around data governance</t>
        </is>
      </c>
      <c r="U18" s="115" t="inlineStr">
        <is>
          <t>Core 2 · Future 2 · Functional 3 · Leadership not scored</t>
        </is>
      </c>
      <c r="V18" s="152" t="n">
        <v>151</v>
      </c>
      <c r="W18" s="153" t="inlineStr">
        <is>
          <t>IRIS1743</t>
        </is>
      </c>
      <c r="X18" s="153" t="inlineStr">
        <is>
          <t>Employee</t>
        </is>
      </c>
      <c r="Y18" s="153" t="inlineStr">
        <is>
          <t>Active</t>
        </is>
      </c>
      <c r="Z18" s="153" t="inlineStr">
        <is>
          <t>Akash Dubey</t>
        </is>
      </c>
      <c r="AA18" s="235" t="n">
        <v>43346</v>
      </c>
      <c r="AB18" s="153" t="inlineStr">
        <is>
          <t>Data Analyst</t>
        </is>
      </c>
      <c r="AC18" s="153" t="inlineStr">
        <is>
          <t>M.Com</t>
        </is>
      </c>
      <c r="AD18" s="153" t="inlineStr">
        <is>
          <t>Gopal Krishna Sahu</t>
        </is>
      </c>
      <c r="AE18" s="153" t="inlineStr">
        <is>
          <t>N-4</t>
        </is>
      </c>
      <c r="AF18" s="153" t="inlineStr">
        <is>
          <t>Individual Contributor</t>
        </is>
      </c>
      <c r="AG18" s="153" t="inlineStr">
        <is>
          <t>0 years, 0 months, 0 days</t>
        </is>
      </c>
      <c r="AH18" s="153" t="inlineStr">
        <is>
          <t>7 years, 11 months, 22 days</t>
        </is>
      </c>
      <c r="AI18" s="153" t="inlineStr">
        <is>
          <t>Consume</t>
        </is>
      </c>
      <c r="AJ18" s="153" t="inlineStr">
        <is>
          <t>Consume</t>
        </is>
      </c>
      <c r="AK18" s="153" t="inlineStr">
        <is>
          <t>India Content</t>
        </is>
      </c>
      <c r="AL18" s="153" t="inlineStr">
        <is>
          <t>Expert Assisted services</t>
        </is>
      </c>
      <c r="AM18" s="153" t="inlineStr">
        <is>
          <t>No</t>
        </is>
      </c>
      <c r="AN18" s="153" t="inlineStr">
        <is>
          <t>Professional Services</t>
        </is>
      </c>
      <c r="AO18" s="153" t="inlineStr">
        <is>
          <t>Data Processing</t>
        </is>
      </c>
      <c r="AP18" s="153" t="inlineStr">
        <is>
          <t>Non-technical</t>
        </is>
      </c>
      <c r="AQ18" s="153" t="n">
        <v>20</v>
      </c>
      <c r="AR18" s="153" t="inlineStr">
        <is>
          <t>Covered</t>
        </is>
      </c>
      <c r="AS18" s="153" t="n"/>
      <c r="AT18" s="153" t="n"/>
      <c r="AU18" s="153" t="n"/>
      <c r="AV18" s="153" t="n"/>
      <c r="AW18" s="153" t="n"/>
      <c r="AX18" s="153" t="n"/>
      <c r="AY18" s="153" t="n"/>
      <c r="AZ18" s="153" t="n"/>
      <c r="BA18" s="153" t="n"/>
      <c r="BB18" s="153" t="n"/>
      <c r="BC18" s="153" t="n"/>
      <c r="BD18" s="153" t="n"/>
      <c r="BE18" s="153" t="n"/>
      <c r="BF18" s="153" t="n"/>
      <c r="BG18" s="153" t="n"/>
      <c r="BH18" s="153" t="n"/>
      <c r="BI18" s="153" t="n"/>
      <c r="BJ18" s="153" t="n"/>
      <c r="BK18" s="153" t="n"/>
      <c r="BL18" s="153" t="n"/>
      <c r="BM18" s="153" t="n"/>
      <c r="BN18" s="153" t="n"/>
      <c r="BO18" s="153" t="n"/>
      <c r="BP18" s="153" t="n"/>
      <c r="BQ18" s="153" t="n"/>
      <c r="BR18" s="153" t="n"/>
      <c r="BS18" s="153" t="n"/>
      <c r="BT18" s="153" t="n"/>
      <c r="BU18" s="153" t="n"/>
      <c r="BV18" s="153" t="n"/>
      <c r="BW18" s="153" t="n"/>
      <c r="BX18" s="153" t="n"/>
      <c r="BY18" s="153" t="n"/>
      <c r="BZ18" s="153" t="n"/>
      <c r="CA18" s="153" t="n"/>
      <c r="CB18" s="153" t="n"/>
      <c r="CC18" s="153" t="n"/>
      <c r="CD18" s="153" t="n"/>
      <c r="CE18" s="153" t="n"/>
      <c r="CF18" s="153" t="n"/>
      <c r="CG18" s="153" t="n"/>
      <c r="CH18" s="153" t="n"/>
      <c r="CI18" s="153" t="n"/>
      <c r="CJ18" s="153" t="n"/>
      <c r="CK18" s="153" t="n"/>
      <c r="CL18" s="153" t="n"/>
      <c r="CM18" s="153" t="n"/>
      <c r="CN18" s="153" t="n"/>
      <c r="CO18" s="153" t="n"/>
      <c r="CP18" s="153" t="n"/>
      <c r="CQ18" s="153" t="inlineStr">
        <is>
          <t>IRIS1743</t>
        </is>
      </c>
      <c r="CR18" s="153" t="inlineStr">
        <is>
          <t>Employee</t>
        </is>
      </c>
      <c r="CS18" s="153" t="inlineStr">
        <is>
          <t>Active</t>
        </is>
      </c>
      <c r="CT18" s="153" t="inlineStr">
        <is>
          <t>Akash Dubey</t>
        </is>
      </c>
      <c r="CU18" s="154" t="n">
        <v>43346</v>
      </c>
      <c r="CV18" s="153" t="inlineStr">
        <is>
          <t>Data Analyst</t>
        </is>
      </c>
      <c r="CW18" s="153" t="inlineStr">
        <is>
          <t>Consulting &amp; Professional Services</t>
        </is>
      </c>
      <c r="CX18" s="153" t="inlineStr">
        <is>
          <t>Regulatory Content</t>
        </is>
      </c>
      <c r="CY18" s="153" t="inlineStr">
        <is>
          <t>Data Analyst</t>
        </is>
      </c>
      <c r="CZ18" s="153" t="inlineStr">
        <is>
          <t>L3 – Professional / Associate</t>
        </is>
      </c>
      <c r="DA18" s="153" t="inlineStr">
        <is>
          <t>M.Com</t>
        </is>
      </c>
      <c r="DB18" s="153" t="inlineStr">
        <is>
          <t>Gopal Krishna Sahu</t>
        </is>
      </c>
      <c r="DC18" s="153" t="inlineStr">
        <is>
          <t>N-3</t>
        </is>
      </c>
      <c r="DD18" s="153" t="inlineStr">
        <is>
          <t>Individual Contributor</t>
        </is>
      </c>
      <c r="DE18" s="153" t="inlineStr">
        <is>
          <t>0 years, 0 months, 0 days</t>
        </is>
      </c>
      <c r="DF18" s="153" t="inlineStr">
        <is>
          <t>7 years, 9 months, 17 days</t>
        </is>
      </c>
      <c r="DG18" s="153" t="inlineStr">
        <is>
          <t>7 years, 9 months, 17 days</t>
        </is>
      </c>
      <c r="DH18" s="153" t="n"/>
      <c r="DI18" s="153" t="inlineStr">
        <is>
          <t>Consume</t>
        </is>
      </c>
      <c r="DJ18" s="153" t="inlineStr">
        <is>
          <t>Consume</t>
        </is>
      </c>
      <c r="DK18" s="153" t="inlineStr">
        <is>
          <t>India Content</t>
        </is>
      </c>
      <c r="DL18" s="153" t="inlineStr">
        <is>
          <t>Expert Assisted services</t>
        </is>
      </c>
      <c r="DM18" s="153" t="inlineStr">
        <is>
          <t>No</t>
        </is>
      </c>
      <c r="DN18" s="153" t="inlineStr">
        <is>
          <t>Professional Services</t>
        </is>
      </c>
      <c r="DO18" s="153" t="inlineStr">
        <is>
          <t>Data Processing</t>
        </is>
      </c>
      <c r="DP18" s="153" t="inlineStr">
        <is>
          <t>Non-technical</t>
        </is>
      </c>
      <c r="DQ18" s="153" t="inlineStr">
        <is>
          <t>Remote - Mumbai</t>
        </is>
      </c>
      <c r="DR18" s="1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18"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18"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18" s="153" t="n">
        <v>3</v>
      </c>
      <c r="DV18" s="154" t="n">
        <v>45933</v>
      </c>
      <c r="DW18" s="153" t="inlineStr">
        <is>
          <t>Data Analyst</t>
        </is>
      </c>
      <c r="DX18" s="153" t="inlineStr">
        <is>
          <t>No</t>
        </is>
      </c>
      <c r="DY18" s="153" t="n">
        <v>3</v>
      </c>
      <c r="DZ18" s="153" t="inlineStr">
        <is>
          <t>Medium</t>
        </is>
      </c>
      <c r="EA18" s="153" t="inlineStr">
        <is>
          <t>Trusted Professional</t>
        </is>
      </c>
      <c r="EB18" s="153" t="inlineStr">
        <is>
          <t>Yes</t>
        </is>
      </c>
      <c r="EC18" s="153" t="inlineStr">
        <is>
          <t>Yes</t>
        </is>
      </c>
      <c r="ED18" s="153" t="inlineStr">
        <is>
          <t>Yes</t>
        </is>
      </c>
      <c r="EE18" s="153" t="inlineStr">
        <is>
          <t>John Mariakulandai</t>
        </is>
      </c>
      <c r="EF18" s="153" t="inlineStr">
        <is>
          <t>The team needs training for new automation tools.</t>
        </is>
      </c>
      <c r="EG18"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19" ht="64" customHeight="1">
      <c r="A19" s="109" t="inlineStr">
        <is>
          <t>IRIS1710</t>
        </is>
      </c>
      <c r="B19" s="111" t="inlineStr">
        <is>
          <t>John Mariakulandai</t>
        </is>
      </c>
      <c r="C19" s="111" t="inlineStr">
        <is>
          <t>India Content</t>
        </is>
      </c>
      <c r="D19" s="114" t="inlineStr">
        <is>
          <t>Data Analyst</t>
        </is>
      </c>
      <c r="E19" s="114" t="inlineStr">
        <is>
          <t>Senior Data Analyst</t>
        </is>
      </c>
      <c r="F19" s="114" t="inlineStr">
        <is>
          <t>L3 – Professional / Associate</t>
        </is>
      </c>
      <c r="G19" s="114" t="inlineStr">
        <is>
          <t>A3</t>
        </is>
      </c>
      <c r="H19" s="117" t="inlineStr">
        <is>
          <t>▲ Up</t>
        </is>
      </c>
      <c r="I19" s="111" t="inlineStr">
        <is>
          <t>Data &amp; Analytics</t>
        </is>
      </c>
      <c r="J19" s="111" t="inlineStr">
        <is>
          <t>Financial Data Processing</t>
        </is>
      </c>
      <c r="K19" s="111" t="inlineStr"/>
      <c r="L19" s="111" t="n">
        <v>20</v>
      </c>
      <c r="M19" s="146" t="inlineStr">
        <is>
          <t>P2</t>
        </is>
      </c>
      <c r="N19" s="115" t="inlineStr">
        <is>
          <t>Developing</t>
        </is>
      </c>
      <c r="O19" s="115" t="inlineStr">
        <is>
          <t>3 Apply</t>
        </is>
      </c>
      <c r="P19" s="115" t="inlineStr">
        <is>
          <t>2–4 yrs</t>
        </is>
      </c>
      <c r="Q19" s="115" t="inlineStr">
        <is>
          <t>3–5 · 2–5</t>
        </is>
      </c>
      <c r="R19" s="115" t="inlineStr">
        <is>
          <t>Data Analyst</t>
        </is>
      </c>
      <c r="S19" s="115" t="inlineStr">
        <is>
          <r>
            <rPr>
              <rFont val="Calibri"/>
              <b val="1"/>
              <sz val="10"/>
            </rPr>
            <t>Atlassian company-wide P-levels:</t>
          </r>
          <r>
            <rPr>
              <rFont val="Calibri"/>
              <sz val="10"/>
            </rPr>
            <t xml:space="preserve"> P40 Analyst · IRIS Vs Competitor Benchmark — data analyst ladder: Data Analyst II</t>
          </r>
        </is>
      </c>
      <c r="T19" s="115" t="inlineStr">
        <is>
          <t>DAMA-DMBOK · 11 knowledge areas around data governance</t>
        </is>
      </c>
      <c r="U19" s="115" t="inlineStr">
        <is>
          <t>Core 2 · Future 2 · Functional 3 · Leadership not scored</t>
        </is>
      </c>
      <c r="V19" s="152" t="n">
        <v>146</v>
      </c>
      <c r="W19" s="153" t="inlineStr">
        <is>
          <t>IRIS1710</t>
        </is>
      </c>
      <c r="X19" s="153" t="inlineStr">
        <is>
          <t>Employee</t>
        </is>
      </c>
      <c r="Y19" s="153" t="inlineStr">
        <is>
          <t>Active</t>
        </is>
      </c>
      <c r="Z19" s="153" t="inlineStr">
        <is>
          <t>John Mariakulandai</t>
        </is>
      </c>
      <c r="AA19" s="235" t="n">
        <v>43150</v>
      </c>
      <c r="AB19" s="153" t="inlineStr">
        <is>
          <t>Data Analyst</t>
        </is>
      </c>
      <c r="AC19" s="153" t="inlineStr">
        <is>
          <t>B.Com</t>
        </is>
      </c>
      <c r="AD19" s="153" t="inlineStr">
        <is>
          <t>Gopal Krishna Sahu</t>
        </is>
      </c>
      <c r="AE19" s="153" t="inlineStr">
        <is>
          <t>N-4</t>
        </is>
      </c>
      <c r="AF19" s="153" t="inlineStr">
        <is>
          <t>Individual Contributor</t>
        </is>
      </c>
      <c r="AG19" s="153" t="inlineStr">
        <is>
          <t>8 years, 9 months, 0 days</t>
        </is>
      </c>
      <c r="AH19" s="153" t="inlineStr">
        <is>
          <t>8 years, 6 months, 6 days</t>
        </is>
      </c>
      <c r="AI19" s="153" t="inlineStr">
        <is>
          <t>Consume</t>
        </is>
      </c>
      <c r="AJ19" s="153" t="inlineStr">
        <is>
          <t>Consume</t>
        </is>
      </c>
      <c r="AK19" s="153" t="inlineStr">
        <is>
          <t>India Content</t>
        </is>
      </c>
      <c r="AL19" s="153" t="inlineStr">
        <is>
          <t>Expert Assisted services</t>
        </is>
      </c>
      <c r="AM19" s="153" t="inlineStr">
        <is>
          <t>No</t>
        </is>
      </c>
      <c r="AN19" s="153" t="inlineStr">
        <is>
          <t>Professional Services</t>
        </is>
      </c>
      <c r="AO19" s="153" t="inlineStr">
        <is>
          <t>Data Processing</t>
        </is>
      </c>
      <c r="AP19" s="153" t="inlineStr">
        <is>
          <t>Non-technical</t>
        </is>
      </c>
      <c r="AQ19" s="153" t="n">
        <v>20</v>
      </c>
      <c r="AR19" s="153" t="inlineStr">
        <is>
          <t>Covered</t>
        </is>
      </c>
      <c r="AS19" s="153" t="n"/>
      <c r="AT19" s="153" t="n"/>
      <c r="AU19" s="153" t="n"/>
      <c r="AV19" s="153" t="n"/>
      <c r="AW19" s="153" t="n"/>
      <c r="AX19" s="153" t="n"/>
      <c r="AY19" s="153" t="n"/>
      <c r="AZ19" s="153" t="n"/>
      <c r="BA19" s="153" t="n"/>
      <c r="BB19" s="153" t="n"/>
      <c r="BC19" s="153" t="n"/>
      <c r="BD19" s="153" t="n"/>
      <c r="BE19" s="153" t="n"/>
      <c r="BF19" s="153" t="n"/>
      <c r="BG19" s="153" t="n"/>
      <c r="BH19" s="153" t="n"/>
      <c r="BI19" s="153" t="n"/>
      <c r="BJ19" s="153" t="n"/>
      <c r="BK19" s="153" t="n"/>
      <c r="BL19" s="153" t="n"/>
      <c r="BM19" s="153" t="n"/>
      <c r="BN19" s="153" t="n"/>
      <c r="BO19" s="153" t="n"/>
      <c r="BP19" s="153" t="n"/>
      <c r="BQ19" s="153" t="n"/>
      <c r="BR19" s="153" t="n"/>
      <c r="BS19" s="153" t="n"/>
      <c r="BT19" s="153" t="n"/>
      <c r="BU19" s="153" t="n"/>
      <c r="BV19" s="153" t="n"/>
      <c r="BW19" s="153" t="n"/>
      <c r="BX19" s="153" t="n"/>
      <c r="BY19" s="153" t="n"/>
      <c r="BZ19" s="153" t="n"/>
      <c r="CA19" s="153" t="n"/>
      <c r="CB19" s="153" t="n"/>
      <c r="CC19" s="153" t="n"/>
      <c r="CD19" s="153" t="n"/>
      <c r="CE19" s="153" t="n"/>
      <c r="CF19" s="153" t="n"/>
      <c r="CG19" s="153" t="n"/>
      <c r="CH19" s="153" t="n"/>
      <c r="CI19" s="153" t="n"/>
      <c r="CJ19" s="153" t="n"/>
      <c r="CK19" s="153" t="n"/>
      <c r="CL19" s="153" t="n"/>
      <c r="CM19" s="153" t="n"/>
      <c r="CN19" s="153" t="n"/>
      <c r="CO19" s="153" t="n"/>
      <c r="CP19" s="153" t="n"/>
      <c r="CQ19" s="153" t="inlineStr">
        <is>
          <t>IRIS1710</t>
        </is>
      </c>
      <c r="CR19" s="153" t="inlineStr">
        <is>
          <t>Employee</t>
        </is>
      </c>
      <c r="CS19" s="153" t="inlineStr">
        <is>
          <t>Active</t>
        </is>
      </c>
      <c r="CT19" s="153" t="inlineStr">
        <is>
          <t>John Mariakulandai</t>
        </is>
      </c>
      <c r="CU19" s="154" t="n">
        <v>43150</v>
      </c>
      <c r="CV19" s="153" t="inlineStr">
        <is>
          <t>Data Analyst</t>
        </is>
      </c>
      <c r="CW19" s="153" t="inlineStr">
        <is>
          <t>Consulting &amp; Professional Services</t>
        </is>
      </c>
      <c r="CX19" s="153" t="inlineStr">
        <is>
          <t>Regulatory Content</t>
        </is>
      </c>
      <c r="CY19" s="153" t="inlineStr">
        <is>
          <t>Data Analyst</t>
        </is>
      </c>
      <c r="CZ19" s="153" t="inlineStr">
        <is>
          <t>L3 – Professional / Associate</t>
        </is>
      </c>
      <c r="DA19" s="153" t="inlineStr">
        <is>
          <t>B.Com</t>
        </is>
      </c>
      <c r="DB19" s="153" t="inlineStr">
        <is>
          <t>Gopal Krishna Sahu</t>
        </is>
      </c>
      <c r="DC19" s="153" t="inlineStr">
        <is>
          <t>N-3</t>
        </is>
      </c>
      <c r="DD19" s="153" t="inlineStr">
        <is>
          <t>Individual Contributor</t>
        </is>
      </c>
      <c r="DE19" s="153" t="inlineStr">
        <is>
          <t>8 years, 9 months, 0 days</t>
        </is>
      </c>
      <c r="DF19" s="153" t="inlineStr">
        <is>
          <t>8 years, 4 months, 1 days</t>
        </is>
      </c>
      <c r="DG19" s="153" t="inlineStr">
        <is>
          <t>17 years, 1 months, 1 days</t>
        </is>
      </c>
      <c r="DH19" s="153" t="n"/>
      <c r="DI19" s="153" t="inlineStr">
        <is>
          <t>Consume</t>
        </is>
      </c>
      <c r="DJ19" s="153" t="inlineStr">
        <is>
          <t>Consume</t>
        </is>
      </c>
      <c r="DK19" s="153" t="inlineStr">
        <is>
          <t>India Content</t>
        </is>
      </c>
      <c r="DL19" s="153" t="inlineStr">
        <is>
          <t>Expert Assisted services</t>
        </is>
      </c>
      <c r="DM19" s="153" t="inlineStr">
        <is>
          <t>No</t>
        </is>
      </c>
      <c r="DN19" s="153" t="inlineStr">
        <is>
          <t>Professional Services</t>
        </is>
      </c>
      <c r="DO19" s="153" t="inlineStr">
        <is>
          <t>Data Processing</t>
        </is>
      </c>
      <c r="DP19" s="153" t="inlineStr">
        <is>
          <t>Non-technical</t>
        </is>
      </c>
      <c r="DQ19" s="153" t="inlineStr">
        <is>
          <t>Remote - Mumbai</t>
        </is>
      </c>
      <c r="DR19" s="1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19"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19"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19" s="153" t="n">
        <v>3</v>
      </c>
      <c r="DV19" s="154" t="n">
        <v>45933</v>
      </c>
      <c r="DW19" s="153" t="inlineStr">
        <is>
          <t>Data Analyst</t>
        </is>
      </c>
      <c r="DX19" s="153" t="inlineStr">
        <is>
          <t>No</t>
        </is>
      </c>
      <c r="DY19" s="153" t="n">
        <v>3</v>
      </c>
      <c r="DZ19" s="153" t="inlineStr">
        <is>
          <t>Medium</t>
        </is>
      </c>
      <c r="EA19" s="153" t="inlineStr">
        <is>
          <t>High Impact / Growth Talent</t>
        </is>
      </c>
      <c r="EB19" s="153" t="inlineStr">
        <is>
          <t>Yes</t>
        </is>
      </c>
      <c r="EC19" s="153" t="inlineStr">
        <is>
          <t>Yes</t>
        </is>
      </c>
      <c r="ED19" s="153" t="inlineStr">
        <is>
          <t>Yes</t>
        </is>
      </c>
      <c r="EE19" s="153" t="inlineStr">
        <is>
          <t>Palani Kumar, Akash Dubey</t>
        </is>
      </c>
      <c r="EF19" s="153" t="inlineStr">
        <is>
          <t>The team needs training for new automation tools.</t>
        </is>
      </c>
      <c r="EG19"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0" ht="64" customHeight="1">
      <c r="A20" s="109" t="inlineStr">
        <is>
          <t>IRIS0091</t>
        </is>
      </c>
      <c r="B20" s="111" t="inlineStr">
        <is>
          <t>Neelam Kadam</t>
        </is>
      </c>
      <c r="C20" s="111" t="inlineStr">
        <is>
          <t>India Content</t>
        </is>
      </c>
      <c r="D20" s="114" t="inlineStr">
        <is>
          <t>Data Analyst</t>
        </is>
      </c>
      <c r="E20" s="114" t="inlineStr">
        <is>
          <t>Senior Data Analyst</t>
        </is>
      </c>
      <c r="F20" s="114" t="inlineStr">
        <is>
          <t>L3 – Professional / Associate</t>
        </is>
      </c>
      <c r="G20" s="114" t="inlineStr">
        <is>
          <t>A3</t>
        </is>
      </c>
      <c r="H20" s="117" t="inlineStr">
        <is>
          <t>▲ Up</t>
        </is>
      </c>
      <c r="I20" s="111" t="inlineStr">
        <is>
          <t>Data &amp; Analytics</t>
        </is>
      </c>
      <c r="J20" s="111" t="inlineStr">
        <is>
          <t>Financial Data Processing</t>
        </is>
      </c>
      <c r="K20" s="111" t="inlineStr"/>
      <c r="L20" s="111" t="n">
        <v>19</v>
      </c>
      <c r="M20" s="146" t="inlineStr">
        <is>
          <t>P2</t>
        </is>
      </c>
      <c r="N20" s="115" t="inlineStr">
        <is>
          <t>Developing</t>
        </is>
      </c>
      <c r="O20" s="115" t="inlineStr">
        <is>
          <t>3 Apply</t>
        </is>
      </c>
      <c r="P20" s="115" t="inlineStr">
        <is>
          <t>2–4 yrs</t>
        </is>
      </c>
      <c r="Q20" s="115" t="inlineStr">
        <is>
          <t>3–5 · 2–5</t>
        </is>
      </c>
      <c r="R20" s="115" t="inlineStr">
        <is>
          <t>Data Analyst</t>
        </is>
      </c>
      <c r="S20" s="115" t="inlineStr">
        <is>
          <r>
            <rPr>
              <rFont val="Calibri"/>
              <b val="1"/>
              <sz val="10"/>
            </rPr>
            <t>Atlassian company-wide P-levels:</t>
          </r>
          <r>
            <rPr>
              <rFont val="Calibri"/>
              <sz val="10"/>
            </rPr>
            <t xml:space="preserve"> P40 Analyst · IRIS Vs Competitor Benchmark — data analyst ladder: Data Analyst II</t>
          </r>
        </is>
      </c>
      <c r="T20" s="115" t="inlineStr">
        <is>
          <t>DAMA-DMBOK · 11 knowledge areas around data governance</t>
        </is>
      </c>
      <c r="U20" s="115" t="inlineStr">
        <is>
          <t>Core 2 · Future 2 · Functional 3 · Leadership not scored</t>
        </is>
      </c>
      <c r="V20" s="152" t="n">
        <v>22</v>
      </c>
      <c r="W20" s="153" t="inlineStr">
        <is>
          <t>IRIS0091</t>
        </is>
      </c>
      <c r="X20" s="153" t="inlineStr">
        <is>
          <t>Employee</t>
        </is>
      </c>
      <c r="Y20" s="153" t="inlineStr">
        <is>
          <t>Active</t>
        </is>
      </c>
      <c r="Z20" s="153" t="inlineStr">
        <is>
          <t>Neelam Kadam</t>
        </is>
      </c>
      <c r="AA20" s="235" t="n">
        <v>39217</v>
      </c>
      <c r="AB20" s="153" t="inlineStr">
        <is>
          <t>Data Analyst</t>
        </is>
      </c>
      <c r="AC20" s="153" t="inlineStr">
        <is>
          <t>B.Com</t>
        </is>
      </c>
      <c r="AD20" s="153" t="inlineStr">
        <is>
          <t>Gopal Krishna Sahu</t>
        </is>
      </c>
      <c r="AE20" s="153" t="inlineStr">
        <is>
          <t>N-4</t>
        </is>
      </c>
      <c r="AF20" s="153" t="inlineStr">
        <is>
          <t>Individual Contributor</t>
        </is>
      </c>
      <c r="AG20" s="153" t="inlineStr">
        <is>
          <t>0 years, 0 months, 0 days</t>
        </is>
      </c>
      <c r="AH20" s="153" t="inlineStr">
        <is>
          <t>19 years, 3 months, 10 days</t>
        </is>
      </c>
      <c r="AI20" s="153" t="inlineStr">
        <is>
          <t>Consume</t>
        </is>
      </c>
      <c r="AJ20" s="153" t="inlineStr">
        <is>
          <t>Consume</t>
        </is>
      </c>
      <c r="AK20" s="153" t="inlineStr">
        <is>
          <t>India Content</t>
        </is>
      </c>
      <c r="AL20" s="153" t="inlineStr">
        <is>
          <t>Expert Assisted services</t>
        </is>
      </c>
      <c r="AM20" s="153" t="inlineStr">
        <is>
          <t>No</t>
        </is>
      </c>
      <c r="AN20" s="153" t="inlineStr">
        <is>
          <t>Professional Services</t>
        </is>
      </c>
      <c r="AO20" s="153" t="inlineStr">
        <is>
          <t>Data Processing</t>
        </is>
      </c>
      <c r="AP20" s="153" t="inlineStr">
        <is>
          <t>Non-technical</t>
        </is>
      </c>
      <c r="AQ20" s="153" t="n">
        <v>20</v>
      </c>
      <c r="AR20" s="153" t="inlineStr">
        <is>
          <t>Covered</t>
        </is>
      </c>
      <c r="AS20" s="153" t="n"/>
      <c r="AT20" s="153" t="n"/>
      <c r="AU20" s="153" t="n"/>
      <c r="AV20" s="153" t="n"/>
      <c r="AW20" s="153" t="n"/>
      <c r="AX20" s="153" t="n"/>
      <c r="AY20" s="153" t="n"/>
      <c r="AZ20" s="153" t="n"/>
      <c r="BA20" s="153" t="n"/>
      <c r="BB20" s="153" t="n"/>
      <c r="BC20" s="153" t="n"/>
      <c r="BD20" s="153" t="n"/>
      <c r="BE20" s="153" t="n"/>
      <c r="BF20" s="153" t="n"/>
      <c r="BG20" s="153" t="n"/>
      <c r="BH20" s="153" t="n"/>
      <c r="BI20" s="153" t="n"/>
      <c r="BJ20" s="153" t="n"/>
      <c r="BK20" s="153" t="n"/>
      <c r="BL20" s="153" t="n"/>
      <c r="BM20" s="153" t="n"/>
      <c r="BN20" s="153" t="n"/>
      <c r="BO20" s="153" t="n"/>
      <c r="BP20" s="153" t="n"/>
      <c r="BQ20" s="153" t="n"/>
      <c r="BR20" s="153" t="n"/>
      <c r="BS20" s="153" t="n"/>
      <c r="BT20" s="153" t="n"/>
      <c r="BU20" s="153" t="n"/>
      <c r="BV20" s="153" t="n"/>
      <c r="BW20" s="153" t="n"/>
      <c r="BX20" s="153" t="n"/>
      <c r="BY20" s="153" t="n"/>
      <c r="BZ20" s="153" t="n"/>
      <c r="CA20" s="153" t="n"/>
      <c r="CB20" s="153" t="n"/>
      <c r="CC20" s="153" t="n"/>
      <c r="CD20" s="153" t="n"/>
      <c r="CE20" s="153" t="n"/>
      <c r="CF20" s="153" t="n"/>
      <c r="CG20" s="153" t="n"/>
      <c r="CH20" s="153" t="n"/>
      <c r="CI20" s="153" t="n"/>
      <c r="CJ20" s="153" t="n"/>
      <c r="CK20" s="153" t="n"/>
      <c r="CL20" s="153" t="n"/>
      <c r="CM20" s="153" t="n"/>
      <c r="CN20" s="153" t="n"/>
      <c r="CO20" s="153" t="n"/>
      <c r="CP20" s="153" t="n"/>
      <c r="CQ20" s="153" t="inlineStr">
        <is>
          <t>IRIS0091</t>
        </is>
      </c>
      <c r="CR20" s="153" t="inlineStr">
        <is>
          <t>Employee</t>
        </is>
      </c>
      <c r="CS20" s="153" t="inlineStr">
        <is>
          <t>Active</t>
        </is>
      </c>
      <c r="CT20" s="153" t="inlineStr">
        <is>
          <t>Neelam Kadam</t>
        </is>
      </c>
      <c r="CU20" s="154" t="n">
        <v>39217</v>
      </c>
      <c r="CV20" s="153" t="inlineStr">
        <is>
          <t>Data Analyst</t>
        </is>
      </c>
      <c r="CW20" s="153" t="inlineStr">
        <is>
          <t>Consulting &amp; Professional Services</t>
        </is>
      </c>
      <c r="CX20" s="153" t="inlineStr">
        <is>
          <t>Regulatory Content</t>
        </is>
      </c>
      <c r="CY20" s="153" t="inlineStr">
        <is>
          <t>Data Analyst</t>
        </is>
      </c>
      <c r="CZ20" s="153" t="inlineStr">
        <is>
          <t>L3 – Professional / Associate</t>
        </is>
      </c>
      <c r="DA20" s="153" t="inlineStr">
        <is>
          <t>MBA</t>
        </is>
      </c>
      <c r="DB20" s="153" t="inlineStr">
        <is>
          <t>Gopal Krishna Sahu</t>
        </is>
      </c>
      <c r="DC20" s="153" t="inlineStr">
        <is>
          <t>N-3</t>
        </is>
      </c>
      <c r="DD20" s="153" t="inlineStr">
        <is>
          <t>Individual Contributor</t>
        </is>
      </c>
      <c r="DE20" s="153" t="inlineStr">
        <is>
          <t>0 years, 0 months, 0 days</t>
        </is>
      </c>
      <c r="DF20" s="153" t="inlineStr">
        <is>
          <t>19 years, 1 months, 5 days</t>
        </is>
      </c>
      <c r="DG20" s="153" t="inlineStr">
        <is>
          <t>19 years, 1 months, 5 days</t>
        </is>
      </c>
      <c r="DH20" s="153" t="n"/>
      <c r="DI20" s="153" t="inlineStr">
        <is>
          <t>Consume</t>
        </is>
      </c>
      <c r="DJ20" s="153" t="inlineStr">
        <is>
          <t>Consume</t>
        </is>
      </c>
      <c r="DK20" s="153" t="inlineStr">
        <is>
          <t>India Content</t>
        </is>
      </c>
      <c r="DL20" s="153" t="inlineStr">
        <is>
          <t>Expert Assisted services</t>
        </is>
      </c>
      <c r="DM20" s="153" t="inlineStr">
        <is>
          <t>No</t>
        </is>
      </c>
      <c r="DN20" s="153" t="inlineStr">
        <is>
          <t>Professional Services</t>
        </is>
      </c>
      <c r="DO20" s="153" t="inlineStr">
        <is>
          <t>Data Processing</t>
        </is>
      </c>
      <c r="DP20" s="153" t="inlineStr">
        <is>
          <t>Non-technical</t>
        </is>
      </c>
      <c r="DQ20" s="153" t="inlineStr">
        <is>
          <t>Remote - Mumbai</t>
        </is>
      </c>
      <c r="DR20" s="1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20"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20"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20" s="153" t="n">
        <v>2</v>
      </c>
      <c r="DV20" s="154" t="n">
        <v>45933</v>
      </c>
      <c r="DW20" s="153" t="inlineStr">
        <is>
          <t>Data Analyst</t>
        </is>
      </c>
      <c r="DX20" s="153" t="inlineStr">
        <is>
          <t>No</t>
        </is>
      </c>
      <c r="DY20" s="153" t="n">
        <v>2</v>
      </c>
      <c r="DZ20" s="153" t="inlineStr">
        <is>
          <t>Medium</t>
        </is>
      </c>
      <c r="EA20" s="153" t="inlineStr">
        <is>
          <t>Trusted Professional</t>
        </is>
      </c>
      <c r="EB20" s="153" t="inlineStr">
        <is>
          <t>Yes</t>
        </is>
      </c>
      <c r="EC20" s="153" t="inlineStr">
        <is>
          <t>Yes</t>
        </is>
      </c>
      <c r="ED20" s="153" t="inlineStr">
        <is>
          <t>Yes</t>
        </is>
      </c>
      <c r="EE20" s="153" t="inlineStr">
        <is>
          <t>Palani Kumar, Virendra Borkar</t>
        </is>
      </c>
      <c r="EF20" s="153" t="inlineStr">
        <is>
          <t>The team needs training for new automation tools.</t>
        </is>
      </c>
      <c r="EG20"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1" ht="64" customHeight="1">
      <c r="A21" s="109" t="inlineStr">
        <is>
          <t>IRIS0065</t>
        </is>
      </c>
      <c r="B21" s="111" t="inlineStr">
        <is>
          <t>Nishikant Mhatre</t>
        </is>
      </c>
      <c r="C21" s="111" t="inlineStr">
        <is>
          <t>India Content</t>
        </is>
      </c>
      <c r="D21" s="114" t="inlineStr">
        <is>
          <t>Data Analyst</t>
        </is>
      </c>
      <c r="E21" s="114" t="inlineStr">
        <is>
          <t>Senior Data Analyst</t>
        </is>
      </c>
      <c r="F21" s="114" t="inlineStr">
        <is>
          <t>L3 – Professional / Associate</t>
        </is>
      </c>
      <c r="G21" s="114" t="inlineStr">
        <is>
          <t>A3</t>
        </is>
      </c>
      <c r="H21" s="117" t="inlineStr">
        <is>
          <t>▲ Up</t>
        </is>
      </c>
      <c r="I21" s="111" t="inlineStr">
        <is>
          <t>Data &amp; Analytics</t>
        </is>
      </c>
      <c r="J21" s="111" t="inlineStr">
        <is>
          <t>Financial Data Processing</t>
        </is>
      </c>
      <c r="K21" s="111" t="inlineStr"/>
      <c r="L21" s="111" t="n">
        <v>20</v>
      </c>
      <c r="M21" s="146" t="inlineStr">
        <is>
          <t>P2</t>
        </is>
      </c>
      <c r="N21" s="115" t="inlineStr">
        <is>
          <t>Developing</t>
        </is>
      </c>
      <c r="O21" s="115" t="inlineStr">
        <is>
          <t>3 Apply</t>
        </is>
      </c>
      <c r="P21" s="115" t="inlineStr">
        <is>
          <t>2–4 yrs</t>
        </is>
      </c>
      <c r="Q21" s="115" t="inlineStr">
        <is>
          <t>3–5 · 2–5</t>
        </is>
      </c>
      <c r="R21" s="115" t="inlineStr">
        <is>
          <t>Data Analyst</t>
        </is>
      </c>
      <c r="S21" s="115" t="inlineStr">
        <is>
          <r>
            <rPr>
              <rFont val="Calibri"/>
              <b val="1"/>
              <sz val="10"/>
            </rPr>
            <t>Atlassian company-wide P-levels:</t>
          </r>
          <r>
            <rPr>
              <rFont val="Calibri"/>
              <sz val="10"/>
            </rPr>
            <t xml:space="preserve"> P40 Analyst · IRIS Vs Competitor Benchmark — data analyst ladder: Data Analyst II</t>
          </r>
        </is>
      </c>
      <c r="T21" s="115" t="inlineStr">
        <is>
          <t>DAMA-DMBOK · 11 knowledge areas around data governance</t>
        </is>
      </c>
      <c r="U21" s="115" t="inlineStr">
        <is>
          <t>Core 2 · Future 2 · Functional 3 · Leadership not scored</t>
        </is>
      </c>
      <c r="V21" s="152" t="n">
        <v>20</v>
      </c>
      <c r="W21" s="153" t="inlineStr">
        <is>
          <t>IRIS0065</t>
        </is>
      </c>
      <c r="X21" s="153" t="inlineStr">
        <is>
          <t>Employee</t>
        </is>
      </c>
      <c r="Y21" s="153" t="inlineStr">
        <is>
          <t>Active</t>
        </is>
      </c>
      <c r="Z21" s="153" t="inlineStr">
        <is>
          <t>Nishikant Mhatre</t>
        </is>
      </c>
      <c r="AA21" s="235" t="n">
        <v>39097</v>
      </c>
      <c r="AB21" s="153" t="inlineStr">
        <is>
          <t>Data Analyst</t>
        </is>
      </c>
      <c r="AC21" s="153" t="inlineStr">
        <is>
          <t>B.Com</t>
        </is>
      </c>
      <c r="AD21" s="153" t="inlineStr">
        <is>
          <t>Gopal Krishna Sahu</t>
        </is>
      </c>
      <c r="AE21" s="153" t="inlineStr">
        <is>
          <t>N-4</t>
        </is>
      </c>
      <c r="AF21" s="153" t="inlineStr">
        <is>
          <t>Individual Contributor</t>
        </is>
      </c>
      <c r="AG21" s="153" t="inlineStr">
        <is>
          <t>11 years, 0 months, 0 days</t>
        </is>
      </c>
      <c r="AH21" s="153" t="inlineStr">
        <is>
          <t>19 years, 7 months, 10 days</t>
        </is>
      </c>
      <c r="AI21" s="153" t="inlineStr">
        <is>
          <t>Consume</t>
        </is>
      </c>
      <c r="AJ21" s="153" t="inlineStr">
        <is>
          <t>Consume</t>
        </is>
      </c>
      <c r="AK21" s="153" t="inlineStr">
        <is>
          <t>India Content</t>
        </is>
      </c>
      <c r="AL21" s="153" t="inlineStr">
        <is>
          <t>Expert Assisted services</t>
        </is>
      </c>
      <c r="AM21" s="153" t="inlineStr">
        <is>
          <t>No</t>
        </is>
      </c>
      <c r="AN21" s="153" t="inlineStr">
        <is>
          <t>Professional Services</t>
        </is>
      </c>
      <c r="AO21" s="153" t="inlineStr">
        <is>
          <t>Data Processing</t>
        </is>
      </c>
      <c r="AP21" s="153" t="inlineStr">
        <is>
          <t>Non-technical</t>
        </is>
      </c>
      <c r="AQ21" s="153" t="n">
        <v>20</v>
      </c>
      <c r="AR21" s="153" t="inlineStr">
        <is>
          <t>Covered</t>
        </is>
      </c>
      <c r="AS21" s="153" t="n"/>
      <c r="AT21" s="153" t="n"/>
      <c r="AU21" s="153" t="n"/>
      <c r="AV21" s="153" t="n"/>
      <c r="AW21" s="153" t="n"/>
      <c r="AX21" s="153" t="n"/>
      <c r="AY21" s="153" t="n"/>
      <c r="AZ21" s="153" t="n"/>
      <c r="BA21" s="153" t="n"/>
      <c r="BB21" s="153" t="n"/>
      <c r="BC21" s="153" t="n"/>
      <c r="BD21" s="153" t="n"/>
      <c r="BE21" s="153" t="n"/>
      <c r="BF21" s="153" t="n"/>
      <c r="BG21" s="153" t="n"/>
      <c r="BH21" s="153" t="n"/>
      <c r="BI21" s="153" t="n"/>
      <c r="BJ21" s="153" t="n"/>
      <c r="BK21" s="153" t="n"/>
      <c r="BL21" s="153" t="n"/>
      <c r="BM21" s="153" t="n"/>
      <c r="BN21" s="153" t="n"/>
      <c r="BO21" s="153" t="n"/>
      <c r="BP21" s="153" t="n"/>
      <c r="BQ21" s="153" t="n"/>
      <c r="BR21" s="153" t="n"/>
      <c r="BS21" s="153" t="n"/>
      <c r="BT21" s="153" t="n"/>
      <c r="BU21" s="153" t="n"/>
      <c r="BV21" s="153" t="n"/>
      <c r="BW21" s="153" t="n"/>
      <c r="BX21" s="153" t="n"/>
      <c r="BY21" s="153" t="n"/>
      <c r="BZ21" s="153" t="n"/>
      <c r="CA21" s="153" t="n"/>
      <c r="CB21" s="153" t="n"/>
      <c r="CC21" s="153" t="n"/>
      <c r="CD21" s="153" t="n"/>
      <c r="CE21" s="153" t="n"/>
      <c r="CF21" s="153" t="n"/>
      <c r="CG21" s="153" t="n"/>
      <c r="CH21" s="153" t="n"/>
      <c r="CI21" s="153" t="n"/>
      <c r="CJ21" s="153" t="n"/>
      <c r="CK21" s="153" t="n"/>
      <c r="CL21" s="153" t="n"/>
      <c r="CM21" s="153" t="n"/>
      <c r="CN21" s="153" t="n"/>
      <c r="CO21" s="153" t="n"/>
      <c r="CP21" s="153" t="n"/>
      <c r="CQ21" s="153" t="inlineStr">
        <is>
          <t>IRIS0065</t>
        </is>
      </c>
      <c r="CR21" s="153" t="inlineStr">
        <is>
          <t>Employee</t>
        </is>
      </c>
      <c r="CS21" s="153" t="inlineStr">
        <is>
          <t>Active</t>
        </is>
      </c>
      <c r="CT21" s="153" t="inlineStr">
        <is>
          <t>Nishikant Mhatre</t>
        </is>
      </c>
      <c r="CU21" s="154" t="n">
        <v>39097</v>
      </c>
      <c r="CV21" s="153" t="inlineStr">
        <is>
          <t>Data Analyst</t>
        </is>
      </c>
      <c r="CW21" s="153" t="inlineStr">
        <is>
          <t>Consulting &amp; Professional Services</t>
        </is>
      </c>
      <c r="CX21" s="153" t="inlineStr">
        <is>
          <t>Regulatory Content</t>
        </is>
      </c>
      <c r="CY21" s="153" t="inlineStr">
        <is>
          <t>Data Analyst</t>
        </is>
      </c>
      <c r="CZ21" s="153" t="inlineStr">
        <is>
          <t>L3 – Professional / Associate</t>
        </is>
      </c>
      <c r="DA21" s="153" t="inlineStr">
        <is>
          <t>B.Com</t>
        </is>
      </c>
      <c r="DB21" s="153" t="inlineStr">
        <is>
          <t>Gopal Krishna Sahu</t>
        </is>
      </c>
      <c r="DC21" s="153" t="inlineStr">
        <is>
          <t>N-3</t>
        </is>
      </c>
      <c r="DD21" s="153" t="inlineStr">
        <is>
          <t>Individual Contributor</t>
        </is>
      </c>
      <c r="DE21" s="153" t="inlineStr">
        <is>
          <t>11 years, 0 months, 0 days</t>
        </is>
      </c>
      <c r="DF21" s="153" t="inlineStr">
        <is>
          <t>19 years, 5 months, 5 days</t>
        </is>
      </c>
      <c r="DG21" s="153" t="inlineStr">
        <is>
          <t>30 years, 5 months, 5 days</t>
        </is>
      </c>
      <c r="DH21" s="153" t="n"/>
      <c r="DI21" s="153" t="inlineStr">
        <is>
          <t>Consume</t>
        </is>
      </c>
      <c r="DJ21" s="153" t="inlineStr">
        <is>
          <t>Consume</t>
        </is>
      </c>
      <c r="DK21" s="153" t="inlineStr">
        <is>
          <t>India Content</t>
        </is>
      </c>
      <c r="DL21" s="153" t="inlineStr">
        <is>
          <t>Expert Assisted services</t>
        </is>
      </c>
      <c r="DM21" s="153" t="inlineStr">
        <is>
          <t>No</t>
        </is>
      </c>
      <c r="DN21" s="153" t="inlineStr">
        <is>
          <t>Professional Services</t>
        </is>
      </c>
      <c r="DO21" s="153" t="inlineStr">
        <is>
          <t>Data Processing</t>
        </is>
      </c>
      <c r="DP21" s="153" t="inlineStr">
        <is>
          <t>Non-technical</t>
        </is>
      </c>
      <c r="DQ21" s="153" t="inlineStr">
        <is>
          <t>Remote- Outside Mumbai</t>
        </is>
      </c>
      <c r="DR21" s="1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21"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21"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21" s="153" t="n">
        <v>3</v>
      </c>
      <c r="DV21" s="154" t="n">
        <v>45933</v>
      </c>
      <c r="DW21" s="153" t="inlineStr">
        <is>
          <t>Data Analyst</t>
        </is>
      </c>
      <c r="DX21" s="153" t="inlineStr">
        <is>
          <t>No</t>
        </is>
      </c>
      <c r="DY21" s="153" t="n">
        <v>3</v>
      </c>
      <c r="DZ21" s="153" t="inlineStr">
        <is>
          <t>Medium</t>
        </is>
      </c>
      <c r="EA21" s="153" t="inlineStr">
        <is>
          <t>Trusted Professional</t>
        </is>
      </c>
      <c r="EB21" s="153" t="inlineStr">
        <is>
          <t>Yes</t>
        </is>
      </c>
      <c r="EC21" s="153" t="inlineStr">
        <is>
          <t>No</t>
        </is>
      </c>
      <c r="ED21" s="153" t="inlineStr">
        <is>
          <t>Yes</t>
        </is>
      </c>
      <c r="EE21" s="153" t="inlineStr">
        <is>
          <t>Virendra Borkar</t>
        </is>
      </c>
      <c r="EF21" s="153" t="inlineStr">
        <is>
          <t>The team needs training for new automation tools.</t>
        </is>
      </c>
      <c r="EG21"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2" ht="64" customHeight="1">
      <c r="A22" s="109" t="inlineStr">
        <is>
          <t>IRIS0292</t>
        </is>
      </c>
      <c r="B22" s="111" t="inlineStr">
        <is>
          <t>Palanikumar Mooppanar</t>
        </is>
      </c>
      <c r="C22" s="111" t="inlineStr">
        <is>
          <t>India Content</t>
        </is>
      </c>
      <c r="D22" s="114" t="inlineStr">
        <is>
          <t>Data Analyst</t>
        </is>
      </c>
      <c r="E22" s="114" t="inlineStr">
        <is>
          <t>Senior Data Analyst</t>
        </is>
      </c>
      <c r="F22" s="114" t="inlineStr">
        <is>
          <t>L3 – Professional / Associate</t>
        </is>
      </c>
      <c r="G22" s="114" t="inlineStr">
        <is>
          <t>A3</t>
        </is>
      </c>
      <c r="H22" s="117" t="inlineStr">
        <is>
          <t>▲ Up</t>
        </is>
      </c>
      <c r="I22" s="111" t="inlineStr">
        <is>
          <t>Data &amp; Analytics</t>
        </is>
      </c>
      <c r="J22" s="111" t="inlineStr">
        <is>
          <t>Financial Data Processing</t>
        </is>
      </c>
      <c r="K22" s="111" t="inlineStr"/>
      <c r="L22" s="111" t="n">
        <v>20</v>
      </c>
      <c r="M22" s="146" t="inlineStr">
        <is>
          <t>P2</t>
        </is>
      </c>
      <c r="N22" s="115" t="inlineStr">
        <is>
          <t>Developing</t>
        </is>
      </c>
      <c r="O22" s="115" t="inlineStr">
        <is>
          <t>3 Apply</t>
        </is>
      </c>
      <c r="P22" s="115" t="inlineStr">
        <is>
          <t>2–4 yrs</t>
        </is>
      </c>
      <c r="Q22" s="115" t="inlineStr">
        <is>
          <t>3–5 · 2–5</t>
        </is>
      </c>
      <c r="R22" s="115" t="inlineStr">
        <is>
          <t>Data Analyst</t>
        </is>
      </c>
      <c r="S22" s="115" t="inlineStr">
        <is>
          <r>
            <rPr>
              <rFont val="Calibri"/>
              <b val="1"/>
              <sz val="10"/>
            </rPr>
            <t>Atlassian company-wide P-levels:</t>
          </r>
          <r>
            <rPr>
              <rFont val="Calibri"/>
              <sz val="10"/>
            </rPr>
            <t xml:space="preserve"> P40 Analyst · IRIS Vs Competitor Benchmark — data analyst ladder: Data Analyst II</t>
          </r>
        </is>
      </c>
      <c r="T22" s="115" t="inlineStr">
        <is>
          <t>DAMA-DMBOK · 11 knowledge areas around data governance</t>
        </is>
      </c>
      <c r="U22" s="115" t="inlineStr">
        <is>
          <t>Core 2 · Future 2 · Functional 3 · Leadership not scored</t>
        </is>
      </c>
      <c r="V22" s="152" t="n">
        <v>47</v>
      </c>
      <c r="W22" s="153" t="inlineStr">
        <is>
          <t>IRIS0292</t>
        </is>
      </c>
      <c r="X22" s="153" t="inlineStr">
        <is>
          <t>Employee</t>
        </is>
      </c>
      <c r="Y22" s="153" t="inlineStr">
        <is>
          <t>Active</t>
        </is>
      </c>
      <c r="Z22" s="153" t="inlineStr">
        <is>
          <t>Palanikumar Mooppanar</t>
        </is>
      </c>
      <c r="AA22" s="235" t="n">
        <v>40098</v>
      </c>
      <c r="AB22" s="153" t="inlineStr">
        <is>
          <t>Data Analyst</t>
        </is>
      </c>
      <c r="AC22" s="153" t="inlineStr">
        <is>
          <t>B.Com</t>
        </is>
      </c>
      <c r="AD22" s="153" t="inlineStr">
        <is>
          <t>Gopal Krishna Sahu</t>
        </is>
      </c>
      <c r="AE22" s="153" t="inlineStr">
        <is>
          <t>N-4</t>
        </is>
      </c>
      <c r="AF22" s="153" t="inlineStr">
        <is>
          <t>Individual Contributor</t>
        </is>
      </c>
      <c r="AG22" s="153" t="inlineStr">
        <is>
          <t>1 years, 6 months, 0 days</t>
        </is>
      </c>
      <c r="AH22" s="153" t="inlineStr">
        <is>
          <t>16 years, 10 months, 13 days</t>
        </is>
      </c>
      <c r="AI22" s="153" t="inlineStr">
        <is>
          <t>Consume</t>
        </is>
      </c>
      <c r="AJ22" s="153" t="inlineStr">
        <is>
          <t>Consume</t>
        </is>
      </c>
      <c r="AK22" s="153" t="inlineStr">
        <is>
          <t>India Content</t>
        </is>
      </c>
      <c r="AL22" s="153" t="inlineStr">
        <is>
          <t>Expert Assisted services</t>
        </is>
      </c>
      <c r="AM22" s="153" t="inlineStr">
        <is>
          <t>No</t>
        </is>
      </c>
      <c r="AN22" s="153" t="inlineStr">
        <is>
          <t>Professional Services</t>
        </is>
      </c>
      <c r="AO22" s="153" t="inlineStr">
        <is>
          <t>Data Processing</t>
        </is>
      </c>
      <c r="AP22" s="153" t="inlineStr">
        <is>
          <t>Non-technical</t>
        </is>
      </c>
      <c r="AQ22" s="153" t="n">
        <v>20</v>
      </c>
      <c r="AR22" s="153" t="inlineStr">
        <is>
          <t>Covered</t>
        </is>
      </c>
      <c r="AS22" s="153" t="n"/>
      <c r="AT22" s="153" t="n"/>
      <c r="AU22" s="153" t="n"/>
      <c r="AV22" s="153" t="n"/>
      <c r="AW22" s="153" t="n"/>
      <c r="AX22" s="153" t="n"/>
      <c r="AY22" s="153" t="n"/>
      <c r="AZ22" s="153" t="n"/>
      <c r="BA22" s="153" t="n"/>
      <c r="BB22" s="153" t="n"/>
      <c r="BC22" s="153" t="n"/>
      <c r="BD22" s="153" t="n"/>
      <c r="BE22" s="153" t="n"/>
      <c r="BF22" s="153" t="n"/>
      <c r="BG22" s="153" t="n"/>
      <c r="BH22" s="153" t="n"/>
      <c r="BI22" s="153" t="n"/>
      <c r="BJ22" s="153" t="n"/>
      <c r="BK22" s="153" t="n"/>
      <c r="BL22" s="153" t="n"/>
      <c r="BM22" s="153" t="n"/>
      <c r="BN22" s="153" t="n"/>
      <c r="BO22" s="153" t="n"/>
      <c r="BP22" s="153" t="n"/>
      <c r="BQ22" s="153" t="n"/>
      <c r="BR22" s="153" t="n"/>
      <c r="BS22" s="153" t="n"/>
      <c r="BT22" s="153" t="n"/>
      <c r="BU22" s="153" t="n"/>
      <c r="BV22" s="153" t="n"/>
      <c r="BW22" s="153" t="n"/>
      <c r="BX22" s="153" t="n"/>
      <c r="BY22" s="153" t="n"/>
      <c r="BZ22" s="153" t="n"/>
      <c r="CA22" s="153" t="n"/>
      <c r="CB22" s="153" t="n"/>
      <c r="CC22" s="153" t="n"/>
      <c r="CD22" s="153" t="n"/>
      <c r="CE22" s="153" t="n"/>
      <c r="CF22" s="153" t="n"/>
      <c r="CG22" s="153" t="n"/>
      <c r="CH22" s="153" t="n"/>
      <c r="CI22" s="153" t="n"/>
      <c r="CJ22" s="153" t="n"/>
      <c r="CK22" s="153" t="n"/>
      <c r="CL22" s="153" t="n"/>
      <c r="CM22" s="153" t="n"/>
      <c r="CN22" s="153" t="n"/>
      <c r="CO22" s="153" t="n"/>
      <c r="CP22" s="153" t="n"/>
      <c r="CQ22" s="153" t="inlineStr">
        <is>
          <t>IRIS0292</t>
        </is>
      </c>
      <c r="CR22" s="153" t="inlineStr">
        <is>
          <t>Employee</t>
        </is>
      </c>
      <c r="CS22" s="153" t="inlineStr">
        <is>
          <t>Active</t>
        </is>
      </c>
      <c r="CT22" s="153" t="inlineStr">
        <is>
          <t>Palani Kumar</t>
        </is>
      </c>
      <c r="CU22" s="154" t="n">
        <v>40098</v>
      </c>
      <c r="CV22" s="153" t="inlineStr">
        <is>
          <t>Data Analyst</t>
        </is>
      </c>
      <c r="CW22" s="153" t="inlineStr">
        <is>
          <t>Consulting &amp; Professional Services</t>
        </is>
      </c>
      <c r="CX22" s="153" t="inlineStr">
        <is>
          <t>Regulatory Content</t>
        </is>
      </c>
      <c r="CY22" s="153" t="inlineStr">
        <is>
          <t>Data Analyst</t>
        </is>
      </c>
      <c r="CZ22" s="153" t="inlineStr">
        <is>
          <t>L3 – Professional / Associate</t>
        </is>
      </c>
      <c r="DA22" s="153" t="inlineStr">
        <is>
          <t>B.Com</t>
        </is>
      </c>
      <c r="DB22" s="153" t="inlineStr">
        <is>
          <t>Gopal Krishna Sahu</t>
        </is>
      </c>
      <c r="DC22" s="153" t="inlineStr">
        <is>
          <t>N-3</t>
        </is>
      </c>
      <c r="DD22" s="153" t="inlineStr">
        <is>
          <t>Individual Contributor</t>
        </is>
      </c>
      <c r="DE22" s="153" t="inlineStr">
        <is>
          <t>1 years, 6 months, 0 days</t>
        </is>
      </c>
      <c r="DF22" s="153" t="inlineStr">
        <is>
          <t>16 years, 8 months, 8 days</t>
        </is>
      </c>
      <c r="DG22" s="153" t="inlineStr">
        <is>
          <t>18 years, 2 months, 8 days</t>
        </is>
      </c>
      <c r="DH22" s="153" t="n"/>
      <c r="DI22" s="153" t="inlineStr">
        <is>
          <t>Consume</t>
        </is>
      </c>
      <c r="DJ22" s="153" t="inlineStr">
        <is>
          <t>Consume</t>
        </is>
      </c>
      <c r="DK22" s="153" t="inlineStr">
        <is>
          <t>India Content</t>
        </is>
      </c>
      <c r="DL22" s="153" t="inlineStr">
        <is>
          <t>Expert Assisted services</t>
        </is>
      </c>
      <c r="DM22" s="153" t="inlineStr">
        <is>
          <t>No</t>
        </is>
      </c>
      <c r="DN22" s="153" t="inlineStr">
        <is>
          <t>Professional Services</t>
        </is>
      </c>
      <c r="DO22" s="153" t="inlineStr">
        <is>
          <t>Data Processing</t>
        </is>
      </c>
      <c r="DP22" s="153" t="inlineStr">
        <is>
          <t>Non-technical</t>
        </is>
      </c>
      <c r="DQ22" s="153" t="inlineStr">
        <is>
          <t>Remote - Mumbai</t>
        </is>
      </c>
      <c r="DR22" s="1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22"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22"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22" s="153" t="n">
        <v>4</v>
      </c>
      <c r="DV22" s="154" t="n">
        <v>45933</v>
      </c>
      <c r="DW22" s="153" t="inlineStr">
        <is>
          <t>Data Analyst Lead</t>
        </is>
      </c>
      <c r="DX22" s="153" t="inlineStr">
        <is>
          <t>No</t>
        </is>
      </c>
      <c r="DY22" s="153" t="n">
        <v>4</v>
      </c>
      <c r="DZ22" s="153" t="inlineStr">
        <is>
          <t>High</t>
        </is>
      </c>
      <c r="EA22" s="153" t="inlineStr">
        <is>
          <t>Future Leader</t>
        </is>
      </c>
      <c r="EB22" s="153" t="inlineStr">
        <is>
          <t>Yes</t>
        </is>
      </c>
      <c r="EC22" s="153" t="inlineStr">
        <is>
          <t>Yes</t>
        </is>
      </c>
      <c r="ED22" s="153" t="inlineStr">
        <is>
          <t>Yes</t>
        </is>
      </c>
      <c r="EE22" s="153" t="inlineStr">
        <is>
          <t>Not Identified</t>
        </is>
      </c>
      <c r="EF22" s="153" t="inlineStr">
        <is>
          <t>The team needs training for new automation tools.</t>
        </is>
      </c>
      <c r="EG22"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3" ht="64" customHeight="1">
      <c r="A23" s="109" t="inlineStr">
        <is>
          <t>IRIS0009</t>
        </is>
      </c>
      <c r="B23" s="111" t="inlineStr">
        <is>
          <t>Prashant Shelar</t>
        </is>
      </c>
      <c r="C23" s="111" t="inlineStr">
        <is>
          <t>India Content</t>
        </is>
      </c>
      <c r="D23" s="114" t="inlineStr">
        <is>
          <t>Data Analyst</t>
        </is>
      </c>
      <c r="E23" s="114" t="inlineStr">
        <is>
          <t>Senior Data Analyst</t>
        </is>
      </c>
      <c r="F23" s="114" t="inlineStr">
        <is>
          <t>L3 – Professional / Associate</t>
        </is>
      </c>
      <c r="G23" s="114" t="inlineStr">
        <is>
          <t>A3</t>
        </is>
      </c>
      <c r="H23" s="117" t="inlineStr">
        <is>
          <t>▲ Up</t>
        </is>
      </c>
      <c r="I23" s="111" t="inlineStr">
        <is>
          <t>Data &amp; Analytics</t>
        </is>
      </c>
      <c r="J23" s="111" t="inlineStr">
        <is>
          <t>Financial Data Processing</t>
        </is>
      </c>
      <c r="K23" s="111" t="inlineStr"/>
      <c r="L23" s="111" t="n">
        <v>20</v>
      </c>
      <c r="M23" s="146" t="inlineStr">
        <is>
          <t>P2</t>
        </is>
      </c>
      <c r="N23" s="115" t="inlineStr">
        <is>
          <t>Developing</t>
        </is>
      </c>
      <c r="O23" s="115" t="inlineStr">
        <is>
          <t>3 Apply</t>
        </is>
      </c>
      <c r="P23" s="115" t="inlineStr">
        <is>
          <t>2–4 yrs</t>
        </is>
      </c>
      <c r="Q23" s="115" t="inlineStr">
        <is>
          <t>3–5 · 2–5</t>
        </is>
      </c>
      <c r="R23" s="115" t="inlineStr">
        <is>
          <t>Data Analyst</t>
        </is>
      </c>
      <c r="S23" s="115" t="inlineStr">
        <is>
          <r>
            <rPr>
              <rFont val="Calibri"/>
              <b val="1"/>
              <sz val="10"/>
            </rPr>
            <t>Atlassian company-wide P-levels:</t>
          </r>
          <r>
            <rPr>
              <rFont val="Calibri"/>
              <sz val="10"/>
            </rPr>
            <t xml:space="preserve"> P40 Analyst · IRIS Vs Competitor Benchmark — data analyst ladder: Data Analyst II</t>
          </r>
        </is>
      </c>
      <c r="T23" s="115" t="inlineStr">
        <is>
          <t>DAMA-DMBOK · 11 knowledge areas around data governance</t>
        </is>
      </c>
      <c r="U23" s="115" t="inlineStr">
        <is>
          <t>Core 2 · Future 2 · Functional 3 · Leadership not scored</t>
        </is>
      </c>
      <c r="V23" s="152" t="n">
        <v>5</v>
      </c>
      <c r="W23" s="153" t="inlineStr">
        <is>
          <t>IRIS0009</t>
        </is>
      </c>
      <c r="X23" s="153" t="inlineStr">
        <is>
          <t>Employee</t>
        </is>
      </c>
      <c r="Y23" s="153" t="inlineStr">
        <is>
          <t>Active</t>
        </is>
      </c>
      <c r="Z23" s="153" t="inlineStr">
        <is>
          <t>Prashant Shelar</t>
        </is>
      </c>
      <c r="AA23" s="235" t="n">
        <v>38200</v>
      </c>
      <c r="AB23" s="153" t="inlineStr">
        <is>
          <t>Data Analyst</t>
        </is>
      </c>
      <c r="AC23" s="153" t="inlineStr">
        <is>
          <t>MBA</t>
        </is>
      </c>
      <c r="AD23" s="153" t="inlineStr">
        <is>
          <t>Gopal Krishna Sahu</t>
        </is>
      </c>
      <c r="AE23" s="153" t="inlineStr">
        <is>
          <t>N-4</t>
        </is>
      </c>
      <c r="AF23" s="153" t="inlineStr">
        <is>
          <t>Individual Contributor</t>
        </is>
      </c>
      <c r="AG23" s="153" t="inlineStr">
        <is>
          <t>0 years, 5 months, 0 days</t>
        </is>
      </c>
      <c r="AH23" s="153" t="inlineStr">
        <is>
          <t>22 years, 0 months, 24 days</t>
        </is>
      </c>
      <c r="AI23" s="153" t="inlineStr">
        <is>
          <t>Consume</t>
        </is>
      </c>
      <c r="AJ23" s="153" t="inlineStr">
        <is>
          <t>Consume</t>
        </is>
      </c>
      <c r="AK23" s="153" t="inlineStr">
        <is>
          <t>India Content</t>
        </is>
      </c>
      <c r="AL23" s="153" t="inlineStr">
        <is>
          <t>Expert Assisted services</t>
        </is>
      </c>
      <c r="AM23" s="153" t="inlineStr">
        <is>
          <t>No</t>
        </is>
      </c>
      <c r="AN23" s="153" t="inlineStr">
        <is>
          <t>Professional Services</t>
        </is>
      </c>
      <c r="AO23" s="153" t="inlineStr">
        <is>
          <t>Data Processing</t>
        </is>
      </c>
      <c r="AP23" s="153" t="inlineStr">
        <is>
          <t>Non-technical</t>
        </is>
      </c>
      <c r="AQ23" s="153" t="n">
        <v>20</v>
      </c>
      <c r="AR23" s="153" t="inlineStr">
        <is>
          <t>Covered</t>
        </is>
      </c>
      <c r="AS23" s="153" t="n"/>
      <c r="AT23" s="153" t="n"/>
      <c r="AU23" s="153" t="n"/>
      <c r="AV23" s="153" t="n"/>
      <c r="AW23" s="153" t="n"/>
      <c r="AX23" s="153" t="n"/>
      <c r="AY23" s="153" t="n"/>
      <c r="AZ23" s="153" t="n"/>
      <c r="BA23" s="153" t="n"/>
      <c r="BB23" s="153" t="n"/>
      <c r="BC23" s="153" t="n"/>
      <c r="BD23" s="153" t="n"/>
      <c r="BE23" s="153" t="n"/>
      <c r="BF23" s="153" t="n"/>
      <c r="BG23" s="153" t="n"/>
      <c r="BH23" s="153" t="n"/>
      <c r="BI23" s="153" t="n"/>
      <c r="BJ23" s="153" t="n"/>
      <c r="BK23" s="153" t="n"/>
      <c r="BL23" s="153" t="n"/>
      <c r="BM23" s="153" t="n"/>
      <c r="BN23" s="153" t="n"/>
      <c r="BO23" s="153" t="n"/>
      <c r="BP23" s="153" t="n"/>
      <c r="BQ23" s="153" t="n"/>
      <c r="BR23" s="153" t="n"/>
      <c r="BS23" s="153" t="n"/>
      <c r="BT23" s="153" t="n"/>
      <c r="BU23" s="153" t="n"/>
      <c r="BV23" s="153" t="n"/>
      <c r="BW23" s="153" t="n"/>
      <c r="BX23" s="153" t="n"/>
      <c r="BY23" s="153" t="n"/>
      <c r="BZ23" s="153" t="n"/>
      <c r="CA23" s="153" t="n"/>
      <c r="CB23" s="153" t="n"/>
      <c r="CC23" s="153" t="n"/>
      <c r="CD23" s="153" t="n"/>
      <c r="CE23" s="153" t="n"/>
      <c r="CF23" s="153" t="n"/>
      <c r="CG23" s="153" t="n"/>
      <c r="CH23" s="153" t="n"/>
      <c r="CI23" s="153" t="n"/>
      <c r="CJ23" s="153" t="n"/>
      <c r="CK23" s="153" t="n"/>
      <c r="CL23" s="153" t="n"/>
      <c r="CM23" s="153" t="n"/>
      <c r="CN23" s="153" t="n"/>
      <c r="CO23" s="153" t="n"/>
      <c r="CP23" s="153" t="n"/>
      <c r="CQ23" s="153" t="inlineStr">
        <is>
          <t>IRIS0009</t>
        </is>
      </c>
      <c r="CR23" s="153" t="inlineStr">
        <is>
          <t>Employee</t>
        </is>
      </c>
      <c r="CS23" s="153" t="inlineStr">
        <is>
          <t>Active</t>
        </is>
      </c>
      <c r="CT23" s="153" t="inlineStr">
        <is>
          <t>Prashant Shelar</t>
        </is>
      </c>
      <c r="CU23" s="154" t="n">
        <v>38200</v>
      </c>
      <c r="CV23" s="153" t="inlineStr">
        <is>
          <t>Data Analyst</t>
        </is>
      </c>
      <c r="CW23" s="153" t="inlineStr">
        <is>
          <t>Consulting &amp; Professional Services</t>
        </is>
      </c>
      <c r="CX23" s="153" t="inlineStr">
        <is>
          <t>Regulatory Content</t>
        </is>
      </c>
      <c r="CY23" s="153" t="inlineStr">
        <is>
          <t>Data Analyst</t>
        </is>
      </c>
      <c r="CZ23" s="153" t="inlineStr">
        <is>
          <t>L3 – Professional / Associate</t>
        </is>
      </c>
      <c r="DA23" s="153" t="inlineStr">
        <is>
          <t>MBA</t>
        </is>
      </c>
      <c r="DB23" s="153" t="inlineStr">
        <is>
          <t>Gopal Krishna Sahu</t>
        </is>
      </c>
      <c r="DC23" s="153" t="inlineStr">
        <is>
          <t>N-3</t>
        </is>
      </c>
      <c r="DD23" s="153" t="inlineStr">
        <is>
          <t>Individual Contributor</t>
        </is>
      </c>
      <c r="DE23" s="153" t="inlineStr">
        <is>
          <t>0 years, 5 months, 0 days</t>
        </is>
      </c>
      <c r="DF23" s="153" t="inlineStr">
        <is>
          <t>21 years, 10 months, 19 days</t>
        </is>
      </c>
      <c r="DG23" s="153" t="inlineStr">
        <is>
          <t>22 years, 3 months, 19 days</t>
        </is>
      </c>
      <c r="DH23" s="153" t="n"/>
      <c r="DI23" s="153" t="inlineStr">
        <is>
          <t>Consume</t>
        </is>
      </c>
      <c r="DJ23" s="153" t="inlineStr">
        <is>
          <t>Consume</t>
        </is>
      </c>
      <c r="DK23" s="153" t="inlineStr">
        <is>
          <t>India Content</t>
        </is>
      </c>
      <c r="DL23" s="153" t="inlineStr">
        <is>
          <t>Expert Assisted services</t>
        </is>
      </c>
      <c r="DM23" s="153" t="inlineStr">
        <is>
          <t>No</t>
        </is>
      </c>
      <c r="DN23" s="153" t="inlineStr">
        <is>
          <t>Professional Services</t>
        </is>
      </c>
      <c r="DO23" s="153" t="inlineStr">
        <is>
          <t>Data Processing</t>
        </is>
      </c>
      <c r="DP23" s="153" t="inlineStr">
        <is>
          <t>Non-technical</t>
        </is>
      </c>
      <c r="DQ23" s="153" t="inlineStr">
        <is>
          <t>Remote - Mumbai</t>
        </is>
      </c>
      <c r="DR23" s="1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23"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23"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23" s="153" t="n">
        <v>1</v>
      </c>
      <c r="DV23" s="154" t="n">
        <v>45929</v>
      </c>
      <c r="DW23" s="153" t="inlineStr">
        <is>
          <t>Data Analyst</t>
        </is>
      </c>
      <c r="DX23" s="153" t="inlineStr">
        <is>
          <t>No</t>
        </is>
      </c>
      <c r="DY23" s="153" t="n">
        <v>1</v>
      </c>
      <c r="DZ23" s="153" t="inlineStr">
        <is>
          <t>Low</t>
        </is>
      </c>
      <c r="EA23" s="153" t="inlineStr">
        <is>
          <t>Misplaced Talent / Enigma</t>
        </is>
      </c>
      <c r="EB23" s="153" t="inlineStr">
        <is>
          <t>No</t>
        </is>
      </c>
      <c r="EC23" s="153" t="inlineStr">
        <is>
          <t>No</t>
        </is>
      </c>
      <c r="ED23" s="153" t="inlineStr">
        <is>
          <t>Yes</t>
        </is>
      </c>
      <c r="EE23" s="153" t="inlineStr">
        <is>
          <t>Not Identified</t>
        </is>
      </c>
      <c r="EF23" s="153" t="inlineStr">
        <is>
          <t>The team needs training for new automation tools.</t>
        </is>
      </c>
      <c r="EG23"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4" ht="64" customHeight="1">
      <c r="A24" s="109" t="inlineStr">
        <is>
          <t>IRIS0030</t>
        </is>
      </c>
      <c r="B24" s="111" t="inlineStr">
        <is>
          <t>Swapnil Katrat</t>
        </is>
      </c>
      <c r="C24" s="111" t="inlineStr">
        <is>
          <t>India Content</t>
        </is>
      </c>
      <c r="D24" s="114" t="inlineStr">
        <is>
          <t>Data Analyst</t>
        </is>
      </c>
      <c r="E24" s="114" t="inlineStr">
        <is>
          <t>Senior Data Analyst</t>
        </is>
      </c>
      <c r="F24" s="114" t="inlineStr">
        <is>
          <t>L3 – Professional / Associate</t>
        </is>
      </c>
      <c r="G24" s="114" t="inlineStr">
        <is>
          <t>A3</t>
        </is>
      </c>
      <c r="H24" s="117" t="inlineStr">
        <is>
          <t>▲ Up</t>
        </is>
      </c>
      <c r="I24" s="111" t="inlineStr">
        <is>
          <t>Data &amp; Analytics</t>
        </is>
      </c>
      <c r="J24" s="111" t="inlineStr">
        <is>
          <t>Financial Data Processing</t>
        </is>
      </c>
      <c r="K24" s="111" t="inlineStr"/>
      <c r="L24" s="111" t="n">
        <v>7</v>
      </c>
      <c r="M24" s="146" t="inlineStr">
        <is>
          <t>P2</t>
        </is>
      </c>
      <c r="N24" s="115" t="inlineStr">
        <is>
          <t>Developing</t>
        </is>
      </c>
      <c r="O24" s="115" t="inlineStr">
        <is>
          <t>3 Apply</t>
        </is>
      </c>
      <c r="P24" s="115" t="inlineStr">
        <is>
          <t>2–4 yrs</t>
        </is>
      </c>
      <c r="Q24" s="115" t="inlineStr">
        <is>
          <t>3–5 · 2–5</t>
        </is>
      </c>
      <c r="R24" s="115" t="inlineStr">
        <is>
          <t>Data Analyst</t>
        </is>
      </c>
      <c r="S24" s="115" t="inlineStr">
        <is>
          <r>
            <rPr>
              <rFont val="Calibri"/>
              <b val="1"/>
              <sz val="10"/>
            </rPr>
            <t>Atlassian company-wide P-levels:</t>
          </r>
          <r>
            <rPr>
              <rFont val="Calibri"/>
              <sz val="10"/>
            </rPr>
            <t xml:space="preserve"> P40 Analyst · IRIS Vs Competitor Benchmark — data analyst ladder: Data Analyst II</t>
          </r>
        </is>
      </c>
      <c r="T24" s="115" t="inlineStr">
        <is>
          <t>DAMA-DMBOK · 11 knowledge areas around data governance</t>
        </is>
      </c>
      <c r="U24" s="115" t="inlineStr">
        <is>
          <t>Core 2 · Future 2 · Functional 3 · Leadership not scored</t>
        </is>
      </c>
      <c r="V24" s="152" t="n">
        <v>15</v>
      </c>
      <c r="W24" s="153" t="inlineStr">
        <is>
          <t>IRIS0030</t>
        </is>
      </c>
      <c r="X24" s="153" t="inlineStr">
        <is>
          <t>Employee</t>
        </is>
      </c>
      <c r="Y24" s="153" t="inlineStr">
        <is>
          <t>Active</t>
        </is>
      </c>
      <c r="Z24" s="153" t="inlineStr">
        <is>
          <t>Swapnil Katrat</t>
        </is>
      </c>
      <c r="AA24" s="235" t="n">
        <v>38596</v>
      </c>
      <c r="AB24" s="153" t="inlineStr">
        <is>
          <t>Data Analyst</t>
        </is>
      </c>
      <c r="AC24" s="153" t="inlineStr">
        <is>
          <t>B.Com</t>
        </is>
      </c>
      <c r="AD24" s="153" t="inlineStr">
        <is>
          <t>Gopal Krishna Sahu</t>
        </is>
      </c>
      <c r="AE24" s="153" t="inlineStr">
        <is>
          <t>N-4</t>
        </is>
      </c>
      <c r="AF24" s="153" t="inlineStr">
        <is>
          <t>Individual Contributor</t>
        </is>
      </c>
      <c r="AG24" s="153" t="inlineStr">
        <is>
          <t>0 years, 0 months, 0 days</t>
        </is>
      </c>
      <c r="AH24" s="153" t="inlineStr">
        <is>
          <t>20 years, 11 months, 24 days</t>
        </is>
      </c>
      <c r="AI24" s="153" t="inlineStr">
        <is>
          <t>Consume</t>
        </is>
      </c>
      <c r="AJ24" s="153" t="inlineStr">
        <is>
          <t>Consume</t>
        </is>
      </c>
      <c r="AK24" s="153" t="inlineStr">
        <is>
          <t>India Content</t>
        </is>
      </c>
      <c r="AL24" s="153" t="inlineStr">
        <is>
          <t>Expert Assisted services</t>
        </is>
      </c>
      <c r="AM24" s="153" t="inlineStr">
        <is>
          <t>No</t>
        </is>
      </c>
      <c r="AN24" s="153" t="inlineStr">
        <is>
          <t>Professional Services</t>
        </is>
      </c>
      <c r="AO24" s="153" t="inlineStr">
        <is>
          <t>Data Processing</t>
        </is>
      </c>
      <c r="AP24" s="153" t="inlineStr">
        <is>
          <t>Non-technical</t>
        </is>
      </c>
      <c r="AQ24" s="153" t="n">
        <v>20</v>
      </c>
      <c r="AR24" s="153" t="inlineStr">
        <is>
          <t>Covered</t>
        </is>
      </c>
      <c r="AS24" s="153" t="n"/>
      <c r="AT24" s="153" t="n"/>
      <c r="AU24" s="153" t="n"/>
      <c r="AV24" s="153" t="n"/>
      <c r="AW24" s="153" t="n"/>
      <c r="AX24" s="153" t="n"/>
      <c r="AY24" s="153" t="n"/>
      <c r="AZ24" s="153" t="n"/>
      <c r="BA24" s="153" t="n"/>
      <c r="BB24" s="153" t="n"/>
      <c r="BC24" s="153" t="n"/>
      <c r="BD24" s="153" t="n"/>
      <c r="BE24" s="153" t="n"/>
      <c r="BF24" s="153" t="n"/>
      <c r="BG24" s="153" t="n"/>
      <c r="BH24" s="153" t="n"/>
      <c r="BI24" s="153" t="n"/>
      <c r="BJ24" s="153" t="n"/>
      <c r="BK24" s="153" t="n"/>
      <c r="BL24" s="153" t="n"/>
      <c r="BM24" s="153" t="n"/>
      <c r="BN24" s="153" t="n"/>
      <c r="BO24" s="153" t="n"/>
      <c r="BP24" s="153" t="n"/>
      <c r="BQ24" s="153" t="n"/>
      <c r="BR24" s="153" t="n"/>
      <c r="BS24" s="153" t="n"/>
      <c r="BT24" s="153" t="n"/>
      <c r="BU24" s="153" t="n"/>
      <c r="BV24" s="153" t="n"/>
      <c r="BW24" s="153" t="n"/>
      <c r="BX24" s="153" t="n"/>
      <c r="BY24" s="153" t="n"/>
      <c r="BZ24" s="153" t="n"/>
      <c r="CA24" s="153" t="n"/>
      <c r="CB24" s="153" t="n"/>
      <c r="CC24" s="153" t="n"/>
      <c r="CD24" s="153" t="n"/>
      <c r="CE24" s="153" t="n"/>
      <c r="CF24" s="153" t="n"/>
      <c r="CG24" s="153" t="n"/>
      <c r="CH24" s="153" t="n"/>
      <c r="CI24" s="153" t="n"/>
      <c r="CJ24" s="153" t="n"/>
      <c r="CK24" s="153" t="n"/>
      <c r="CL24" s="153" t="n"/>
      <c r="CM24" s="153" t="n"/>
      <c r="CN24" s="153" t="n"/>
      <c r="CO24" s="153" t="n"/>
      <c r="CP24" s="153" t="n"/>
      <c r="CQ24" s="153" t="inlineStr">
        <is>
          <t>IRIS0030</t>
        </is>
      </c>
      <c r="CR24" s="153" t="inlineStr">
        <is>
          <t>Employee</t>
        </is>
      </c>
      <c r="CS24" s="153" t="inlineStr">
        <is>
          <t>Active</t>
        </is>
      </c>
      <c r="CT24" s="153" t="inlineStr">
        <is>
          <t>Swapnil Katrat</t>
        </is>
      </c>
      <c r="CU24" s="154" t="n">
        <v>38596</v>
      </c>
      <c r="CV24" s="153" t="inlineStr">
        <is>
          <t>Data Analyst</t>
        </is>
      </c>
      <c r="CW24" s="153" t="inlineStr">
        <is>
          <t>Consulting &amp; Professional Services</t>
        </is>
      </c>
      <c r="CX24" s="153" t="inlineStr">
        <is>
          <t>Regulatory Content</t>
        </is>
      </c>
      <c r="CY24" s="153" t="inlineStr">
        <is>
          <t>Data Analyst</t>
        </is>
      </c>
      <c r="CZ24" s="153" t="inlineStr">
        <is>
          <t>L3 – Professional / Associate</t>
        </is>
      </c>
      <c r="DA24" s="153" t="inlineStr">
        <is>
          <t>B.Com</t>
        </is>
      </c>
      <c r="DB24" s="153" t="inlineStr">
        <is>
          <t>Gopal Krishna Sahu</t>
        </is>
      </c>
      <c r="DC24" s="153" t="inlineStr">
        <is>
          <t>N-3</t>
        </is>
      </c>
      <c r="DD24" s="153" t="inlineStr">
        <is>
          <t>Individual Contributor</t>
        </is>
      </c>
      <c r="DE24" s="153" t="inlineStr">
        <is>
          <t>0 years, 0 months, 0 days</t>
        </is>
      </c>
      <c r="DF24" s="153" t="inlineStr">
        <is>
          <t>20 years, 9 months, 19 days</t>
        </is>
      </c>
      <c r="DG24" s="153" t="inlineStr">
        <is>
          <t>20 years, 9 months, 19 days</t>
        </is>
      </c>
      <c r="DH24" s="153" t="n"/>
      <c r="DI24" s="153" t="inlineStr">
        <is>
          <t>Consume</t>
        </is>
      </c>
      <c r="DJ24" s="153" t="inlineStr">
        <is>
          <t>Consume</t>
        </is>
      </c>
      <c r="DK24" s="153" t="inlineStr">
        <is>
          <t>India Content</t>
        </is>
      </c>
      <c r="DL24" s="153" t="inlineStr">
        <is>
          <t>Expert Assisted services</t>
        </is>
      </c>
      <c r="DM24" s="153" t="inlineStr">
        <is>
          <t>No</t>
        </is>
      </c>
      <c r="DN24" s="153" t="inlineStr">
        <is>
          <t>Professional Services</t>
        </is>
      </c>
      <c r="DO24" s="153" t="inlineStr">
        <is>
          <t>Data Processing</t>
        </is>
      </c>
      <c r="DP24" s="153" t="inlineStr">
        <is>
          <t>Non-technical</t>
        </is>
      </c>
      <c r="DQ24" s="153" t="inlineStr">
        <is>
          <t>Remote - Mumbai</t>
        </is>
      </c>
      <c r="DR24" s="1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DS24" s="1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DT24" s="1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DU24" s="153" t="n">
        <v>3</v>
      </c>
      <c r="DV24" s="154" t="n">
        <v>45933</v>
      </c>
      <c r="DW24" s="153" t="inlineStr">
        <is>
          <t>Data Analyst</t>
        </is>
      </c>
      <c r="DX24" s="153" t="inlineStr">
        <is>
          <t>No</t>
        </is>
      </c>
      <c r="DY24" s="153" t="n">
        <v>3</v>
      </c>
      <c r="DZ24" s="153" t="inlineStr">
        <is>
          <t>Medium</t>
        </is>
      </c>
      <c r="EA24" s="153" t="inlineStr">
        <is>
          <t>Trusted Professional</t>
        </is>
      </c>
      <c r="EB24" s="153" t="inlineStr">
        <is>
          <t>Yes</t>
        </is>
      </c>
      <c r="EC24" s="153" t="inlineStr">
        <is>
          <t>Yes</t>
        </is>
      </c>
      <c r="ED24" s="153" t="inlineStr">
        <is>
          <t>Yes</t>
        </is>
      </c>
      <c r="EE24" s="153" t="inlineStr">
        <is>
          <t>Virendra Borkar</t>
        </is>
      </c>
      <c r="EF24" s="153" t="inlineStr">
        <is>
          <t>The team needs training for new automation tools.</t>
        </is>
      </c>
      <c r="EG24"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5" ht="64" customHeight="1">
      <c r="A25" s="109" t="inlineStr">
        <is>
          <t>IRIS0724</t>
        </is>
      </c>
      <c r="B25" s="111" t="inlineStr">
        <is>
          <t>Nishant Kohakade</t>
        </is>
      </c>
      <c r="C25" s="111" t="inlineStr">
        <is>
          <t>Technology</t>
        </is>
      </c>
      <c r="D25" s="111" t="inlineStr">
        <is>
          <t>Lead Software Engineer</t>
        </is>
      </c>
      <c r="E25" s="111" t="inlineStr">
        <is>
          <t>Lead Software Engineer</t>
        </is>
      </c>
      <c r="F25" s="111" t="inlineStr">
        <is>
          <t>L5 – Lead · IC</t>
        </is>
      </c>
      <c r="G25" s="27" t="inlineStr">
        <is>
          <t>B3</t>
        </is>
      </c>
      <c r="H25" s="142" t="inlineStr">
        <is>
          <t>• Same level</t>
        </is>
      </c>
      <c r="I25" s="111" t="inlineStr">
        <is>
          <t>Engineering &amp; Development</t>
        </is>
      </c>
      <c r="J25" s="111" t="inlineStr">
        <is>
          <t>Application Maintenance &amp; Production Support</t>
        </is>
      </c>
      <c r="K25" s="145" t="inlineStr">
        <is>
          <t>• Confirm the reporting line — Manager</t>
        </is>
      </c>
      <c r="L25" s="111" t="n">
        <v>19</v>
      </c>
      <c r="M25" s="146" t="inlineStr">
        <is>
          <t>P5 / M4</t>
        </is>
      </c>
      <c r="N25" s="115" t="inlineStr">
        <is>
          <t>Expert / Senior Manager</t>
        </is>
      </c>
      <c r="O25" s="115" t="inlineStr">
        <is>
          <t>5 Ensure, advise</t>
        </is>
      </c>
      <c r="P25" s="115" t="inlineStr">
        <is>
          <t>8–12 yrs</t>
        </is>
      </c>
      <c r="Q25" s="115" t="inlineStr">
        <is>
          <t>9–13 · 9–14</t>
        </is>
      </c>
      <c r="R25" s="115" t="inlineStr">
        <is>
          <t>Principal Engineer</t>
        </is>
      </c>
      <c r="S25" s="115" t="inlineStr">
        <is>
          <r>
            <rPr>
              <rFont val="Calibri"/>
              <b val="1"/>
              <sz val="10"/>
            </rPr>
            <t>Workiva:</t>
          </r>
          <r>
            <rPr>
              <rFont val="Calibri"/>
              <sz val="10"/>
            </rPr>
            <t xml:space="preserve"> Staff SE · Broadridge India: Senior Lead SE · Nasdaq / AxiomSL: Lead SE · Salesforce: LMTS · Atlassian: P50 Senior · Freshworks: Staff SE</t>
          </r>
        </is>
      </c>
      <c r="T25" s="115" t="inlineStr">
        <is>
          <t>SFIA 9 · software development, programming; OWASP secure coding; cloud vendor certifications</t>
        </is>
      </c>
      <c r="U25" s="115" t="inlineStr">
        <is>
          <t>Core 4 · Future 3 · Functional 4 · Leadership 3</t>
        </is>
      </c>
      <c r="V25" s="152" t="n">
        <v>50</v>
      </c>
      <c r="W25" s="153" t="inlineStr">
        <is>
          <t>IRIS0724</t>
        </is>
      </c>
      <c r="X25" s="153" t="inlineStr">
        <is>
          <t>Employee</t>
        </is>
      </c>
      <c r="Y25" s="153" t="inlineStr">
        <is>
          <t>Active</t>
        </is>
      </c>
      <c r="Z25" s="153" t="inlineStr">
        <is>
          <t>Nishant Kohakade</t>
        </is>
      </c>
      <c r="AA25" s="235" t="n">
        <v>40252</v>
      </c>
      <c r="AB25" s="153" t="inlineStr">
        <is>
          <t>Lead Software Engineer</t>
        </is>
      </c>
      <c r="AC25" s="153" t="inlineStr">
        <is>
          <t>B.E</t>
        </is>
      </c>
      <c r="AD25" s="153" t="inlineStr">
        <is>
          <t>Zakiruddin Shaikh</t>
        </is>
      </c>
      <c r="AE25" s="153" t="inlineStr">
        <is>
          <t>N-4</t>
        </is>
      </c>
      <c r="AF25" s="153" t="inlineStr">
        <is>
          <t>Individual Contributor</t>
        </is>
      </c>
      <c r="AG25" s="153" t="inlineStr">
        <is>
          <t>3 years, 0 months, 0 days</t>
        </is>
      </c>
      <c r="AH25" s="153" t="inlineStr">
        <is>
          <t>16 years, 5 months, 10 days</t>
        </is>
      </c>
      <c r="AI25" s="153" t="inlineStr">
        <is>
          <t>Consume</t>
        </is>
      </c>
      <c r="AJ25" s="153" t="inlineStr">
        <is>
          <t>Consume</t>
        </is>
      </c>
      <c r="AK25" s="153" t="inlineStr">
        <is>
          <t>Technology</t>
        </is>
      </c>
      <c r="AL25" s="153" t="inlineStr">
        <is>
          <t>Development</t>
        </is>
      </c>
      <c r="AM25" s="153" t="inlineStr">
        <is>
          <t>Yes</t>
        </is>
      </c>
      <c r="AN25" s="153" t="inlineStr">
        <is>
          <t>Product/Project</t>
        </is>
      </c>
      <c r="AO25" s="153" t="inlineStr">
        <is>
          <t>.NET MVC</t>
        </is>
      </c>
      <c r="AP25" s="153" t="inlineStr">
        <is>
          <t>Technical - Developer</t>
        </is>
      </c>
      <c r="AQ25" s="153" t="n">
        <v>20</v>
      </c>
      <c r="AR25" s="153" t="inlineStr">
        <is>
          <t>Covered</t>
        </is>
      </c>
      <c r="AS25" s="153" t="n"/>
      <c r="AT25" s="153" t="n"/>
      <c r="AU25" s="153" t="n"/>
      <c r="AV25" s="153" t="n"/>
      <c r="AW25" s="153" t="n"/>
      <c r="AX25" s="153" t="n"/>
      <c r="AY25" s="153" t="n"/>
      <c r="AZ25" s="153" t="n"/>
      <c r="BA25" s="153" t="n"/>
      <c r="BB25" s="153" t="n"/>
      <c r="BC25" s="153" t="n"/>
      <c r="BD25" s="153" t="n"/>
      <c r="BE25" s="153" t="n"/>
      <c r="BF25" s="153" t="n"/>
      <c r="BG25" s="153" t="n"/>
      <c r="BH25" s="153" t="n"/>
      <c r="BI25" s="153" t="n"/>
      <c r="BJ25" s="153" t="n"/>
      <c r="BK25" s="153" t="n"/>
      <c r="BL25" s="153" t="n"/>
      <c r="BM25" s="153" t="n"/>
      <c r="BN25" s="153" t="n"/>
      <c r="BO25" s="153" t="n"/>
      <c r="BP25" s="153" t="n"/>
      <c r="BQ25" s="153" t="n"/>
      <c r="BR25" s="153" t="n"/>
      <c r="BS25" s="153" t="n"/>
      <c r="BT25" s="153" t="n"/>
      <c r="BU25" s="153" t="n"/>
      <c r="BV25" s="153" t="n"/>
      <c r="BW25" s="153" t="n"/>
      <c r="BX25" s="153" t="n"/>
      <c r="BY25" s="153" t="n"/>
      <c r="BZ25" s="153" t="n"/>
      <c r="CA25" s="153" t="n"/>
      <c r="CB25" s="153" t="n"/>
      <c r="CC25" s="153" t="n"/>
      <c r="CD25" s="153" t="n"/>
      <c r="CE25" s="153" t="n"/>
      <c r="CF25" s="153" t="n"/>
      <c r="CG25" s="153" t="n"/>
      <c r="CH25" s="153" t="n"/>
      <c r="CI25" s="153" t="n"/>
      <c r="CJ25" s="153" t="n"/>
      <c r="CK25" s="153" t="n"/>
      <c r="CL25" s="153" t="n"/>
      <c r="CM25" s="153" t="n"/>
      <c r="CN25" s="153" t="n"/>
      <c r="CO25" s="153" t="n"/>
      <c r="CP25" s="153" t="n"/>
      <c r="CQ25" s="153" t="inlineStr">
        <is>
          <t>IRIS0724</t>
        </is>
      </c>
      <c r="CR25" s="153" t="inlineStr">
        <is>
          <t>Employee</t>
        </is>
      </c>
      <c r="CS25" s="153" t="inlineStr">
        <is>
          <t>Active</t>
        </is>
      </c>
      <c r="CT25" s="153" t="inlineStr">
        <is>
          <t>Nishant Kohakade</t>
        </is>
      </c>
      <c r="CU25" s="154" t="n">
        <v>40252</v>
      </c>
      <c r="CV25" s="153" t="inlineStr">
        <is>
          <t>Lead Software Engineer</t>
        </is>
      </c>
      <c r="CW25" s="153" t="inlineStr">
        <is>
          <t>Engineering &amp; Development</t>
        </is>
      </c>
      <c r="CX25" s="153" t="inlineStr">
        <is>
          <t>Backend Engineering ·.NET</t>
        </is>
      </c>
      <c r="CY25" s="153" t="inlineStr">
        <is>
          <t>Lead Software Engineer</t>
        </is>
      </c>
      <c r="CZ25" s="153" t="inlineStr">
        <is>
          <t>L5 – Lead · IC</t>
        </is>
      </c>
      <c r="DA25" s="153" t="inlineStr">
        <is>
          <t>B.E</t>
        </is>
      </c>
      <c r="DB25" s="153" t="inlineStr">
        <is>
          <t>Zakiruddin Shaikh</t>
        </is>
      </c>
      <c r="DC25" s="153" t="inlineStr">
        <is>
          <t>N-4</t>
        </is>
      </c>
      <c r="DD25" s="153" t="inlineStr">
        <is>
          <t>Individual Contributor</t>
        </is>
      </c>
      <c r="DE25" s="153" t="inlineStr">
        <is>
          <t>3 years, 0 months, 0 days</t>
        </is>
      </c>
      <c r="DF25" s="153" t="inlineStr">
        <is>
          <t>16 years, 3 months, 5 days</t>
        </is>
      </c>
      <c r="DG25" s="153" t="inlineStr">
        <is>
          <t>19 years, 3 months, 5 days</t>
        </is>
      </c>
      <c r="DH25" s="153" t="n"/>
      <c r="DI25" s="153" t="inlineStr">
        <is>
          <t>Consume</t>
        </is>
      </c>
      <c r="DJ25" s="153" t="inlineStr">
        <is>
          <t>Consume</t>
        </is>
      </c>
      <c r="DK25" s="153" t="inlineStr">
        <is>
          <t>Technology</t>
        </is>
      </c>
      <c r="DL25" s="153" t="inlineStr">
        <is>
          <t>Development</t>
        </is>
      </c>
      <c r="DM25" s="153" t="inlineStr">
        <is>
          <t>Yes</t>
        </is>
      </c>
      <c r="DN25" s="153" t="inlineStr">
        <is>
          <t>Product/Project</t>
        </is>
      </c>
      <c r="DO25" s="153" t="inlineStr">
        <is>
          <t>.NET MVC</t>
        </is>
      </c>
      <c r="DP25" s="153" t="inlineStr">
        <is>
          <t>Technical - Developer</t>
        </is>
      </c>
      <c r="DQ25" s="153" t="inlineStr">
        <is>
          <t>Client Side</t>
        </is>
      </c>
      <c r="DR25" s="153" t="n"/>
      <c r="DS25" s="1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DT25" s="153" t="inlineStr">
        <is>
          <r>
            <rPr>
              <rFont val="Calibri"/>
              <b val="1"/>
              <sz val="10"/>
            </rPr>
            <t>Q1:</t>
          </r>
          <r>
            <rPr>
              <rFont val="Calibri"/>
              <sz val="10"/>
            </rPr>
            <t xml:space="preserve">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t>
          </r>
          <r>
            <rPr>
              <rFont val="Calibri"/>
              <b val="1"/>
              <sz val="10"/>
            </rPr>
            <t>Q1:</t>
          </r>
          <r>
            <rPr>
              <rFont val="Calibri"/>
              <sz val="10"/>
            </rPr>
            <t xml:space="preserve">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t>
          </r>
          <r>
            <rPr>
              <rFont val="Calibri"/>
              <b val="1"/>
              <sz val="10"/>
            </rPr>
            <t>Q1:</t>
          </r>
          <r>
            <rPr>
              <rFont val="Calibri"/>
              <sz val="10"/>
            </rPr>
            <t xml:space="preserve"> Resolve assigned production/critical bugs within agreed SLA · &gt;=95% within SLA
Nishant consistently resolves assigned critical defects within the agreed Service Level Agreements · SLAs, achieving a compliance rate of 95% or higher.
</t>
          </r>
          <r>
            <rPr>
              <rFont val="Calibri"/>
              <b val="1"/>
              <sz val="10"/>
            </rPr>
            <t>Q1:</t>
          </r>
          <r>
            <rPr>
              <rFont val="Calibri"/>
              <sz val="10"/>
            </rPr>
            <t xml:space="preserve"> Improve unit-test / automated coverage on owned modules by &gt;=15 percentage points
Yes.</t>
          </r>
        </is>
      </c>
      <c r="DU25" s="153" t="n"/>
      <c r="DV25" s="153" t="n"/>
      <c r="DW25" s="153" t="inlineStr">
        <is>
          <t>Lead Software Engineer</t>
        </is>
      </c>
      <c r="DX25" s="153" t="inlineStr">
        <is>
          <t>Yes, Potential to work as solution architect</t>
        </is>
      </c>
      <c r="DY25" s="153" t="n">
        <v>5</v>
      </c>
      <c r="DZ25" s="153" t="inlineStr">
        <is>
          <t>High</t>
        </is>
      </c>
      <c r="EA25" s="153" t="inlineStr">
        <is>
          <t>Future Leader</t>
        </is>
      </c>
      <c r="EB25" s="153" t="inlineStr">
        <is>
          <t>Yes</t>
        </is>
      </c>
      <c r="EC25" s="153" t="inlineStr">
        <is>
          <t>Yes</t>
        </is>
      </c>
      <c r="ED25" s="153" t="inlineStr">
        <is>
          <t>Yes</t>
        </is>
      </c>
      <c r="EE25" s="153" t="n"/>
      <c r="EF25" s="153" t="inlineStr">
        <is>
          <t>Advanced .NET MVC; secure coding &amp; code-quality practices; unit/automated testing; system design fundamentals</t>
        </is>
      </c>
      <c r="EG25"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6" ht="64" customHeight="1">
      <c r="A26" s="109" t="inlineStr">
        <is>
          <t>IRIS1952</t>
        </is>
      </c>
      <c r="B26" s="111" t="inlineStr">
        <is>
          <t>Zakiruddin Shaikh</t>
        </is>
      </c>
      <c r="C26" s="111" t="inlineStr">
        <is>
          <t>Technology</t>
        </is>
      </c>
      <c r="D26" s="111" t="inlineStr">
        <is>
          <t>Project Manager</t>
        </is>
      </c>
      <c r="E26" s="111" t="inlineStr">
        <is>
          <t>Project Manager</t>
        </is>
      </c>
      <c r="F26" s="111" t="inlineStr">
        <is>
          <t>L5 – Manager</t>
        </is>
      </c>
      <c r="G26" s="27" t="inlineStr">
        <is>
          <t>B2</t>
        </is>
      </c>
      <c r="H26" s="142" t="inlineStr">
        <is>
          <t>• Same level</t>
        </is>
      </c>
      <c r="I26" s="111" t="inlineStr">
        <is>
          <t>Project &amp; Program Management</t>
        </is>
      </c>
      <c r="J26" s="111" t="inlineStr">
        <is>
          <t>Project &amp; Program Delivery</t>
        </is>
      </c>
      <c r="K26" s="111" t="inlineStr"/>
      <c r="L26" s="111" t="n">
        <v>20</v>
      </c>
      <c r="M26" s="146" t="inlineStr">
        <is>
          <t>P4 / M3</t>
        </is>
      </c>
      <c r="N26" s="115" t="inlineStr">
        <is>
          <t>Senior / Manager</t>
        </is>
      </c>
      <c r="O26" s="115" t="inlineStr">
        <is>
          <t>4–5</t>
        </is>
      </c>
      <c r="P26" s="115" t="inlineStr">
        <is>
          <t>6–9 yrs</t>
        </is>
      </c>
      <c r="Q26" s="115" t="inlineStr">
        <is>
          <t>7–10 · 6–11</t>
        </is>
      </c>
      <c r="R26" s="115" t="inlineStr">
        <is>
          <t>Manager</t>
        </is>
      </c>
      <c r="S26" s="115" t="inlineStr">
        <is>
          <t>IRIS Vs Competitor Benchmark — PMI pathway + SaaS delivery ladder: Senior PM</t>
        </is>
      </c>
      <c r="T26" s="115" t="inlineStr">
        <is>
          <t>PMI PMBOK and Talent Triangle; CAPM · entry → PMP → PgMP; Scrum / SAFe</t>
        </is>
      </c>
      <c r="U26" s="115" t="inlineStr">
        <is>
          <t>Core 3 · Future 3 · Functional 4 · Leadership 3</t>
        </is>
      </c>
      <c r="V26" s="152" t="n">
        <v>198</v>
      </c>
      <c r="W26" s="153" t="inlineStr">
        <is>
          <t>IRIS1952</t>
        </is>
      </c>
      <c r="X26" s="153" t="inlineStr">
        <is>
          <t>Employee</t>
        </is>
      </c>
      <c r="Y26" s="153" t="inlineStr">
        <is>
          <t>Active</t>
        </is>
      </c>
      <c r="Z26" s="153" t="inlineStr">
        <is>
          <t>Zakiruddin Shaikh</t>
        </is>
      </c>
      <c r="AA26" s="235" t="n">
        <v>44452</v>
      </c>
      <c r="AB26" s="153" t="inlineStr">
        <is>
          <t>Project Manager</t>
        </is>
      </c>
      <c r="AC26" s="153" t="inlineStr">
        <is>
          <t>MMS</t>
        </is>
      </c>
      <c r="AD26" s="153" t="inlineStr">
        <is>
          <t>Pradip Dey</t>
        </is>
      </c>
      <c r="AE26" s="153" t="inlineStr">
        <is>
          <t>N-3</t>
        </is>
      </c>
      <c r="AF26" s="153" t="inlineStr">
        <is>
          <t>Manager</t>
        </is>
      </c>
      <c r="AG26" s="153" t="inlineStr">
        <is>
          <t>6 years, 1 months, 0 days</t>
        </is>
      </c>
      <c r="AH26" s="153" t="inlineStr">
        <is>
          <t>4 years, 11 months, 12 days</t>
        </is>
      </c>
      <c r="AI26" s="153" t="inlineStr">
        <is>
          <t>Consume</t>
        </is>
      </c>
      <c r="AJ26" s="153" t="inlineStr">
        <is>
          <t>Consume</t>
        </is>
      </c>
      <c r="AK26" s="153" t="inlineStr">
        <is>
          <t>Technology</t>
        </is>
      </c>
      <c r="AL26" s="153" t="inlineStr">
        <is>
          <t>Project Management</t>
        </is>
      </c>
      <c r="AM26" s="153" t="inlineStr">
        <is>
          <t>No</t>
        </is>
      </c>
      <c r="AN26" s="153" t="inlineStr">
        <is>
          <t>Product/Project</t>
        </is>
      </c>
      <c r="AO26" s="153" t="inlineStr">
        <is>
          <t>Project Management</t>
        </is>
      </c>
      <c r="AP26" s="153" t="inlineStr">
        <is>
          <t>Technical · BA, PM and QA</t>
        </is>
      </c>
      <c r="AQ26" s="153" t="n">
        <v>20</v>
      </c>
      <c r="AR26" s="153" t="inlineStr">
        <is>
          <t>Covered</t>
        </is>
      </c>
      <c r="AS26" s="153" t="n"/>
      <c r="AT26" s="153" t="n"/>
      <c r="AU26" s="153" t="n"/>
      <c r="AV26" s="153" t="n"/>
      <c r="AW26" s="153" t="n"/>
      <c r="AX26" s="153" t="n"/>
      <c r="AY26" s="153" t="n"/>
      <c r="AZ26" s="153" t="n"/>
      <c r="BA26" s="153" t="n"/>
      <c r="BB26" s="153" t="n"/>
      <c r="BC26" s="153" t="n"/>
      <c r="BD26" s="153" t="n"/>
      <c r="BE26" s="153" t="n"/>
      <c r="BF26" s="153" t="n"/>
      <c r="BG26" s="153" t="n"/>
      <c r="BH26" s="153" t="n"/>
      <c r="BI26" s="153" t="n"/>
      <c r="BJ26" s="153" t="n"/>
      <c r="BK26" s="153" t="n"/>
      <c r="BL26" s="153" t="n"/>
      <c r="BM26" s="153" t="n"/>
      <c r="BN26" s="153" t="n"/>
      <c r="BO26" s="153" t="n"/>
      <c r="BP26" s="153" t="n"/>
      <c r="BQ26" s="153" t="n"/>
      <c r="BR26" s="153" t="n"/>
      <c r="BS26" s="153" t="n"/>
      <c r="BT26" s="153" t="n"/>
      <c r="BU26" s="153" t="n"/>
      <c r="BV26" s="153" t="n"/>
      <c r="BW26" s="153" t="n"/>
      <c r="BX26" s="153" t="n"/>
      <c r="BY26" s="153" t="n"/>
      <c r="BZ26" s="153" t="n"/>
      <c r="CA26" s="153" t="n"/>
      <c r="CB26" s="153" t="n"/>
      <c r="CC26" s="153" t="n"/>
      <c r="CD26" s="153" t="n"/>
      <c r="CE26" s="153" t="n"/>
      <c r="CF26" s="153" t="n"/>
      <c r="CG26" s="153" t="n"/>
      <c r="CH26" s="153" t="n"/>
      <c r="CI26" s="153" t="n"/>
      <c r="CJ26" s="153" t="n"/>
      <c r="CK26" s="153" t="n"/>
      <c r="CL26" s="153" t="n"/>
      <c r="CM26" s="153" t="n"/>
      <c r="CN26" s="153" t="n"/>
      <c r="CO26" s="153" t="n"/>
      <c r="CP26" s="153" t="n"/>
      <c r="CQ26" s="153" t="inlineStr">
        <is>
          <t>IRIS1952</t>
        </is>
      </c>
      <c r="CR26" s="153" t="inlineStr">
        <is>
          <t>Employee</t>
        </is>
      </c>
      <c r="CS26" s="153" t="inlineStr">
        <is>
          <t>Active</t>
        </is>
      </c>
      <c r="CT26" s="153" t="inlineStr">
        <is>
          <t>Zakiruddin Shaikh</t>
        </is>
      </c>
      <c r="CU26" s="154" t="n">
        <v>44452</v>
      </c>
      <c r="CV26" s="153" t="inlineStr">
        <is>
          <t>Project Manager</t>
        </is>
      </c>
      <c r="CW26" s="153" t="inlineStr">
        <is>
          <t>Project &amp; Program Management</t>
        </is>
      </c>
      <c r="CX26" s="153" t="inlineStr">
        <is>
          <t>Project Management</t>
        </is>
      </c>
      <c r="CY26" s="153" t="inlineStr">
        <is>
          <t>Project Manager</t>
        </is>
      </c>
      <c r="CZ26" s="153" t="inlineStr">
        <is>
          <t>L5 – Manager</t>
        </is>
      </c>
      <c r="DA26" s="153" t="inlineStr">
        <is>
          <t>MMS</t>
        </is>
      </c>
      <c r="DB26" s="153" t="inlineStr">
        <is>
          <t>Izharuddin Shaikh</t>
        </is>
      </c>
      <c r="DC26" s="153" t="inlineStr">
        <is>
          <t>N-3</t>
        </is>
      </c>
      <c r="DD26" s="153" t="inlineStr">
        <is>
          <t>Manager</t>
        </is>
      </c>
      <c r="DE26" s="153" t="inlineStr">
        <is>
          <t>6 years, 1 months, 0 days</t>
        </is>
      </c>
      <c r="DF26" s="153" t="inlineStr">
        <is>
          <t>4 years, 9 months, 7 days</t>
        </is>
      </c>
      <c r="DG26" s="153" t="inlineStr">
        <is>
          <t>10 years, 10 months, 7 days</t>
        </is>
      </c>
      <c r="DH26" s="153" t="n">
        <v>4.76917808219178</v>
      </c>
      <c r="DI26" s="153" t="inlineStr">
        <is>
          <t>Consume</t>
        </is>
      </c>
      <c r="DJ26" s="153" t="inlineStr">
        <is>
          <t>Consume</t>
        </is>
      </c>
      <c r="DK26" s="153" t="inlineStr">
        <is>
          <t>Technology</t>
        </is>
      </c>
      <c r="DL26" s="153" t="inlineStr">
        <is>
          <t>Project Management</t>
        </is>
      </c>
      <c r="DM26" s="153" t="inlineStr">
        <is>
          <t>No</t>
        </is>
      </c>
      <c r="DN26" s="153" t="inlineStr">
        <is>
          <t>Product/Project</t>
        </is>
      </c>
      <c r="DO26" s="153" t="inlineStr">
        <is>
          <t>Project Management</t>
        </is>
      </c>
      <c r="DP26" s="153" t="inlineStr">
        <is>
          <t>Technical · BA, PM and QA</t>
        </is>
      </c>
      <c r="DQ26" s="153" t="inlineStr">
        <is>
          <t>Client Side</t>
        </is>
      </c>
      <c r="DR26" s="153" t="n"/>
      <c r="DS26" s="1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7. Ensure 100% of project closures have documented lessons learned</t>
        </is>
      </c>
      <c r="DT26" s="153" t="inlineStr">
        <is>
          <r>
            <rPr>
              <rFont val="Calibri"/>
              <b val="1"/>
              <sz val="10"/>
            </rPr>
            <t>Q1:</t>
          </r>
          <r>
            <rPr>
              <rFont val="Calibri"/>
              <sz val="10"/>
            </rPr>
            <t xml:space="preserve">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t>
          </r>
          <r>
            <rPr>
              <rFont val="Calibri"/>
              <b val="1"/>
              <sz val="10"/>
            </rPr>
            <t>Q1:</t>
          </r>
          <r>
            <rPr>
              <rFont val="Calibri"/>
              <sz val="10"/>
            </rPr>
            <t xml:space="preserve"> Keep project budget / effort variance within +/-10% of plan
Yes
</t>
          </r>
          <r>
            <rPr>
              <rFont val="Calibri"/>
              <b val="1"/>
              <sz val="10"/>
            </rPr>
            <t>Q1:</t>
          </r>
          <r>
            <rPr>
              <rFont val="Calibri"/>
              <sz val="10"/>
            </rPr>
            <t xml:space="preserve"> Maintain risk &amp; issue log with 100% items tracked to closure
Yes
</t>
          </r>
          <r>
            <rPr>
              <rFont val="Calibri"/>
              <b val="1"/>
              <sz val="10"/>
            </rPr>
            <t>Q1:</t>
          </r>
          <r>
            <rPr>
              <rFont val="Calibri"/>
              <sz val="10"/>
            </rPr>
            <t xml:space="preserve">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r>
        </is>
      </c>
      <c r="DU26" s="153" t="n">
        <v>5</v>
      </c>
      <c r="DV26" s="153" t="n"/>
      <c r="DW26" s="153" t="inlineStr">
        <is>
          <t>Project Manager</t>
        </is>
      </c>
      <c r="DX26" s="153" t="n"/>
      <c r="DY26" s="153" t="n">
        <v>5</v>
      </c>
      <c r="DZ26" s="153" t="inlineStr">
        <is>
          <t>High</t>
        </is>
      </c>
      <c r="EA26" s="153" t="inlineStr">
        <is>
          <t>Future Leader</t>
        </is>
      </c>
      <c r="EB26" s="153" t="inlineStr">
        <is>
          <t>Yes</t>
        </is>
      </c>
      <c r="EC26" s="153" t="inlineStr">
        <is>
          <t>Yes</t>
        </is>
      </c>
      <c r="ED26" s="153" t="inlineStr">
        <is>
          <t>Yes</t>
        </is>
      </c>
      <c r="EE26" s="153" t="n"/>
      <c r="EF26" s="153" t="inlineStr">
        <is>
          <t>Agile/Scrum &amp; PMP fundamentals; risk &amp; stakeholder management; estimation; reporting/governance tools | People management: goal-setting &amp; feedback, 1:1 coaching, performance conversations</t>
        </is>
      </c>
      <c r="EG26" s="153"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row>
    <row r="27" ht="64" customHeight="1">
      <c r="A27" s="109" t="inlineStr">
        <is>
          <t>IRIS0538</t>
        </is>
      </c>
      <c r="B27" s="111" t="inlineStr">
        <is>
          <t>Waqar Tarique</t>
        </is>
      </c>
      <c r="C27" s="111" t="inlineStr">
        <is>
          <t>Technology</t>
        </is>
      </c>
      <c r="D27" s="114" t="inlineStr">
        <is>
          <t>Senior Software Engineer</t>
        </is>
      </c>
      <c r="E27" s="114" t="inlineStr">
        <is>
          <t>Technical Specialist</t>
        </is>
      </c>
      <c r="F27" s="114" t="inlineStr">
        <is>
          <t>L4 – Senior</t>
        </is>
      </c>
      <c r="G27" s="114" t="inlineStr">
        <is>
          <t>B1</t>
        </is>
      </c>
      <c r="H27" s="117" t="inlineStr">
        <is>
          <t>▲ Up</t>
        </is>
      </c>
      <c r="I27" s="111" t="inlineStr">
        <is>
          <t>Engineering &amp; Development</t>
        </is>
      </c>
      <c r="J27" s="111" t="inlineStr">
        <is>
          <t>Application Maintenance &amp; Production Support</t>
        </is>
      </c>
      <c r="K27" s="111" t="inlineStr"/>
      <c r="L27" s="111" t="n">
        <v>18</v>
      </c>
      <c r="M27" s="146" t="inlineStr">
        <is>
          <t>P3 / M2</t>
        </is>
      </c>
      <c r="N27" s="115" t="inlineStr">
        <is>
          <t>Career / · Team Lead</t>
        </is>
      </c>
      <c r="O27" s="115" t="inlineStr">
        <is>
          <t>4 Enable</t>
        </is>
      </c>
      <c r="P27" s="115" t="inlineStr">
        <is>
          <t>4–7 yrs</t>
        </is>
      </c>
      <c r="Q27" s="115" t="inlineStr">
        <is>
          <t>5–8 · 4–8</t>
        </is>
      </c>
      <c r="R27" s="115" t="inlineStr">
        <is>
          <t>Senior Software Engineer</t>
        </is>
      </c>
      <c r="S27" s="115" t="inlineStr">
        <is>
          <r>
            <rPr>
              <rFont val="Calibri"/>
              <b val="1"/>
              <sz val="10"/>
            </rPr>
            <t>Workiva:</t>
          </r>
          <r>
            <rPr>
              <rFont val="Calibri"/>
              <sz val="10"/>
            </rPr>
            <t xml:space="preserve"> SE / Senior SE · Broadridge India: Senior SE · Nasdaq / AxiomSL: Senior SE · Salesforce: MTS · Atlassian: P40 · Freshworks: Senior SE</t>
          </r>
        </is>
      </c>
      <c r="T27" s="115" t="inlineStr">
        <is>
          <t>SFIA 9 · software development, programming; OWASP secure coding; cloud vendor certifications</t>
        </is>
      </c>
      <c r="U27" s="115" t="inlineStr">
        <is>
          <t>Core 3 · Future 3 · Functional 3 · Leadership 1</t>
        </is>
      </c>
      <c r="V27" s="152" t="n">
        <v>71</v>
      </c>
      <c r="W27" s="153" t="inlineStr">
        <is>
          <t>IRIS0538</t>
        </is>
      </c>
      <c r="X27" s="153" t="inlineStr">
        <is>
          <t>Employee</t>
        </is>
      </c>
      <c r="Y27" s="153" t="inlineStr">
        <is>
          <t>Active</t>
        </is>
      </c>
      <c r="Z27" s="153" t="inlineStr">
        <is>
          <t>Waqar Tarique</t>
        </is>
      </c>
      <c r="AA27" s="235" t="n">
        <v>40581</v>
      </c>
      <c r="AB27" s="153" t="inlineStr">
        <is>
          <t>Senior Software Engineer</t>
        </is>
      </c>
      <c r="AC27" s="153" t="inlineStr">
        <is>
          <t>MSc</t>
        </is>
      </c>
      <c r="AD27" s="153" t="inlineStr">
        <is>
          <t>Zakiruddin Shaikh</t>
        </is>
      </c>
      <c r="AE27" s="153" t="inlineStr">
        <is>
          <t>N-4</t>
        </is>
      </c>
      <c r="AF27" s="153" t="inlineStr">
        <is>
          <t>Individual Contributor</t>
        </is>
      </c>
      <c r="AG27" s="153" t="inlineStr">
        <is>
          <t>0 years, 9 months, 0 days</t>
        </is>
      </c>
      <c r="AH27" s="153" t="inlineStr">
        <is>
          <t>15 years, 6 months, 18 days</t>
        </is>
      </c>
      <c r="AI27" s="153" t="inlineStr">
        <is>
          <t>Consume</t>
        </is>
      </c>
      <c r="AJ27" s="153" t="inlineStr">
        <is>
          <t>Consume</t>
        </is>
      </c>
      <c r="AK27" s="153" t="inlineStr">
        <is>
          <t>Technology</t>
        </is>
      </c>
      <c r="AL27" s="153" t="inlineStr">
        <is>
          <t>Development</t>
        </is>
      </c>
      <c r="AM27" s="153" t="inlineStr">
        <is>
          <t>Yes</t>
        </is>
      </c>
      <c r="AN27" s="153" t="inlineStr">
        <is>
          <t>Product/Project</t>
        </is>
      </c>
      <c r="AO27" s="153" t="inlineStr">
        <is>
          <t>.NET MVC</t>
        </is>
      </c>
      <c r="AP27" s="153" t="inlineStr">
        <is>
          <t>Technical - Developer</t>
        </is>
      </c>
      <c r="AQ27" s="153" t="n">
        <v>20</v>
      </c>
      <c r="AR27" s="153" t="inlineStr">
        <is>
          <t>Covered</t>
        </is>
      </c>
      <c r="AS27" s="153" t="n"/>
      <c r="AT27" s="153" t="n"/>
      <c r="AU27" s="153" t="n"/>
      <c r="AV27" s="153" t="n"/>
      <c r="AW27" s="153" t="n"/>
      <c r="AX27" s="153" t="n"/>
      <c r="AY27" s="153" t="n"/>
      <c r="AZ27" s="153" t="n"/>
      <c r="BA27" s="153" t="n"/>
      <c r="BB27" s="153" t="n"/>
      <c r="BC27" s="153" t="n"/>
      <c r="BD27" s="153" t="n"/>
      <c r="BE27" s="153" t="n"/>
      <c r="BF27" s="153" t="n"/>
      <c r="BG27" s="153" t="n"/>
      <c r="BH27" s="153" t="n"/>
      <c r="BI27" s="153" t="n"/>
      <c r="BJ27" s="153" t="n"/>
      <c r="BK27" s="153" t="n"/>
      <c r="BL27" s="153" t="n"/>
      <c r="BM27" s="153" t="n"/>
      <c r="BN27" s="153" t="n"/>
      <c r="BO27" s="153" t="n"/>
      <c r="BP27" s="153" t="n"/>
      <c r="BQ27" s="153" t="n"/>
      <c r="BR27" s="153" t="n"/>
      <c r="BS27" s="153" t="n"/>
      <c r="BT27" s="153" t="n"/>
      <c r="BU27" s="153" t="n"/>
      <c r="BV27" s="153" t="n"/>
      <c r="BW27" s="153" t="n"/>
      <c r="BX27" s="153" t="n"/>
      <c r="BY27" s="153" t="n"/>
      <c r="BZ27" s="153" t="n"/>
      <c r="CA27" s="153" t="n"/>
      <c r="CB27" s="153" t="n"/>
      <c r="CC27" s="153" t="n"/>
      <c r="CD27" s="153" t="n"/>
      <c r="CE27" s="153" t="n"/>
      <c r="CF27" s="153" t="n"/>
      <c r="CG27" s="153" t="n"/>
      <c r="CH27" s="153" t="n"/>
      <c r="CI27" s="153" t="n"/>
      <c r="CJ27" s="153" t="n"/>
      <c r="CK27" s="153" t="n"/>
      <c r="CL27" s="153" t="n"/>
      <c r="CM27" s="153" t="n"/>
      <c r="CN27" s="153" t="n"/>
      <c r="CO27" s="153" t="n"/>
      <c r="CP27" s="153" t="n"/>
      <c r="CQ27" s="153" t="inlineStr">
        <is>
          <t>IRIS0538</t>
        </is>
      </c>
      <c r="CR27" s="153" t="inlineStr">
        <is>
          <t>Employee</t>
        </is>
      </c>
      <c r="CS27" s="153" t="inlineStr">
        <is>
          <t>Active</t>
        </is>
      </c>
      <c r="CT27" s="153" t="inlineStr">
        <is>
          <t>Waqar Tarique</t>
        </is>
      </c>
      <c r="CU27" s="154" t="n">
        <v>40581</v>
      </c>
      <c r="CV27" s="153" t="inlineStr">
        <is>
          <t>Senior Software Engineer</t>
        </is>
      </c>
      <c r="CW27" s="153" t="inlineStr">
        <is>
          <t>Engineering &amp; Development</t>
        </is>
      </c>
      <c r="CX27" s="153" t="inlineStr">
        <is>
          <t>Backend Engineering ·.NET</t>
        </is>
      </c>
      <c r="CY27" s="153" t="inlineStr">
        <is>
          <t>Senior Software Engineer</t>
        </is>
      </c>
      <c r="CZ27" s="153" t="inlineStr">
        <is>
          <t>L4 – Senior</t>
        </is>
      </c>
      <c r="DA27" s="153" t="inlineStr">
        <is>
          <t>MSc</t>
        </is>
      </c>
      <c r="DB27" s="153" t="inlineStr">
        <is>
          <t>Zakiruddin Shaikh</t>
        </is>
      </c>
      <c r="DC27" s="153" t="inlineStr">
        <is>
          <t>N-4</t>
        </is>
      </c>
      <c r="DD27" s="153" t="inlineStr">
        <is>
          <t>Individual Contributor</t>
        </is>
      </c>
      <c r="DE27" s="153" t="inlineStr">
        <is>
          <t>0 years, 9 months, 0 days</t>
        </is>
      </c>
      <c r="DF27" s="153" t="inlineStr">
        <is>
          <t>15 years, 4 months, 13 days</t>
        </is>
      </c>
      <c r="DG27" s="153" t="inlineStr">
        <is>
          <t>16 years, 1 months, 13 days</t>
        </is>
      </c>
      <c r="DH27" s="153" t="n"/>
      <c r="DI27" s="153" t="inlineStr">
        <is>
          <t>Consume</t>
        </is>
      </c>
      <c r="DJ27" s="153" t="inlineStr">
        <is>
          <t>Consume</t>
        </is>
      </c>
      <c r="DK27" s="153" t="inlineStr">
        <is>
          <t>Technology</t>
        </is>
      </c>
      <c r="DL27" s="153" t="inlineStr">
        <is>
          <t>Development</t>
        </is>
      </c>
      <c r="DM27" s="153" t="inlineStr">
        <is>
          <t>Yes</t>
        </is>
      </c>
      <c r="DN27" s="153" t="inlineStr">
        <is>
          <t>Product/Project</t>
        </is>
      </c>
      <c r="DO27" s="153" t="inlineStr">
        <is>
          <t>.NET MVC</t>
        </is>
      </c>
      <c r="DP27" s="153" t="inlineStr">
        <is>
          <t>Technical - Developer</t>
        </is>
      </c>
      <c r="DQ27" s="153" t="inlineStr">
        <is>
          <t>Client Side</t>
        </is>
      </c>
      <c r="DR27" s="153" t="n"/>
      <c r="DS27" s="1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DT27" s="153" t="inlineStr">
        <is>
          <r>
            <rPr>
              <rFont val="Calibri"/>
              <b val="1"/>
              <sz val="10"/>
            </rPr>
            <t>Q1:</t>
          </r>
          <r>
            <rPr>
              <rFont val="Calibri"/>
              <sz val="10"/>
            </rPr>
            <t xml:space="preserve">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t>
          </r>
          <r>
            <rPr>
              <rFont val="Calibri"/>
              <b val="1"/>
              <sz val="10"/>
            </rPr>
            <t>Q1:</t>
          </r>
          <r>
            <rPr>
              <rFont val="Calibri"/>
              <sz val="10"/>
            </rPr>
            <t xml:space="preserve">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t>
          </r>
          <r>
            <rPr>
              <rFont val="Calibri"/>
              <b val="1"/>
              <sz val="10"/>
            </rPr>
            <t>Q1:</t>
          </r>
          <r>
            <rPr>
              <rFont val="Calibri"/>
              <sz val="10"/>
            </rPr>
            <t xml:space="preserve"> Resolve assigned production/critical bugs within agreed SLA · &gt;=95% within SLA
Waqar always resolve the assigned production/critical bugs within the agreed SLA. · &gt;=95-97% within SLA
</t>
          </r>
          <r>
            <rPr>
              <rFont val="Calibri"/>
              <b val="1"/>
              <sz val="10"/>
            </rPr>
            <t>Q1:</t>
          </r>
          <r>
            <rPr>
              <rFont val="Calibri"/>
              <sz val="10"/>
            </rPr>
            <t xml:space="preserve"> Improve unit-test / automated coverage on owned modules by &gt;=15 percentage points
Yes it is but there is some scope for improvement.</t>
          </r>
        </is>
      </c>
      <c r="DU27" s="153" t="n">
        <v>4</v>
      </c>
      <c r="DV27" s="153" t="n"/>
      <c r="DW27" s="153" t="inlineStr">
        <is>
          <t>Senior Software Engineer</t>
        </is>
      </c>
      <c r="DX27" s="153" t="n"/>
      <c r="DY27" s="153" t="n">
        <v>4</v>
      </c>
      <c r="DZ27" s="153" t="inlineStr">
        <is>
          <t>High</t>
        </is>
      </c>
      <c r="EA27" s="153" t="inlineStr">
        <is>
          <t>Core Contributor</t>
        </is>
      </c>
      <c r="EB27" s="153" t="inlineStr">
        <is>
          <t>Yes</t>
        </is>
      </c>
      <c r="EC27" s="153" t="inlineStr">
        <is>
          <t>Yes</t>
        </is>
      </c>
      <c r="ED27" s="153" t="inlineStr">
        <is>
          <t>Yes</t>
        </is>
      </c>
      <c r="EE27" s="153" t="n"/>
      <c r="EF27" s="153" t="inlineStr">
        <is>
          <t>Advanced .NET MVC; secure coding &amp; code-quality practices; unit/automated testing; system design fundamentals</t>
        </is>
      </c>
      <c r="EG27"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8" ht="64" customHeight="1">
      <c r="A28" s="109" t="inlineStr">
        <is>
          <t>IRIS2485</t>
        </is>
      </c>
      <c r="B28" s="111" t="inlineStr">
        <is>
          <t>Safal Gupta</t>
        </is>
      </c>
      <c r="C28" s="111" t="inlineStr">
        <is>
          <t>Technology</t>
        </is>
      </c>
      <c r="D28" s="111" t="inlineStr">
        <is>
          <t>Senior Software Engineer</t>
        </is>
      </c>
      <c r="E28" s="111" t="inlineStr">
        <is>
          <t>Senior Software Engineer</t>
        </is>
      </c>
      <c r="F28" s="111" t="inlineStr">
        <is>
          <t>L4 – Senior</t>
        </is>
      </c>
      <c r="G28" s="24" t="inlineStr">
        <is>
          <t>A3</t>
        </is>
      </c>
      <c r="H28" s="142" t="inlineStr">
        <is>
          <t>• Same level</t>
        </is>
      </c>
      <c r="I28" s="111" t="inlineStr">
        <is>
          <t>Engineering &amp; Development</t>
        </is>
      </c>
      <c r="J28" s="111" t="inlineStr">
        <is>
          <t>Application Maintenance &amp; Production Support</t>
        </is>
      </c>
      <c r="K28" s="111" t="inlineStr"/>
      <c r="L28" s="111" t="n">
        <v>20</v>
      </c>
      <c r="M28" s="146" t="inlineStr">
        <is>
          <t>P2</t>
        </is>
      </c>
      <c r="N28" s="115" t="inlineStr">
        <is>
          <t>Developing</t>
        </is>
      </c>
      <c r="O28" s="115" t="inlineStr">
        <is>
          <t>3 Apply</t>
        </is>
      </c>
      <c r="P28" s="115" t="inlineStr">
        <is>
          <t>2–4 yrs</t>
        </is>
      </c>
      <c r="Q28" s="115" t="inlineStr">
        <is>
          <t>3–5 · 2–5</t>
        </is>
      </c>
      <c r="R28" s="115" t="inlineStr">
        <is>
          <t>Software Engineer</t>
        </is>
      </c>
      <c r="S28" s="115" t="inlineStr">
        <is>
          <r>
            <rPr>
              <rFont val="Calibri"/>
              <b val="1"/>
              <sz val="10"/>
            </rPr>
            <t>Workiva:</t>
          </r>
          <r>
            <rPr>
              <rFont val="Calibri"/>
              <sz val="10"/>
            </rPr>
            <t xml:space="preserve"> SE · Broadridge India: SE · Nasdaq / AxiomSL: SE · Salesforce: MTS · Atlassian: P40 · 3–7 yrs · Freshworks: Senior SE</t>
          </r>
        </is>
      </c>
      <c r="T28" s="115" t="inlineStr">
        <is>
          <t>SFIA 9 · software development, programming; OWASP secure coding; cloud vendor certifications</t>
        </is>
      </c>
      <c r="U28" s="115" t="inlineStr">
        <is>
          <t>Core 2 · Future 2 · Functional 3 · Leadership not scored</t>
        </is>
      </c>
      <c r="V28" s="152" t="n">
        <v>460</v>
      </c>
      <c r="W28" s="153" t="inlineStr">
        <is>
          <t>IRIS2485</t>
        </is>
      </c>
      <c r="X28" s="153" t="inlineStr">
        <is>
          <t>Employee</t>
        </is>
      </c>
      <c r="Y28" s="153" t="inlineStr">
        <is>
          <t>Active</t>
        </is>
      </c>
      <c r="Z28" s="153" t="inlineStr">
        <is>
          <t>Safal Gupta</t>
        </is>
      </c>
      <c r="AA28" s="235" t="n">
        <v>46083</v>
      </c>
      <c r="AB28" s="153" t="inlineStr">
        <is>
          <t>Senior Software Engineer</t>
        </is>
      </c>
      <c r="AC28" s="153" t="inlineStr">
        <is>
          <t>B.E</t>
        </is>
      </c>
      <c r="AD28" s="153" t="inlineStr">
        <is>
          <t>Zakiruddin Shaikh</t>
        </is>
      </c>
      <c r="AE28" s="153" t="inlineStr">
        <is>
          <t>N-4</t>
        </is>
      </c>
      <c r="AF28" s="153" t="inlineStr">
        <is>
          <t>Individual Contributor</t>
        </is>
      </c>
      <c r="AG28" s="153" t="inlineStr">
        <is>
          <t>5 years, 2 months, 0 days</t>
        </is>
      </c>
      <c r="AH28" s="153" t="inlineStr">
        <is>
          <t>0 years, 5 months, 23 days</t>
        </is>
      </c>
      <c r="AI28" s="153" t="inlineStr">
        <is>
          <t>Consume</t>
        </is>
      </c>
      <c r="AJ28" s="153" t="inlineStr">
        <is>
          <t>Consume</t>
        </is>
      </c>
      <c r="AK28" s="153" t="inlineStr">
        <is>
          <t>Technology</t>
        </is>
      </c>
      <c r="AL28" s="153" t="inlineStr">
        <is>
          <t>Development</t>
        </is>
      </c>
      <c r="AM28" s="153" t="inlineStr">
        <is>
          <t>Yes</t>
        </is>
      </c>
      <c r="AN28" s="153" t="inlineStr">
        <is>
          <t>Product/Project</t>
        </is>
      </c>
      <c r="AO28" s="153" t="inlineStr">
        <is>
          <t>.NET MVC</t>
        </is>
      </c>
      <c r="AP28" s="153" t="inlineStr">
        <is>
          <t>Technical - Developer</t>
        </is>
      </c>
      <c r="AQ28" s="153" t="n">
        <v>20</v>
      </c>
      <c r="AR28" s="153" t="inlineStr">
        <is>
          <t>Covered</t>
        </is>
      </c>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53" t="n"/>
      <c r="CH28" s="153" t="n"/>
      <c r="CI28" s="153" t="n"/>
      <c r="CJ28" s="153" t="n"/>
      <c r="CK28" s="153" t="n"/>
      <c r="CL28" s="153" t="n"/>
      <c r="CM28" s="153" t="n"/>
      <c r="CN28" s="153" t="n"/>
      <c r="CO28" s="153" t="n"/>
      <c r="CP28" s="153" t="n"/>
      <c r="CQ28" s="153" t="inlineStr">
        <is>
          <t>IRIS2485</t>
        </is>
      </c>
      <c r="CR28" s="153" t="inlineStr">
        <is>
          <t>Employee</t>
        </is>
      </c>
      <c r="CS28" s="153" t="inlineStr">
        <is>
          <t>Active</t>
        </is>
      </c>
      <c r="CT28" s="153" t="inlineStr">
        <is>
          <t>Safal Gupta</t>
        </is>
      </c>
      <c r="CU28" s="154" t="n">
        <v>46083</v>
      </c>
      <c r="CV28" s="153" t="inlineStr">
        <is>
          <t>Senior Software Engineer</t>
        </is>
      </c>
      <c r="CW28" s="153" t="inlineStr">
        <is>
          <t>Engineering &amp; Development</t>
        </is>
      </c>
      <c r="CX28" s="153" t="inlineStr">
        <is>
          <t>Backend Engineering ·.NET</t>
        </is>
      </c>
      <c r="CY28" s="153" t="inlineStr">
        <is>
          <t>Senior Software Engineer</t>
        </is>
      </c>
      <c r="CZ28" s="153" t="inlineStr">
        <is>
          <t>L4 – Senior</t>
        </is>
      </c>
      <c r="DA28" s="153" t="inlineStr">
        <is>
          <t>B.E</t>
        </is>
      </c>
      <c r="DB28" s="153" t="inlineStr">
        <is>
          <t>Zakiruddin Shaikh</t>
        </is>
      </c>
      <c r="DC28" s="153" t="inlineStr">
        <is>
          <t>N-4</t>
        </is>
      </c>
      <c r="DD28" s="153" t="inlineStr">
        <is>
          <t>Individual Contributor</t>
        </is>
      </c>
      <c r="DE28" s="153" t="inlineStr">
        <is>
          <t>5 years, 2 months, 0 days</t>
        </is>
      </c>
      <c r="DF28" s="153" t="inlineStr">
        <is>
          <t>0 years, 3 months, 18 days</t>
        </is>
      </c>
      <c r="DG28" s="153" t="inlineStr">
        <is>
          <t>5 years, 5 months, 18 days</t>
        </is>
      </c>
      <c r="DH28" s="153" t="n"/>
      <c r="DI28" s="153" t="inlineStr">
        <is>
          <t>Consume</t>
        </is>
      </c>
      <c r="DJ28" s="153" t="inlineStr">
        <is>
          <t>Consume</t>
        </is>
      </c>
      <c r="DK28" s="153" t="inlineStr">
        <is>
          <t>Technology</t>
        </is>
      </c>
      <c r="DL28" s="153" t="inlineStr">
        <is>
          <t>Development</t>
        </is>
      </c>
      <c r="DM28" s="153" t="inlineStr">
        <is>
          <t>Yes</t>
        </is>
      </c>
      <c r="DN28" s="153" t="inlineStr">
        <is>
          <t>Product/Project</t>
        </is>
      </c>
      <c r="DO28" s="153" t="inlineStr">
        <is>
          <t>.Net</t>
        </is>
      </c>
      <c r="DP28" s="153" t="inlineStr">
        <is>
          <t>Technical - Developer</t>
        </is>
      </c>
      <c r="DQ28" s="153" t="inlineStr">
        <is>
          <t>Client Side</t>
        </is>
      </c>
      <c r="DR28" s="153" t="n"/>
      <c r="DS28" s="1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DT28" s="153" t="inlineStr">
        <is>
          <r>
            <rPr>
              <rFont val="Calibri"/>
              <b val="1"/>
              <sz val="10"/>
            </rPr>
            <t>Q1:</t>
          </r>
          <r>
            <rPr>
              <rFont val="Calibri"/>
              <sz val="10"/>
            </rPr>
            <t xml:space="preserve">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t>
          </r>
          <r>
            <rPr>
              <rFont val="Calibri"/>
              <b val="1"/>
              <sz val="10"/>
            </rPr>
            <t>Q1:</t>
          </r>
          <r>
            <rPr>
              <rFont val="Calibri"/>
              <sz val="10"/>
            </rPr>
            <t xml:space="preserve">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t>
          </r>
          <r>
            <rPr>
              <rFont val="Calibri"/>
              <b val="1"/>
              <sz val="10"/>
            </rPr>
            <t>Q1:</t>
          </r>
          <r>
            <rPr>
              <rFont val="Calibri"/>
              <sz val="10"/>
            </rPr>
            <t xml:space="preserve"> Resolve assigned production/critical bugs within agreed SLA · &gt;=95% within SLA
Safal always resolve the assigned critical bugs within the agreed SLA. · &gt;=85-90% within SLA
</t>
          </r>
          <r>
            <rPr>
              <rFont val="Calibri"/>
              <b val="1"/>
              <sz val="10"/>
            </rPr>
            <t>Q1:</t>
          </r>
          <r>
            <rPr>
              <rFont val="Calibri"/>
              <sz val="10"/>
            </rPr>
            <t xml:space="preserve"> Improve unit-test / automated coverage on owned modules by &gt;=15 percentage points
Yes it is but there is some scope for improvement.</t>
          </r>
        </is>
      </c>
      <c r="DU28" s="153" t="n">
        <v>4</v>
      </c>
      <c r="DV28" s="153" t="n"/>
      <c r="DW28" s="153" t="inlineStr">
        <is>
          <t>Senior Software Engineer</t>
        </is>
      </c>
      <c r="DX28" s="153" t="n"/>
      <c r="DY28" s="153" t="n">
        <v>4</v>
      </c>
      <c r="DZ28" s="153" t="n"/>
      <c r="EA28" s="153" t="inlineStr">
        <is>
          <t>Emerging Talent</t>
        </is>
      </c>
      <c r="EB28" s="153" t="inlineStr">
        <is>
          <t>Yes</t>
        </is>
      </c>
      <c r="EC28" s="153" t="inlineStr">
        <is>
          <t>Yes</t>
        </is>
      </c>
      <c r="ED28" s="153" t="inlineStr">
        <is>
          <t>Yes</t>
        </is>
      </c>
      <c r="EE28" s="153" t="n"/>
      <c r="EF28" s="153" t="inlineStr">
        <is>
          <t>Advanced .Net; secure coding &amp; code-quality practices; unit/automated testing; system design fundamentals</t>
        </is>
      </c>
      <c r="EG28"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row r="29" ht="64" customHeight="1">
      <c r="A29" s="109" t="inlineStr">
        <is>
          <t>IRIS1901</t>
        </is>
      </c>
      <c r="B29" s="111" t="inlineStr">
        <is>
          <t>Sharad Mane</t>
        </is>
      </c>
      <c r="C29" s="111" t="inlineStr">
        <is>
          <t>Technology</t>
        </is>
      </c>
      <c r="D29" s="114" t="inlineStr">
        <is>
          <t>Senior Software Engineer</t>
        </is>
      </c>
      <c r="E29" s="114" t="inlineStr">
        <is>
          <t>Technical Specialist</t>
        </is>
      </c>
      <c r="F29" s="114" t="inlineStr">
        <is>
          <t>L4 – Senior</t>
        </is>
      </c>
      <c r="G29" s="114" t="inlineStr">
        <is>
          <t>A3</t>
        </is>
      </c>
      <c r="H29" s="117" t="inlineStr">
        <is>
          <t>▲ Up</t>
        </is>
      </c>
      <c r="I29" s="111" t="inlineStr">
        <is>
          <t>Engineering &amp; Development</t>
        </is>
      </c>
      <c r="J29" s="111" t="inlineStr">
        <is>
          <t>Application Maintenance &amp; Production Support</t>
        </is>
      </c>
      <c r="K29" s="111" t="inlineStr"/>
      <c r="L29" s="111" t="n">
        <v>20</v>
      </c>
      <c r="M29" s="146" t="inlineStr">
        <is>
          <t>P2</t>
        </is>
      </c>
      <c r="N29" s="115" t="inlineStr">
        <is>
          <t>Developing</t>
        </is>
      </c>
      <c r="O29" s="115" t="inlineStr">
        <is>
          <t>3 Apply</t>
        </is>
      </c>
      <c r="P29" s="115" t="inlineStr">
        <is>
          <t>2–4 yrs</t>
        </is>
      </c>
      <c r="Q29" s="115" t="inlineStr">
        <is>
          <t>3–5 · 2–5</t>
        </is>
      </c>
      <c r="R29" s="115" t="inlineStr">
        <is>
          <t>Senior Software Engineer</t>
        </is>
      </c>
      <c r="S29" s="115" t="inlineStr">
        <is>
          <r>
            <rPr>
              <rFont val="Calibri"/>
              <b val="1"/>
              <sz val="10"/>
            </rPr>
            <t>Workiva:</t>
          </r>
          <r>
            <rPr>
              <rFont val="Calibri"/>
              <sz val="10"/>
            </rPr>
            <t xml:space="preserve"> SE · Broadridge India: SE · Nasdaq / AxiomSL: SE · Salesforce: MTS · Atlassian: P40 · 3–7 yrs · Freshworks: Senior SE</t>
          </r>
        </is>
      </c>
      <c r="T29" s="115" t="inlineStr">
        <is>
          <t>SFIA 9 · software development, programming; OWASP secure coding; cloud vendor certifications</t>
        </is>
      </c>
      <c r="U29" s="115" t="inlineStr">
        <is>
          <t>Core 2 · Future 2 · Functional 3 · Leadership not scored</t>
        </is>
      </c>
      <c r="V29" s="152" t="n">
        <v>177</v>
      </c>
      <c r="W29" s="153" t="inlineStr">
        <is>
          <t>IRIS1901</t>
        </is>
      </c>
      <c r="X29" s="153" t="inlineStr">
        <is>
          <t>Employee</t>
        </is>
      </c>
      <c r="Y29" s="153" t="inlineStr">
        <is>
          <t>Active</t>
        </is>
      </c>
      <c r="Z29" s="153" t="inlineStr">
        <is>
          <t>Sharad Mane</t>
        </is>
      </c>
      <c r="AA29" s="235" t="n">
        <v>44259</v>
      </c>
      <c r="AB29" s="153" t="inlineStr">
        <is>
          <t>Senior Software Engineer</t>
        </is>
      </c>
      <c r="AC29" s="153" t="inlineStr">
        <is>
          <t>B.E</t>
        </is>
      </c>
      <c r="AD29" s="153" t="inlineStr">
        <is>
          <t>Zakiruddin Shaikh</t>
        </is>
      </c>
      <c r="AE29" s="153" t="inlineStr">
        <is>
          <t>N-4</t>
        </is>
      </c>
      <c r="AF29" s="153" t="inlineStr">
        <is>
          <t>Individual Contributor</t>
        </is>
      </c>
      <c r="AG29" s="153" t="inlineStr">
        <is>
          <t>5 years, 9 months, 0 days</t>
        </is>
      </c>
      <c r="AH29" s="153" t="inlineStr">
        <is>
          <t>5 years, 5 months, 21 days</t>
        </is>
      </c>
      <c r="AI29" s="153" t="inlineStr">
        <is>
          <t>Consume</t>
        </is>
      </c>
      <c r="AJ29" s="153" t="inlineStr">
        <is>
          <t>Consume</t>
        </is>
      </c>
      <c r="AK29" s="153" t="inlineStr">
        <is>
          <t>Technology</t>
        </is>
      </c>
      <c r="AL29" s="153" t="inlineStr">
        <is>
          <t>Development</t>
        </is>
      </c>
      <c r="AM29" s="153" t="inlineStr">
        <is>
          <t>Yes</t>
        </is>
      </c>
      <c r="AN29" s="153" t="inlineStr">
        <is>
          <t>Product/Project</t>
        </is>
      </c>
      <c r="AO29" s="153" t="inlineStr">
        <is>
          <t>.NET MVC</t>
        </is>
      </c>
      <c r="AP29" s="153" t="inlineStr">
        <is>
          <t>Technical - Developer</t>
        </is>
      </c>
      <c r="AQ29" s="153" t="n">
        <v>20</v>
      </c>
      <c r="AR29" s="153" t="inlineStr">
        <is>
          <t>Covered</t>
        </is>
      </c>
      <c r="AS29" s="153" t="n"/>
      <c r="AT29" s="153" t="n"/>
      <c r="AU29" s="153" t="n"/>
      <c r="AV29" s="153" t="n"/>
      <c r="AW29" s="153" t="n"/>
      <c r="AX29" s="153" t="n"/>
      <c r="AY29" s="153" t="n"/>
      <c r="AZ29" s="153" t="n"/>
      <c r="BA29" s="153" t="n"/>
      <c r="BB29" s="153" t="n"/>
      <c r="BC29" s="153" t="n"/>
      <c r="BD29" s="153" t="n"/>
      <c r="BE29" s="153" t="n"/>
      <c r="BF29" s="153" t="n"/>
      <c r="BG29" s="153" t="n"/>
      <c r="BH29" s="153" t="n"/>
      <c r="BI29" s="153" t="n"/>
      <c r="BJ29" s="153" t="n"/>
      <c r="BK29" s="153" t="n"/>
      <c r="BL29" s="153" t="n"/>
      <c r="BM29" s="153" t="n"/>
      <c r="BN29" s="153" t="n"/>
      <c r="BO29" s="153" t="n"/>
      <c r="BP29" s="153" t="n"/>
      <c r="BQ29" s="153" t="n"/>
      <c r="BR29" s="153" t="n"/>
      <c r="BS29" s="153" t="n"/>
      <c r="BT29" s="153" t="n"/>
      <c r="BU29" s="153" t="n"/>
      <c r="BV29" s="153" t="n"/>
      <c r="BW29" s="153" t="n"/>
      <c r="BX29" s="153" t="n"/>
      <c r="BY29" s="153" t="n"/>
      <c r="BZ29" s="153" t="n"/>
      <c r="CA29" s="153" t="n"/>
      <c r="CB29" s="153" t="n"/>
      <c r="CC29" s="153" t="n"/>
      <c r="CD29" s="153" t="n"/>
      <c r="CE29" s="153" t="n"/>
      <c r="CF29" s="153" t="n"/>
      <c r="CG29" s="153" t="n"/>
      <c r="CH29" s="153" t="n"/>
      <c r="CI29" s="153" t="n"/>
      <c r="CJ29" s="153" t="n"/>
      <c r="CK29" s="153" t="n"/>
      <c r="CL29" s="153" t="n"/>
      <c r="CM29" s="153" t="n"/>
      <c r="CN29" s="153" t="n"/>
      <c r="CO29" s="153" t="n"/>
      <c r="CP29" s="153" t="n"/>
      <c r="CQ29" s="153" t="inlineStr">
        <is>
          <t>IRIS1901</t>
        </is>
      </c>
      <c r="CR29" s="153" t="inlineStr">
        <is>
          <t>Employee</t>
        </is>
      </c>
      <c r="CS29" s="153" t="inlineStr">
        <is>
          <t>Active</t>
        </is>
      </c>
      <c r="CT29" s="153" t="inlineStr">
        <is>
          <t>Sharad Mane</t>
        </is>
      </c>
      <c r="CU29" s="154" t="n">
        <v>44259</v>
      </c>
      <c r="CV29" s="153" t="inlineStr">
        <is>
          <t>Senior Software Engineer</t>
        </is>
      </c>
      <c r="CW29" s="153" t="inlineStr">
        <is>
          <t>Engineering &amp; Development</t>
        </is>
      </c>
      <c r="CX29" s="153" t="inlineStr">
        <is>
          <t>Backend Engineering ·.NET</t>
        </is>
      </c>
      <c r="CY29" s="153" t="inlineStr">
        <is>
          <t>Senior Software Engineer</t>
        </is>
      </c>
      <c r="CZ29" s="153" t="inlineStr">
        <is>
          <t>L4 – Senior</t>
        </is>
      </c>
      <c r="DA29" s="153" t="inlineStr">
        <is>
          <t>B.E</t>
        </is>
      </c>
      <c r="DB29" s="153" t="inlineStr">
        <is>
          <t>Zakiruddin Shaikh</t>
        </is>
      </c>
      <c r="DC29" s="153" t="inlineStr">
        <is>
          <t>N-4</t>
        </is>
      </c>
      <c r="DD29" s="153" t="inlineStr">
        <is>
          <t>Individual Contributor</t>
        </is>
      </c>
      <c r="DE29" s="153" t="inlineStr">
        <is>
          <t>5 years, 9 months, 0 days</t>
        </is>
      </c>
      <c r="DF29" s="153" t="inlineStr">
        <is>
          <t>5 years, 3 months, 16 days</t>
        </is>
      </c>
      <c r="DG29" s="153" t="inlineStr">
        <is>
          <t>11 years, 0 months, 16 days</t>
        </is>
      </c>
      <c r="DH29" s="153" t="n"/>
      <c r="DI29" s="153" t="inlineStr">
        <is>
          <t>Consume</t>
        </is>
      </c>
      <c r="DJ29" s="153" t="inlineStr">
        <is>
          <t>Consume</t>
        </is>
      </c>
      <c r="DK29" s="153" t="inlineStr">
        <is>
          <t>Technology</t>
        </is>
      </c>
      <c r="DL29" s="153" t="inlineStr">
        <is>
          <t>Development</t>
        </is>
      </c>
      <c r="DM29" s="153" t="inlineStr">
        <is>
          <t>Yes</t>
        </is>
      </c>
      <c r="DN29" s="153" t="inlineStr">
        <is>
          <t>Product/Project</t>
        </is>
      </c>
      <c r="DO29" s="153" t="inlineStr">
        <is>
          <t>.NET MVC</t>
        </is>
      </c>
      <c r="DP29" s="153" t="inlineStr">
        <is>
          <t>Technical - Developer</t>
        </is>
      </c>
      <c r="DQ29" s="153" t="inlineStr">
        <is>
          <t>Client Side</t>
        </is>
      </c>
      <c r="DR29" s="153" t="n"/>
      <c r="DS29" s="1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DT29" s="153" t="inlineStr">
        <is>
          <r>
            <rPr>
              <rFont val="Calibri"/>
              <b val="1"/>
              <sz val="10"/>
            </rPr>
            <t>Q1:</t>
          </r>
          <r>
            <rPr>
              <rFont val="Calibri"/>
              <sz val="10"/>
            </rPr>
            <t xml:space="preserve">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t>
          </r>
          <r>
            <rPr>
              <rFont val="Calibri"/>
              <b val="1"/>
              <sz val="10"/>
            </rPr>
            <t>Q1:</t>
          </r>
          <r>
            <rPr>
              <rFont val="Calibri"/>
              <sz val="10"/>
            </rPr>
            <t xml:space="preserve">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t>
          </r>
          <r>
            <rPr>
              <rFont val="Calibri"/>
              <b val="1"/>
              <sz val="10"/>
            </rPr>
            <t>Q1:</t>
          </r>
          <r>
            <rPr>
              <rFont val="Calibri"/>
              <sz val="10"/>
            </rPr>
            <t xml:space="preserve"> Resolve assigned production/critical bugs within agreed SLA · &gt;=95% within SLA
Sharad always resolve the assigned production/critical bugs within the agreed SLA. · &gt;=95% within SLA
</t>
          </r>
          <r>
            <rPr>
              <rFont val="Calibri"/>
              <b val="1"/>
              <sz val="10"/>
            </rPr>
            <t>Q1:</t>
          </r>
          <r>
            <rPr>
              <rFont val="Calibri"/>
              <sz val="10"/>
            </rPr>
            <t xml:space="preserve"> Improve unit-test / automated coverage on owned modules by &gt;=15 percentage points
Yes it is but there is some scope for improvement.</t>
          </r>
        </is>
      </c>
      <c r="DU29" s="153" t="n">
        <v>4</v>
      </c>
      <c r="DV29" s="153" t="n"/>
      <c r="DW29" s="153" t="inlineStr">
        <is>
          <t>Senior Software Engineer</t>
        </is>
      </c>
      <c r="DX29" s="153" t="n"/>
      <c r="DY29" s="153" t="n">
        <v>4</v>
      </c>
      <c r="DZ29" s="153" t="inlineStr">
        <is>
          <t>High</t>
        </is>
      </c>
      <c r="EA29" s="153" t="inlineStr">
        <is>
          <t>Core Contributor</t>
        </is>
      </c>
      <c r="EB29" s="153" t="inlineStr">
        <is>
          <t>Yes</t>
        </is>
      </c>
      <c r="EC29" s="153" t="inlineStr">
        <is>
          <t>Yes</t>
        </is>
      </c>
      <c r="ED29" s="153" t="n"/>
      <c r="EE29" s="153" t="n"/>
      <c r="EF29" s="153" t="inlineStr">
        <is>
          <t>Advanced .NET MVC; secure coding &amp; code-quality practices; unit/automated testing; system design fundamentals</t>
        </is>
      </c>
      <c r="EG29" s="153"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row>
  </sheetData>
  <mergeCells count="13">
    <mergeCell ref="A3:R3"/>
    <mergeCell ref="E4:F4"/>
    <mergeCell ref="V5:EG5"/>
    <mergeCell ref="I4:J4"/>
    <mergeCell ref="G4:H4"/>
    <mergeCell ref="L4:M4"/>
    <mergeCell ref="A2:R2"/>
    <mergeCell ref="A4:D4"/>
    <mergeCell ref="A5:L5"/>
    <mergeCell ref="M5:U5"/>
    <mergeCell ref="N4:Q4"/>
    <mergeCell ref="A1:R1"/>
    <mergeCell ref="R4:S4"/>
  </mergeCells>
  <hyperlinks>
    <hyperlink xmlns:r="http://schemas.openxmlformats.org/officeDocument/2006/relationships" ref="S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7030A0"/>
    <outlinePr summaryBelow="1" summaryRight="1"/>
    <pageSetUpPr fitToPage="1"/>
  </sheetPr>
  <dimension ref="A1:Z20"/>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4" customWidth="1" min="3" max="3"/>
    <col width="24" customWidth="1" min="4" max="4"/>
    <col width="22" customWidth="1" min="5" max="5"/>
    <col width="17" customWidth="1" min="6" max="6"/>
    <col width="16" customWidth="1" min="7" max="7"/>
    <col width="10" customWidth="1" min="8" max="8"/>
    <col width="6" customWidth="1" min="9" max="9"/>
    <col width="6" customWidth="1" min="10" max="10"/>
    <col width="7" customWidth="1" min="11" max="11"/>
    <col width="7" customWidth="1" min="12" max="12"/>
    <col width="7" customWidth="1" min="13" max="13"/>
    <col width="10" customWidth="1" min="14" max="14"/>
    <col width="46" customWidth="1" min="15" max="15"/>
    <col width="40" customWidth="1" min="16" max="16"/>
    <col width="40" customWidth="1" min="17" max="17"/>
    <col width="46" customWidth="1" min="18" max="18"/>
    <col width="44" customWidth="1" min="19" max="19"/>
    <col width="40" customWidth="1" min="20" max="20"/>
    <col width="26" customWidth="1" min="21" max="21"/>
    <col width="24" customWidth="1" min="22" max="22"/>
    <col width="24" customWidth="1" min="23" max="23"/>
    <col width="12" customWidth="1" min="24" max="24"/>
    <col width="22" customWidth="1" min="25" max="25"/>
    <col width="26" customWidth="1" min="26" max="26"/>
  </cols>
  <sheetData>
    <row r="1" ht="34" customHeight="1">
      <c r="A1" s="1" t="inlineStr">
        <is>
          <t>Role Competency Framework — by band, role and sub-family · bottom to top</t>
        </is>
      </c>
      <c r="U1" s="232" t="inlineStr">
        <is>
          <t>◂ Contents</t>
        </is>
      </c>
    </row>
    <row r="2" ht="30" customHeight="1">
      <c r="A2" s="3" t="inlineStr">
        <is>
          <t>Sheet 4 · 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F4" s="68" t="inlineStr">
        <is>
          <t>Player-Coach · B+ · C+</t>
        </is>
      </c>
      <c r="H4" s="69" t="inlineStr">
        <is>
          <t>RED = critical input needed · could change or confirm the level</t>
        </is>
      </c>
    </row>
    <row r="5" ht="32" customHeight="1">
      <c r="A5" s="73" t="inlineStr">
        <is>
          <t>ROLE — band → level → role → sub-family</t>
        </is>
      </c>
      <c r="J5" s="74" t="inlineStr">
        <is>
          <t>REQUIRED PROFICIENCY · 1–5, SFIA-aligned</t>
        </is>
      </c>
      <c r="O5" s="76" t="inlineStr">
        <is>
          <t>WHAT IT LOOKS LIKE AT THIS LEVEL — behavioural indicators</t>
        </is>
      </c>
      <c r="R5" s="77" t="inlineStr">
        <is>
          <t>FUNCTIONAL &amp; TECHNICAL — for this role's family and department</t>
        </is>
      </c>
      <c r="U5" s="79" t="inlineStr">
        <is>
          <t>ASSESS, CERTIFY &amp; DEVELOP</t>
        </is>
      </c>
    </row>
    <row r="6" ht="58" customHeight="1">
      <c r="A6" s="91" t="inlineStr">
        <is>
          <t>Band</t>
        </is>
      </c>
      <c r="B6" s="92" t="inlineStr">
        <is>
          <t>Level</t>
        </is>
      </c>
      <c r="C6" s="92" t="inlineStr">
        <is>
          <t>Level title</t>
        </is>
      </c>
      <c r="D6" s="92" t="inlineStr">
        <is>
          <t>Role · designation</t>
        </is>
      </c>
      <c r="E6" s="92" t="inlineStr">
        <is>
          <t>Sub-family</t>
        </is>
      </c>
      <c r="F6" s="92" t="inlineStr">
        <is>
          <t>Job family</t>
        </is>
      </c>
      <c r="G6" s="92" t="inlineStr">
        <is>
          <t>Department · s</t>
        </is>
      </c>
      <c r="H6" s="92" t="inlineStr">
        <is>
          <t>Track</t>
        </is>
      </c>
      <c r="I6" s="92" t="inlineStr">
        <is>
          <t>People</t>
        </is>
      </c>
      <c r="J6" s="93" t="inlineStr">
        <is>
          <t>Core</t>
        </is>
      </c>
      <c r="K6" s="12" t="inlineStr">
        <is>
          <t>Future-ready</t>
        </is>
      </c>
      <c r="L6" s="12" t="inlineStr">
        <is>
          <t>Functional</t>
        </is>
      </c>
      <c r="M6" s="12" t="inlineStr">
        <is>
          <t>Leadership</t>
        </is>
      </c>
      <c r="N6" s="12" t="inlineStr">
        <is>
          <t>Fit needed</t>
        </is>
      </c>
      <c r="O6" s="94" t="inlineStr">
        <is>
          <t>Core</t>
        </is>
      </c>
      <c r="P6" s="151" t="inlineStr">
        <is>
          <t>Future-ready</t>
        </is>
      </c>
      <c r="Q6" s="151" t="inlineStr">
        <is>
          <t>Leadership</t>
        </is>
      </c>
      <c r="R6" s="95" t="inlineStr">
        <is>
          <t>★ Must-have functional competencies</t>
        </is>
      </c>
      <c r="S6" s="96" t="inlineStr">
        <is>
          <t>Other functional competencies</t>
        </is>
      </c>
      <c r="T6" s="96" t="inlineStr">
        <is>
          <t>Department technical competencies · new</t>
        </is>
      </c>
      <c r="U6" s="97" t="inlineStr">
        <is>
          <t>How to assess</t>
        </is>
      </c>
      <c r="V6" s="98" t="inlineStr">
        <is>
          <t>Credentials / certifications</t>
        </is>
      </c>
      <c r="W6" s="98" t="inlineStr">
        <is>
          <t>Mandatory &amp; gate requirements</t>
        </is>
      </c>
      <c r="X6" s="98" t="inlineStr">
        <is>
          <t>Role-holders today · avg index · meet level</t>
        </is>
      </c>
      <c r="Y6" s="98" t="inlineStr">
        <is>
          <t>Most common gaps</t>
        </is>
      </c>
      <c r="Z6" s="98" t="inlineStr">
        <is>
          <t>Learning priorities for this role</t>
        </is>
      </c>
    </row>
    <row r="7" ht="20" customHeight="1">
      <c r="A7" s="155" t="inlineStr">
        <is>
          <t>Band A — Practitioner</t>
        </is>
      </c>
    </row>
    <row r="8" ht="158" customHeight="1">
      <c r="A8" s="156" t="inlineStr">
        <is>
          <t>A</t>
        </is>
      </c>
      <c r="B8" s="26" t="inlineStr">
        <is>
          <t>A2</t>
        </is>
      </c>
      <c r="C8" s="139" t="inlineStr">
        <is>
          <t>Associate</t>
        </is>
      </c>
      <c r="D8" s="110" t="inlineStr">
        <is>
          <t>Digitization Associate</t>
        </is>
      </c>
      <c r="E8" s="111" t="inlineStr">
        <is>
          <t>Document Conversion, Formatting &amp; Web Publishing</t>
        </is>
      </c>
      <c r="F8" s="111" t="inlineStr">
        <is>
          <t>Data Operations &amp; Digitization</t>
        </is>
      </c>
      <c r="G8" s="111" t="inlineStr">
        <is>
          <t>Digitizing</t>
        </is>
      </c>
      <c r="H8" s="111" t="inlineStr">
        <is>
          <t>IC</t>
        </is>
      </c>
      <c r="I8" s="112" t="n">
        <v>1</v>
      </c>
      <c r="J8" s="157" t="n">
        <v>2</v>
      </c>
      <c r="K8" s="158" t="n">
        <v>2</v>
      </c>
      <c r="L8" s="158" t="n">
        <v>2</v>
      </c>
      <c r="M8" s="158" t="inlineStr">
        <is>
          <t>—</t>
        </is>
      </c>
      <c r="N8" s="115" t="inlineStr">
        <is>
          <t>Index ≥ 90% · meets; must-haves at required level</t>
        </is>
      </c>
      <c r="O8"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8" s="159"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8" s="159" t="inlineStr">
        <is>
          <t>Not required at this level · Band A has one common path; leadership is not scored.</t>
        </is>
      </c>
      <c r="R8" s="119" t="inlineStr">
        <is>
          <t>• ★ Advanced Excel &amp; Productivity Tools: Applies the skill to standard work with routine guidance; work spot-checked.
• ★ Process Improvement &amp; Quality Mindset: Applies the skill to standard work with routine guidance; work spot-checked.</t>
        </is>
      </c>
      <c r="S8" s="160" t="inlineStr">
        <is>
          <r>
            <rPr>
              <rFont val="Calibri"/>
              <sz val="10"/>
            </rPr>
            <t xml:space="preserve">• </t>
          </r>
          <r>
            <rPr>
              <rFont val="Calibri"/>
              <b val="1"/>
              <sz val="10"/>
            </rPr>
            <t>Regulatory &amp; BFSI Domain:</t>
          </r>
          <r>
            <rPr>
              <rFont val="Calibri"/>
              <sz val="10"/>
            </rPr>
            <t xml:space="preserve"> Applies the skill to standard work with routine guidance; work spot-checked.
• </t>
          </r>
          <r>
            <rPr>
              <rFont val="Calibri"/>
              <b val="1"/>
              <sz val="10"/>
            </rPr>
            <t>XBRL, iXBRL &amp; Taxonomy:</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Time, Priority &amp; Self-Management:</t>
          </r>
          <r>
            <rPr>
              <rFont val="Calibri"/>
              <sz val="10"/>
            </rPr>
            <t xml:space="preserve"> Applies the skill to standard work with routine guidance; work spot-checked.</t>
          </r>
        </is>
      </c>
      <c r="T8" s="160" t="inlineStr">
        <is>
          <t>—</t>
        </is>
      </c>
      <c r="U8" s="121" t="inlineStr">
        <is>
          <t>Practical test; Work sample / case; Domain interview; Tagging test on a real filing; Work sample / portfolio; Behavioural interview</t>
        </is>
      </c>
      <c r="V8" s="122" t="inlineStr">
        <is>
          <t>MOS Excel · optional; Lean / Six Sigma · optional; Domain certifications · optional; XBRL US GAAP Certificate · AICPA &amp; XBRL US or equivalent; Vendor AI certifications · optional</t>
        </is>
      </c>
      <c r="W8" s="122" t="inlineStr">
        <is>
          <t>Accuracy and SLA discipline; data confidentiality; mandatory: POSH, Code of Conduct, InfoSec &amp; Privacy</t>
        </is>
      </c>
      <c r="X8" s="122" t="inlineStr">
        <is>
          <t>84% · 0 of 1</t>
        </is>
      </c>
      <c r="Y8" s="122" t="inlineStr">
        <is>
          <t>XBRL &amp; taxonomy · AI / GenAI · Prioritisation</t>
        </is>
      </c>
      <c r="Z8" s="122" t="inlineStr">
        <is>
          <t>Advanced Excel &amp; Productivity Tools · AI, GenAI &amp; Prompt Engineering · Test Automation &amp; QA Engineering</t>
        </is>
      </c>
    </row>
    <row r="9" ht="158" customHeight="1">
      <c r="A9" s="156" t="inlineStr">
        <is>
          <t>A</t>
        </is>
      </c>
      <c r="B9" s="26" t="inlineStr">
        <is>
          <t>A3</t>
        </is>
      </c>
      <c r="C9" s="139" t="inlineStr">
        <is>
          <t>Senior Associate</t>
        </is>
      </c>
      <c r="D9" s="110" t="inlineStr">
        <is>
          <t>Senior Data Analyst</t>
        </is>
      </c>
      <c r="E9" s="111" t="inlineStr">
        <is>
          <t>Financial Data Processing</t>
        </is>
      </c>
      <c r="F9" s="111" t="inlineStr">
        <is>
          <t>Data &amp; Analytics</t>
        </is>
      </c>
      <c r="G9" s="111" t="inlineStr">
        <is>
          <t>India Content</t>
        </is>
      </c>
      <c r="H9" s="111" t="inlineStr">
        <is>
          <t>IC</t>
        </is>
      </c>
      <c r="I9" s="112" t="n">
        <v>7</v>
      </c>
      <c r="J9" s="157" t="n">
        <v>2</v>
      </c>
      <c r="K9" s="158" t="n">
        <v>2</v>
      </c>
      <c r="L9" s="158" t="n">
        <v>3</v>
      </c>
      <c r="M9" s="158" t="inlineStr">
        <is>
          <t>—</t>
        </is>
      </c>
      <c r="N9" s="115" t="inlineStr">
        <is>
          <t>Index ≥ 90% · meets; must-haves at required level</t>
        </is>
      </c>
      <c r="O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9" s="159"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9" s="159" t="inlineStr">
        <is>
          <t>Not required at this level · Band A has one common path; leadership is not scored.</t>
        </is>
      </c>
      <c r="R9" s="119" t="inlineStr">
        <is>
          <t>• ★ Data Analytics, BI &amp; Visualisation: Builds MIS, dashboards and analysis
• ★ Database, SQL &amp; Data Engineering: Writes and tunes queries, procedures and ETL</t>
        </is>
      </c>
      <c r="S9" s="160" t="inlineStr">
        <is>
          <r>
            <rPr>
              <rFont val="Calibri"/>
              <sz val="10"/>
            </rPr>
            <t xml:space="preserve">•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t>
          </r>
        </is>
      </c>
      <c r="T9" s="160" t="inlineStr">
        <is>
          <t>—</t>
        </is>
      </c>
      <c r="U9" s="121" t="inlineStr">
        <is>
          <t>Data case / practical; SQL test / case; Practical test; Domain interview; Work sample / case; Accounting test</t>
        </is>
      </c>
      <c r="V9" s="122" t="inlineStr">
        <is>
          <t>Power BI / Tableau · optional; Database certifications · optional; MOS Excel · optional; Domain certifications · optional; Lean / Six Sigma · optional; CA / CMA / ACCA / CFA / IFRS certificate</t>
        </is>
      </c>
      <c r="W9" s="122" t="inlineStr">
        <is>
          <t>Data quality and confidentiality; mandatory: POSH, Code of Conduct, InfoSec &amp; Privacy</t>
        </is>
      </c>
      <c r="X9" s="122" t="inlineStr">
        <is>
          <t>91% · 5 of 7</t>
        </is>
      </c>
      <c r="Y9" s="122" t="inlineStr">
        <is>
          <t>Analytics &amp; BI · Accounting standards · Excel &amp; tools · Ownership</t>
        </is>
      </c>
      <c r="Z9" s="122" t="inlineStr">
        <is>
          <t>RC.DATA-F: source validation · reconciliation · data lineage · issue management</t>
        </is>
      </c>
    </row>
    <row r="10" ht="158" customHeight="1">
      <c r="A10" s="156" t="inlineStr">
        <is>
          <t>A</t>
        </is>
      </c>
      <c r="B10" s="26" t="inlineStr">
        <is>
          <t>A3</t>
        </is>
      </c>
      <c r="C10" s="139" t="inlineStr">
        <is>
          <t>Senior Associate</t>
        </is>
      </c>
      <c r="D10" s="110" t="inlineStr">
        <is>
          <t>Senior Digitization Associate</t>
        </is>
      </c>
      <c r="E10" s="111" t="inlineStr">
        <is>
          <t>Document Conversion, Formatting &amp; Web Publishing</t>
        </is>
      </c>
      <c r="F10" s="111" t="inlineStr">
        <is>
          <t>Data Operations &amp; Digitization</t>
        </is>
      </c>
      <c r="G10" s="111" t="inlineStr">
        <is>
          <t>Digitizing</t>
        </is>
      </c>
      <c r="H10" s="111" t="inlineStr">
        <is>
          <t>IC</t>
        </is>
      </c>
      <c r="I10" s="112" t="n">
        <v>6</v>
      </c>
      <c r="J10" s="157" t="n">
        <v>2</v>
      </c>
      <c r="K10" s="158" t="n">
        <v>2</v>
      </c>
      <c r="L10" s="158" t="n">
        <v>3</v>
      </c>
      <c r="M10" s="158" t="inlineStr">
        <is>
          <t>—</t>
        </is>
      </c>
      <c r="N10" s="115" t="inlineStr">
        <is>
          <t>Index ≥ 90% · meets; must-haves at required level</t>
        </is>
      </c>
      <c r="O10"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0" s="159"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0" s="159" t="inlineStr">
        <is>
          <t>Not required at this level · Band A has one common path; leadership is not scored.</t>
        </is>
      </c>
      <c r="R10" s="119" t="inlineStr">
        <is>
          <t>• ★ Advanced Excel &amp; Productivity Tools: Uses advanced Excel, Word, HTML and conversion tools fluently
• ★ Process Improvement &amp; Quality Mindset: Delivers right-first-time; improves own checklists</t>
        </is>
      </c>
      <c r="S10" s="160"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t>
          </r>
        </is>
      </c>
      <c r="T10" s="160" t="inlineStr">
        <is>
          <t>—</t>
        </is>
      </c>
      <c r="U10" s="121" t="inlineStr">
        <is>
          <t>Practical test; Work sample / case; Domain interview; Tagging test on a real filing; Work sample / portfolio; Behavioural interview</t>
        </is>
      </c>
      <c r="V10" s="122" t="inlineStr">
        <is>
          <t>MOS Excel · optional; Lean / Six Sigma · optional; Domain certifications · optional; XBRL US GAAP Certificate · AICPA &amp; XBRL US or equivalent; Vendor AI certifications · optional</t>
        </is>
      </c>
      <c r="W10" s="122" t="inlineStr">
        <is>
          <t>Accuracy and SLA discipline; data confidentiality; mandatory: POSH, Code of Conduct, InfoSec &amp; Privacy</t>
        </is>
      </c>
      <c r="X10" s="122" t="inlineStr">
        <is>
          <t>82% · 1 of 6</t>
        </is>
      </c>
      <c r="Y10" s="122" t="inlineStr">
        <is>
          <t>XBRL &amp; taxonomy · Excel &amp; tools · AI / GenAI · Quality &amp; process</t>
        </is>
      </c>
      <c r="Z10" s="122" t="inlineStr">
        <is>
          <t>Project, Program &amp; Agile Management · AI, GenAI &amp; Prompt Engineering · Advanced Excel &amp; Productivity Tools · Regulatory &amp; BFSI Domain</t>
        </is>
      </c>
    </row>
    <row r="11" ht="158" customHeight="1">
      <c r="A11" s="156" t="inlineStr">
        <is>
          <t>A</t>
        </is>
      </c>
      <c r="B11" s="26" t="inlineStr">
        <is>
          <t>A3</t>
        </is>
      </c>
      <c r="C11" s="139" t="inlineStr">
        <is>
          <t>Senior Associate</t>
        </is>
      </c>
      <c r="D11" s="110" t="inlineStr">
        <is>
          <t>Senior Software Engineer</t>
        </is>
      </c>
      <c r="E11" s="111" t="inlineStr">
        <is>
          <t>Application Maintenance &amp; Production Support</t>
        </is>
      </c>
      <c r="F11" s="111" t="inlineStr">
        <is>
          <t>Engineering &amp; Development</t>
        </is>
      </c>
      <c r="G11" s="111" t="inlineStr">
        <is>
          <t>Technology</t>
        </is>
      </c>
      <c r="H11" s="111" t="inlineStr">
        <is>
          <t>IC</t>
        </is>
      </c>
      <c r="I11" s="112" t="n">
        <v>1</v>
      </c>
      <c r="J11" s="157" t="n">
        <v>2</v>
      </c>
      <c r="K11" s="158" t="n">
        <v>2</v>
      </c>
      <c r="L11" s="158" t="n">
        <v>3</v>
      </c>
      <c r="M11" s="158" t="inlineStr">
        <is>
          <t>—</t>
        </is>
      </c>
      <c r="N11" s="115" t="inlineStr">
        <is>
          <t>Index ≥ 90% · meets; must-haves at required level</t>
        </is>
      </c>
      <c r="O11"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1" s="159"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1" s="159" t="inlineStr">
        <is>
          <t>Not required at this level · Band A has one common path; leadership is not scored.</t>
        </is>
      </c>
      <c r="R11" s="119" t="inlineStr">
        <is>
          <t>• ★ Programming &amp; Tech-Stack Depth: Builds features with clean, tested code
• ★ System Design &amp; Architecture: Designs components and integrations for a module</t>
        </is>
      </c>
      <c r="S11" s="160"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1" s="160" t="inlineStr">
        <is>
          <t>—</t>
        </is>
      </c>
      <c r="U11" s="121" t="inlineStr">
        <is>
          <t>Coding test + code review; System-design interview / design review; SQL test / case; Practical task; Work sample / portfolio; Scenario interview</t>
        </is>
      </c>
      <c r="V11" s="122" t="inlineStr">
        <is>
          <t>Cloud / language certifications · optional; AWS / Azure architect · optional; Database certifications · optional; AWS / Azure / Kubernetes certifications; Vendor AI certifications · optional; Internal product certification</t>
        </is>
      </c>
      <c r="W11" s="122" t="inlineStr">
        <is>
          <t>Secure coding · OWASP, code review, unit testing; mandatory: POSH, Code of Conduct, InfoSec &amp; Privacy</t>
        </is>
      </c>
      <c r="X11" s="122" t="inlineStr">
        <is>
          <t>98% · 1 of 1</t>
        </is>
      </c>
      <c r="Y11" s="122" t="inlineStr">
        <is>
          <t>System design · AI / GenAI</t>
        </is>
      </c>
      <c r="Z11" s="122" t="inlineStr">
        <is>
          <t>Cloud, DevOps &amp; CI/CD · AI, GenAI &amp; Prompt Engineering · Programming &amp; Tech-Stack Depth</t>
        </is>
      </c>
    </row>
    <row r="12" ht="158" customHeight="1">
      <c r="A12" s="156" t="inlineStr">
        <is>
          <t>A</t>
        </is>
      </c>
      <c r="B12" s="26" t="inlineStr">
        <is>
          <t>A3</t>
        </is>
      </c>
      <c r="C12" s="139" t="inlineStr">
        <is>
          <t>Senior Associate</t>
        </is>
      </c>
      <c r="D12" s="110" t="inlineStr">
        <is>
          <t>Technical Specialist</t>
        </is>
      </c>
      <c r="E12" s="111" t="inlineStr">
        <is>
          <t>Application Maintenance &amp; Production Support</t>
        </is>
      </c>
      <c r="F12" s="111" t="inlineStr">
        <is>
          <t>Engineering &amp; Development</t>
        </is>
      </c>
      <c r="G12" s="111" t="inlineStr">
        <is>
          <t>Technology</t>
        </is>
      </c>
      <c r="H12" s="111" t="inlineStr">
        <is>
          <t>IC</t>
        </is>
      </c>
      <c r="I12" s="112" t="n">
        <v>1</v>
      </c>
      <c r="J12" s="157" t="n">
        <v>2</v>
      </c>
      <c r="K12" s="158" t="n">
        <v>2</v>
      </c>
      <c r="L12" s="158" t="n">
        <v>3</v>
      </c>
      <c r="M12" s="158" t="inlineStr">
        <is>
          <t>—</t>
        </is>
      </c>
      <c r="N12" s="115" t="inlineStr">
        <is>
          <t>Index ≥ 90% · meets; must-haves at required level</t>
        </is>
      </c>
      <c r="O12"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2" s="159"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2" s="159" t="inlineStr">
        <is>
          <t>Not required at this level · Band A has one common path; leadership is not scored.</t>
        </is>
      </c>
      <c r="R12" s="119" t="inlineStr">
        <is>
          <t>• ★ Programming &amp; Tech-Stack Depth: Builds features with clean, tested code
• ★ System Design &amp; Architecture: Designs components and integrations for a module</t>
        </is>
      </c>
      <c r="S12" s="160"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2" s="160" t="inlineStr">
        <is>
          <t>—</t>
        </is>
      </c>
      <c r="U12" s="121" t="inlineStr">
        <is>
          <t>Coding test + code review; System-design interview / design review; SQL test / case; Practical task; Work sample / portfolio; Scenario interview</t>
        </is>
      </c>
      <c r="V12" s="122" t="inlineStr">
        <is>
          <t>Cloud / language certifications · optional; AWS / Azure architect · optional; Database certifications · optional; AWS / Azure / Kubernetes certifications; Vendor AI certifications · optional; Internal product certification</t>
        </is>
      </c>
      <c r="W12" s="122" t="inlineStr">
        <is>
          <t>Secure coding · OWASP, code review, unit testing; mandatory: POSH, Code of Conduct, InfoSec &amp; Privacy</t>
        </is>
      </c>
      <c r="X12" s="122" t="inlineStr">
        <is>
          <t>96% · 1 of 1</t>
        </is>
      </c>
      <c r="Y12" s="122" t="inlineStr">
        <is>
          <t>Programming &amp; stack · System design · AI / GenAI</t>
        </is>
      </c>
      <c r="Z12" s="122" t="inlineStr">
        <is>
          <t>Stakeholder &amp; Client Management · Broader Ownership &amp; Cross-functional Exposure</t>
        </is>
      </c>
    </row>
    <row r="13" ht="20" customHeight="1">
      <c r="A13" s="155" t="inlineStr">
        <is>
          <t>Band B — Specialist / Manager</t>
        </is>
      </c>
    </row>
    <row r="14" ht="184" customHeight="1">
      <c r="A14" s="161" t="inlineStr">
        <is>
          <t>B</t>
        </is>
      </c>
      <c r="B14" s="23" t="inlineStr">
        <is>
          <t>B1</t>
        </is>
      </c>
      <c r="C14" s="21" t="inlineStr">
        <is>
          <t>Specialist</t>
        </is>
      </c>
      <c r="D14" s="110" t="inlineStr">
        <is>
          <t>Data Specialist</t>
        </is>
      </c>
      <c r="E14" s="111" t="inlineStr">
        <is>
          <t>Financial Data Processing</t>
        </is>
      </c>
      <c r="F14" s="111" t="inlineStr">
        <is>
          <t>Data &amp; Analytics</t>
        </is>
      </c>
      <c r="G14" s="111" t="inlineStr">
        <is>
          <t>India Content</t>
        </is>
      </c>
      <c r="H14" s="111" t="inlineStr">
        <is>
          <t>IC</t>
        </is>
      </c>
      <c r="I14" s="112" t="n">
        <v>1</v>
      </c>
      <c r="J14" s="157" t="n">
        <v>3</v>
      </c>
      <c r="K14" s="158" t="n">
        <v>3</v>
      </c>
      <c r="L14" s="158" t="n">
        <v>3</v>
      </c>
      <c r="M14" s="158" t="n">
        <v>1</v>
      </c>
      <c r="N14" s="115" t="inlineStr">
        <is>
          <t>Index ≥ 90% · meets; must-haves at required level</t>
        </is>
      </c>
      <c r="O14"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14"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14" s="159"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14" s="119" t="inlineStr">
        <is>
          <t>• ★ Data Analytics, BI &amp; Visualisation: Builds MIS, dashboards and analysis
• ★ Database, SQL &amp; Data Engineering: Writes and tunes queries, procedures and ETL</t>
        </is>
      </c>
      <c r="S14" s="160" t="inlineStr">
        <is>
          <r>
            <rPr>
              <rFont val="Calibri"/>
              <sz val="10"/>
            </rPr>
            <t xml:space="preserve">•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t>
          </r>
        </is>
      </c>
      <c r="T14" s="160" t="inlineStr">
        <is>
          <t>—</t>
        </is>
      </c>
      <c r="U14" s="121" t="inlineStr">
        <is>
          <t>Data case / practical; SQL test / case; Practical test; Domain interview; Work sample / case; Accounting test</t>
        </is>
      </c>
      <c r="V14" s="122" t="inlineStr">
        <is>
          <t>Power BI / Tableau · optional; Database certifications · optional; MOS Excel · optional; Domain certifications · optional; Lean / Six Sigma · optional; CA / CMA / ACCA / CFA / IFRS certificate</t>
        </is>
      </c>
      <c r="W14" s="122" t="inlineStr">
        <is>
          <t>Data quality and confidentiality; mandatory: POSH, Code of Conduct, InfoSec &amp; Privacy</t>
        </is>
      </c>
      <c r="X14" s="122" t="inlineStr">
        <is>
          <t>94% · 1 of 1</t>
        </is>
      </c>
      <c r="Y14" s="122" t="inlineStr">
        <is>
          <t>Analytics &amp; BI · Accounting standards · Learning agility</t>
        </is>
      </c>
      <c r="Z14" s="122" t="inlineStr">
        <is>
          <t>People Leadership &amp; Mentoring · Project, Program &amp; Agile Management · Stakeholder &amp; Client Management</t>
        </is>
      </c>
    </row>
    <row r="15" ht="184" customHeight="1">
      <c r="A15" s="161" t="inlineStr">
        <is>
          <t>B</t>
        </is>
      </c>
      <c r="B15" s="23" t="inlineStr">
        <is>
          <t>B1</t>
        </is>
      </c>
      <c r="C15" s="21" t="inlineStr">
        <is>
          <t>Specialist</t>
        </is>
      </c>
      <c r="D15" s="110" t="inlineStr">
        <is>
          <t>Digitization Specialist</t>
        </is>
      </c>
      <c r="E15" s="111" t="inlineStr">
        <is>
          <t>Document Conversion, Formatting &amp; Web Publishing</t>
        </is>
      </c>
      <c r="F15" s="111" t="inlineStr">
        <is>
          <t>Data Operations &amp; Digitization</t>
        </is>
      </c>
      <c r="G15" s="111" t="inlineStr">
        <is>
          <t>Digitizing</t>
        </is>
      </c>
      <c r="H15" s="111" t="inlineStr">
        <is>
          <t>IC</t>
        </is>
      </c>
      <c r="I15" s="112" t="n">
        <v>1</v>
      </c>
      <c r="J15" s="157" t="n">
        <v>3</v>
      </c>
      <c r="K15" s="158" t="n">
        <v>3</v>
      </c>
      <c r="L15" s="158" t="n">
        <v>3</v>
      </c>
      <c r="M15" s="158" t="n">
        <v>1</v>
      </c>
      <c r="N15" s="115" t="inlineStr">
        <is>
          <t>Index ≥ 90% · meets; must-haves at required level</t>
        </is>
      </c>
      <c r="O15"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15"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15" s="159"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15" s="119" t="inlineStr">
        <is>
          <t>• ★ Advanced Excel &amp; Productivity Tools: Uses advanced Excel, Word, HTML and conversion tools fluently
• ★ Process Improvement &amp; Quality Mindset: Delivers right-first-time; improves own checklists</t>
        </is>
      </c>
      <c r="S15" s="160"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t>
          </r>
        </is>
      </c>
      <c r="T15" s="160" t="inlineStr">
        <is>
          <t>—</t>
        </is>
      </c>
      <c r="U15" s="121" t="inlineStr">
        <is>
          <t>Practical test; Work sample / case; Domain interview; Tagging test on a real filing; Work sample / portfolio; Behavioural interview</t>
        </is>
      </c>
      <c r="V15" s="122" t="inlineStr">
        <is>
          <t>MOS Excel · optional; Lean / Six Sigma · optional; Domain certifications · optional; XBRL US GAAP Certificate · AICPA &amp; XBRL US or equivalent; Vendor AI certifications · optional</t>
        </is>
      </c>
      <c r="W15" s="122" t="inlineStr">
        <is>
          <t>Accuracy and SLA discipline; data confidentiality; mandatory: POSH, Code of Conduct, InfoSec &amp; Privacy</t>
        </is>
      </c>
      <c r="X15" s="122" t="inlineStr">
        <is>
          <t>96% · 1 of 1</t>
        </is>
      </c>
      <c r="Y15" s="122" t="inlineStr">
        <is>
          <t>AI / GenAI · Prioritisation · Learning agility</t>
        </is>
      </c>
      <c r="Z15" s="122" t="inlineStr">
        <is>
          <t>Project, Program &amp; Agile Management · Process Improvement &amp; Quality Mindset</t>
        </is>
      </c>
    </row>
    <row r="16" ht="184" customHeight="1">
      <c r="A16" s="161" t="inlineStr">
        <is>
          <t>B</t>
        </is>
      </c>
      <c r="B16" s="23" t="inlineStr">
        <is>
          <t>B1</t>
        </is>
      </c>
      <c r="C16" s="21" t="inlineStr">
        <is>
          <t>Specialist</t>
        </is>
      </c>
      <c r="D16" s="110" t="inlineStr">
        <is>
          <t>Technical Specialist</t>
        </is>
      </c>
      <c r="E16" s="111" t="inlineStr">
        <is>
          <t>Application Maintenance &amp; Production Support</t>
        </is>
      </c>
      <c r="F16" s="111" t="inlineStr">
        <is>
          <t>Engineering &amp; Development</t>
        </is>
      </c>
      <c r="G16" s="111" t="inlineStr">
        <is>
          <t>Technology</t>
        </is>
      </c>
      <c r="H16" s="111" t="inlineStr">
        <is>
          <t>IC</t>
        </is>
      </c>
      <c r="I16" s="112" t="n">
        <v>1</v>
      </c>
      <c r="J16" s="157" t="n">
        <v>3</v>
      </c>
      <c r="K16" s="158" t="n">
        <v>3</v>
      </c>
      <c r="L16" s="158" t="n">
        <v>3</v>
      </c>
      <c r="M16" s="158" t="n">
        <v>1</v>
      </c>
      <c r="N16" s="115" t="inlineStr">
        <is>
          <t>Index ≥ 90% · meets; must-haves at required level</t>
        </is>
      </c>
      <c r="O1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16"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16" s="159"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16" s="119" t="inlineStr">
        <is>
          <t>• ★ Programming &amp; Tech-Stack Depth: Builds features with clean, tested code
• ★ System Design &amp; Architecture: Designs components and integrations for a module</t>
        </is>
      </c>
      <c r="S16" s="160"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6" s="160" t="inlineStr">
        <is>
          <t>—</t>
        </is>
      </c>
      <c r="U16" s="121" t="inlineStr">
        <is>
          <t>Coding test + code review; System-design interview / design review; SQL test / case; Practical task; Work sample / portfolio; Scenario interview</t>
        </is>
      </c>
      <c r="V16" s="122" t="inlineStr">
        <is>
          <t>Cloud / language certifications · optional; AWS / Azure architect · optional; Database certifications · optional; AWS / Azure / Kubernetes certifications; Vendor AI certifications · optional; Internal product certification</t>
        </is>
      </c>
      <c r="W16" s="122" t="inlineStr">
        <is>
          <t>Secure coding · OWASP, code review, unit testing; mandatory: POSH, Code of Conduct, InfoSec &amp; Privacy</t>
        </is>
      </c>
      <c r="X16" s="122" t="inlineStr">
        <is>
          <t>98% · 1 of 1</t>
        </is>
      </c>
      <c r="Y16" s="122" t="inlineStr">
        <is>
          <t>Programming &amp; stack · AI / GenAI · Learning agility</t>
        </is>
      </c>
      <c r="Z16" s="122" t="inlineStr">
        <is>
          <t>Regulatory &amp; BFSI Domain · Project, Program &amp; Agile Management · Process Improvement &amp; Quality Mindset</t>
        </is>
      </c>
    </row>
    <row r="17" ht="184" customHeight="1">
      <c r="A17" s="161" t="inlineStr">
        <is>
          <t>B</t>
        </is>
      </c>
      <c r="B17" s="23" t="inlineStr">
        <is>
          <t>B2</t>
        </is>
      </c>
      <c r="C17" s="21" t="inlineStr">
        <is>
          <t>Manager</t>
        </is>
      </c>
      <c r="D17" s="110" t="inlineStr">
        <is>
          <t>Data Operations Manager</t>
        </is>
      </c>
      <c r="E17" s="111" t="inlineStr">
        <is>
          <t>Financial Data Processing</t>
        </is>
      </c>
      <c r="F17" s="111" t="inlineStr">
        <is>
          <t>Data &amp; Analytics</t>
        </is>
      </c>
      <c r="G17" s="111" t="inlineStr">
        <is>
          <t>India Content</t>
        </is>
      </c>
      <c r="H17" s="111" t="inlineStr">
        <is>
          <t>People Manager</t>
        </is>
      </c>
      <c r="I17" s="112" t="n">
        <v>1</v>
      </c>
      <c r="J17" s="157" t="n">
        <v>3</v>
      </c>
      <c r="K17" s="158" t="n">
        <v>3</v>
      </c>
      <c r="L17" s="158" t="n">
        <v>4</v>
      </c>
      <c r="M17" s="158" t="n">
        <v>3</v>
      </c>
      <c r="N17" s="115" t="inlineStr">
        <is>
          <t>Index ≥ 90% · meets; must-haves at required level</t>
        </is>
      </c>
      <c r="O1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17"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17" s="159"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17" s="119" t="inlineStr">
        <is>
          <t>• ★ Data Analytics, BI &amp; Visualisation: Defines metrics and analytics approach for a business
• ★ Database, SQL &amp; Data Engineering: Designs data models and pipelines; optimises at scale</t>
        </is>
      </c>
      <c r="S17" s="160" t="inlineStr">
        <is>
          <r>
            <rPr>
              <rFont val="Calibri"/>
              <sz val="10"/>
            </rPr>
            <t xml:space="preserve">• </t>
          </r>
          <r>
            <rPr>
              <rFont val="Calibri"/>
              <b val="1"/>
              <sz val="10"/>
            </rPr>
            <t>Advanced Excel &amp; Productivity Tools:</t>
          </r>
          <r>
            <rPr>
              <rFont val="Calibri"/>
              <sz val="10"/>
            </rPr>
            <t xml:space="preserve"> Builds templates and automation used by the team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Accounting &amp; Reporting Standards · IFRS/US GAAP:</t>
          </r>
          <r>
            <rPr>
              <rFont val="Calibri"/>
              <sz val="10"/>
            </rPr>
            <t xml:space="preserve"> Advises on complex disclosures and standards changes</t>
          </r>
        </is>
      </c>
      <c r="T17" s="160" t="inlineStr">
        <is>
          <t>—</t>
        </is>
      </c>
      <c r="U17" s="121" t="inlineStr">
        <is>
          <t>Data case / practical; SQL test / case; Practical test; Domain interview; Work sample / case; Accounting test</t>
        </is>
      </c>
      <c r="V17" s="122" t="inlineStr">
        <is>
          <t>Power BI / Tableau · optional; Database certifications · optional; MOS Excel · optional; Domain certifications · optional; Lean / Six Sigma · optional; CA / CMA / ACCA / CFA / IFRS certificate</t>
        </is>
      </c>
      <c r="W17" s="122" t="inlineStr">
        <is>
          <t>Data quality and confidentiality; mandatory: POSH, Code of Conduct, InfoSec &amp; Privacy</t>
        </is>
      </c>
      <c r="X17" s="122" t="inlineStr">
        <is>
          <t>96% · 1 of 1</t>
        </is>
      </c>
      <c r="Y17" s="122" t="inlineStr">
        <is>
          <t>Analytics &amp; BI · Accounting standards · Learning agility</t>
        </is>
      </c>
      <c r="Z17" s="122" t="inlineStr">
        <is>
          <t>People Leadership &amp; Mentoring · Project, Program &amp; Agile Management · Stakeholder &amp; Client Management</t>
        </is>
      </c>
    </row>
    <row r="18" ht="184" customHeight="1">
      <c r="A18" s="161" t="inlineStr">
        <is>
          <t>B</t>
        </is>
      </c>
      <c r="B18" s="23" t="inlineStr">
        <is>
          <t>B2</t>
        </is>
      </c>
      <c r="C18" s="21" t="inlineStr">
        <is>
          <t>Manager</t>
        </is>
      </c>
      <c r="D18" s="110" t="inlineStr">
        <is>
          <t>Digitization Manager</t>
        </is>
      </c>
      <c r="E18" s="111" t="inlineStr">
        <is>
          <t>Document Conversion, Formatting &amp; Web Publishing</t>
        </is>
      </c>
      <c r="F18" s="111" t="inlineStr">
        <is>
          <t>Data Operations &amp; Digitization</t>
        </is>
      </c>
      <c r="G18" s="111" t="inlineStr">
        <is>
          <t>Digitizing</t>
        </is>
      </c>
      <c r="H18" s="111" t="inlineStr">
        <is>
          <t>People Manager</t>
        </is>
      </c>
      <c r="I18" s="112" t="n">
        <v>1</v>
      </c>
      <c r="J18" s="157" t="n">
        <v>3</v>
      </c>
      <c r="K18" s="158" t="n">
        <v>3</v>
      </c>
      <c r="L18" s="158" t="n">
        <v>4</v>
      </c>
      <c r="M18" s="158" t="n">
        <v>3</v>
      </c>
      <c r="N18" s="115" t="inlineStr">
        <is>
          <t>Index ≥ 90% · meets; must-haves at required level</t>
        </is>
      </c>
      <c r="O18"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18"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18" s="159"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18" s="119" t="inlineStr">
        <is>
          <t>• ★ Advanced Excel &amp; Productivity Tools: Builds templates and automation used by the team
• ★ Process Improvement &amp; Quality Mindset: Redesigns team processes; reduces error rates measurably</t>
        </is>
      </c>
      <c r="S18" s="160"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XBRL, iXBRL &amp; Taxonomy:</t>
          </r>
          <r>
            <rPr>
              <rFont val="Calibri"/>
              <sz val="10"/>
            </rPr>
            <t xml:space="preserve"> Resolves complex tagging and taxonomy issues; builds extensions; reviews others
• </t>
          </r>
          <r>
            <rPr>
              <rFont val="Calibri"/>
              <b val="1"/>
              <sz val="10"/>
            </rPr>
            <t>AI, GenAI &amp; Prompt Engineering:</t>
          </r>
          <r>
            <rPr>
              <rFont val="Calibri"/>
              <sz val="10"/>
            </rPr>
            <t xml:space="preserve"> Builds AI features or AI-enabled processes; sets safe-use practice
• </t>
          </r>
          <r>
            <rPr>
              <rFont val="Calibri"/>
              <b val="1"/>
              <sz val="10"/>
            </rPr>
            <t>Time, Priority &amp; Self-Management:</t>
          </r>
          <r>
            <rPr>
              <rFont val="Calibri"/>
              <sz val="10"/>
            </rPr>
            <t xml:space="preserve"> Plans team capacity and peak-season loads</t>
          </r>
        </is>
      </c>
      <c r="T18" s="160" t="inlineStr">
        <is>
          <t>—</t>
        </is>
      </c>
      <c r="U18" s="121" t="inlineStr">
        <is>
          <t>Practical test; Work sample / case; Domain interview; Tagging test on a real filing; Work sample / portfolio; Behavioural interview</t>
        </is>
      </c>
      <c r="V18" s="122" t="inlineStr">
        <is>
          <t>MOS Excel · optional; Lean / Six Sigma · optional; Domain certifications · optional; XBRL US GAAP Certificate · AICPA &amp; XBRL US or equivalent; Vendor AI certifications · optional</t>
        </is>
      </c>
      <c r="W18" s="122" t="inlineStr">
        <is>
          <t>Accuracy and SLA discipline; data confidentiality; mandatory: POSH, Code of Conduct, InfoSec &amp; Privacy</t>
        </is>
      </c>
      <c r="X18" s="122" t="inlineStr">
        <is>
          <t>97% · 1 of 1</t>
        </is>
      </c>
      <c r="Y18" s="122" t="inlineStr">
        <is>
          <t>XBRL &amp; taxonomy · Learning agility · Digital fluency</t>
        </is>
      </c>
      <c r="Z18" s="122" t="inlineStr">
        <is>
          <t>Project, Program &amp; Agile Management</t>
        </is>
      </c>
    </row>
    <row r="19" ht="184" customHeight="1">
      <c r="A19" s="161" t="inlineStr">
        <is>
          <t>B</t>
        </is>
      </c>
      <c r="B19" s="23" t="inlineStr">
        <is>
          <t>B2</t>
        </is>
      </c>
      <c r="C19" s="21" t="inlineStr">
        <is>
          <t>Manager</t>
        </is>
      </c>
      <c r="D19" s="110" t="inlineStr">
        <is>
          <t>Project Manager</t>
        </is>
      </c>
      <c r="E19" s="111" t="inlineStr">
        <is>
          <t>Project &amp; Program Delivery</t>
        </is>
      </c>
      <c r="F19" s="111" t="inlineStr">
        <is>
          <t>Project &amp; Program Management</t>
        </is>
      </c>
      <c r="G19" s="111" t="inlineStr">
        <is>
          <t>Technology</t>
        </is>
      </c>
      <c r="H19" s="111" t="inlineStr">
        <is>
          <t>People Manager</t>
        </is>
      </c>
      <c r="I19" s="112" t="n">
        <v>1</v>
      </c>
      <c r="J19" s="157" t="n">
        <v>3</v>
      </c>
      <c r="K19" s="158" t="n">
        <v>3</v>
      </c>
      <c r="L19" s="158" t="n">
        <v>4</v>
      </c>
      <c r="M19" s="158" t="n">
        <v>3</v>
      </c>
      <c r="N19" s="115" t="inlineStr">
        <is>
          <t>Index ≥ 90% · meets; must-haves at required level</t>
        </is>
      </c>
      <c r="O19"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19"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19" s="159"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19" s="119" t="inlineStr">
        <is>
          <t>• ★ Project, Program &amp; Agile Management: Runs programmes across teams; improves delivery methods
• ★ Stakeholder &amp; Client Management: Owns key relationships; resolves escalations</t>
        </is>
      </c>
      <c r="S19" s="160"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19" s="160" t="inlineStr">
        <is>
          <t>—</t>
        </is>
      </c>
      <c r="U19" s="121" t="inlineStr">
        <is>
          <t>Case interview; Role play / behavioural interview; Presentation / writing test; Work sample / case; Scenario interview</t>
        </is>
      </c>
      <c r="V19" s="122" t="inlineStr">
        <is>
          <t>PMP / PRINCE2 / CSM / SAFe; Lean / Six Sigma · optional; MBA / PGDM · preferred at C+; Internal product certification</t>
        </is>
      </c>
      <c r="W19" s="122" t="inlineStr">
        <is>
          <t>Hybrid delivery governance; mandatory: POSH, Code of Conduct, InfoSec &amp; Privacy</t>
        </is>
      </c>
      <c r="X19" s="122" t="inlineStr">
        <is>
          <t>104% · 1 of 1</t>
        </is>
      </c>
      <c r="Y19" s="122" t="inlineStr">
        <is>
          <t>Problem solving · AI literacy · Innovation</t>
        </is>
      </c>
      <c r="Z19" s="122" t="inlineStr">
        <is>
          <t>Project, Program &amp; Agile Management · Process Improvement &amp; Quality Mindset · Programming &amp; Tech-Stack Depth</t>
        </is>
      </c>
    </row>
    <row r="20" ht="184" customHeight="1">
      <c r="A20" s="161" t="inlineStr">
        <is>
          <t>B</t>
        </is>
      </c>
      <c r="B20" s="23" t="inlineStr">
        <is>
          <t>B3</t>
        </is>
      </c>
      <c r="C20" s="21" t="inlineStr">
        <is>
          <t>Lead Specialist</t>
        </is>
      </c>
      <c r="D20" s="110" t="inlineStr">
        <is>
          <t>Lead Software Engineer</t>
        </is>
      </c>
      <c r="E20" s="111" t="inlineStr">
        <is>
          <t>Application Maintenance &amp; Production Support</t>
        </is>
      </c>
      <c r="F20" s="111" t="inlineStr">
        <is>
          <t>Engineering &amp; Development</t>
        </is>
      </c>
      <c r="G20" s="111" t="inlineStr">
        <is>
          <t>Technology</t>
        </is>
      </c>
      <c r="H20" s="111" t="inlineStr">
        <is>
          <t>IC</t>
        </is>
      </c>
      <c r="I20" s="112" t="n">
        <v>1</v>
      </c>
      <c r="J20" s="157" t="n">
        <v>4</v>
      </c>
      <c r="K20" s="158" t="n">
        <v>3</v>
      </c>
      <c r="L20" s="158" t="n">
        <v>4</v>
      </c>
      <c r="M20" s="158" t="n">
        <v>3</v>
      </c>
      <c r="N20" s="115" t="inlineStr">
        <is>
          <t>Index ≥ 90% · meets; must-haves at required level</t>
        </is>
      </c>
      <c r="O20"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20" s="159"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0" s="159"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20" s="119" t="inlineStr">
        <is>
          <t>• ★ Programming &amp; Tech-Stack Depth: Sets coding standards; solves performance and design issues across modules
• ★ System Design &amp; Architecture: Designs scalable, secure solutions across products; reviews designs</t>
        </is>
      </c>
      <c r="S20" s="160"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20" s="160" t="inlineStr">
        <is>
          <t>—</t>
        </is>
      </c>
      <c r="U20" s="121" t="inlineStr">
        <is>
          <t>Coding test + code review; System-design interview / design review; SQL test / case; Practical task; Work sample / portfolio; Scenario interview</t>
        </is>
      </c>
      <c r="V20" s="122" t="inlineStr">
        <is>
          <t>Cloud / language certifications · optional; AWS / Azure architect · optional; Database certifications · optional; AWS / Azure / Kubernetes certifications; Vendor AI certifications · optional; Internal product certification</t>
        </is>
      </c>
      <c r="W20" s="122" t="inlineStr">
        <is>
          <t>Secure coding · OWASP, code review, unit testing; mandatory: POSH, Code of Conduct, InfoSec &amp; Privacy</t>
        </is>
      </c>
      <c r="X20" s="122" t="inlineStr">
        <is>
          <t>100% · 1 of 1</t>
        </is>
      </c>
      <c r="Y20" s="122" t="inlineStr">
        <is>
          <t>System design · Learning agility · Strategic acumen</t>
        </is>
      </c>
      <c r="Z20" s="122" t="inlineStr">
        <is>
          <t>People Leadership &amp; Mentoring · AI, GenAI &amp; Prompt Engineering · Programming &amp; Tech-Stack Depth</t>
        </is>
      </c>
    </row>
  </sheetData>
  <mergeCells count="13">
    <mergeCell ref="A1:T1"/>
    <mergeCell ref="F4:G4"/>
    <mergeCell ref="O5:Q5"/>
    <mergeCell ref="U5:Z5"/>
    <mergeCell ref="A13:Z13"/>
    <mergeCell ref="A4:E4"/>
    <mergeCell ref="A5:I5"/>
    <mergeCell ref="J5:N5"/>
    <mergeCell ref="A3:T3"/>
    <mergeCell ref="R5:T5"/>
    <mergeCell ref="H4:M4"/>
    <mergeCell ref="A2:T2"/>
    <mergeCell ref="A7:Z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7030A0"/>
    <outlinePr summaryBelow="1" summaryRight="1"/>
    <pageSetUpPr fitToPage="1"/>
  </sheetPr>
  <dimension ref="A1:U142"/>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1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30" customWidth="1" min="16" max="16"/>
    <col width="30" customWidth="1" min="17" max="17"/>
    <col width="18" customWidth="1" min="18" max="18"/>
    <col width="20" customWidth="1" min="19" max="19"/>
    <col width="22" customWidth="1" min="20" max="20"/>
    <col width="13" customWidth="1" min="21" max="21"/>
  </cols>
  <sheetData>
    <row r="1" ht="34" customHeight="1">
      <c r="A1" s="1" t="inlineStr">
        <is>
          <t>Capability Framework — by department · Master M11, Steps 10–11</t>
        </is>
      </c>
      <c r="U1" s="232" t="inlineStr">
        <is>
          <t>◂ Contents</t>
        </is>
      </c>
    </row>
    <row r="2" ht="32" customHeight="1">
      <c r="A2" s="3" t="inlineStr">
        <is>
          <t>Sheet 5 · The level sizes the role; the capability framework defines what a person in it must be able to do, and how well · proficiency 1–5, aligned to SFIA 9. Company-wide clusters first, then each department: its families, capability health, technical competencies by level, learning focus and career paths.</t>
        </is>
      </c>
    </row>
    <row r="3">
      <c r="A3" s="4" t="inlineStr">
        <is>
          <t>IRIS · Job Architecture &amp; Job Design · Final v1.12 · October 2026 · Internal — Confidential</t>
        </is>
      </c>
    </row>
    <row r="4" ht="15" customHeight="1"/>
    <row r="5" ht="20" customHeight="1">
      <c r="A5" s="6" t="inlineStr">
        <is>
          <t>A. Rules and scale</t>
        </is>
      </c>
    </row>
    <row r="6" ht="15" customHeight="1">
      <c r="A6" s="12" t="inlineStr">
        <is>
          <t>ID</t>
        </is>
      </c>
      <c r="B6" s="12" t="inlineStr">
        <is>
          <t>Rule</t>
        </is>
      </c>
      <c r="C6" s="202" t="n"/>
      <c r="D6" s="202" t="n"/>
      <c r="E6" s="202" t="n"/>
      <c r="F6" s="202" t="n"/>
      <c r="G6" s="202" t="n"/>
      <c r="H6" s="202" t="n"/>
      <c r="I6" s="202" t="n"/>
      <c r="J6" s="202" t="n"/>
      <c r="K6" s="202" t="n"/>
      <c r="L6" s="202" t="n"/>
      <c r="M6" s="202" t="n"/>
      <c r="N6" s="202" t="n"/>
      <c r="O6" s="202" t="n"/>
      <c r="P6" s="201" t="n"/>
      <c r="Q6" s="12" t="inlineStr">
        <is>
          <t>Sources</t>
        </is>
      </c>
      <c r="R6" s="201" t="n"/>
    </row>
    <row r="7" ht="28" customHeight="1">
      <c r="A7" s="13" t="inlineStr">
        <is>
          <t>C1</t>
        </is>
      </c>
      <c r="B7" s="16"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7" s="202" t="n"/>
      <c r="D7" s="202" t="n"/>
      <c r="E7" s="202" t="n"/>
      <c r="F7" s="202" t="n"/>
      <c r="G7" s="202" t="n"/>
      <c r="H7" s="202" t="n"/>
      <c r="I7" s="202" t="n"/>
      <c r="J7" s="202" t="n"/>
      <c r="K7" s="202" t="n"/>
      <c r="L7" s="202" t="n"/>
      <c r="M7" s="202" t="n"/>
      <c r="N7" s="202" t="n"/>
      <c r="O7" s="202" t="n"/>
      <c r="P7" s="201" t="n"/>
      <c r="Q7" s="16" t="inlineStr">
        <is>
          <t>S14, S15, S12, S08</t>
        </is>
      </c>
      <c r="R7" s="201" t="n"/>
    </row>
    <row r="8" ht="15" customHeight="1">
      <c r="A8" s="13" t="inlineStr">
        <is>
          <t>C2</t>
        </is>
      </c>
      <c r="B8" s="16" t="inlineStr">
        <is>
          <t>Proficiency is rated 1–5 on a scale aligned to SFIA levels; the required proficiency is set by level.</t>
        </is>
      </c>
      <c r="C8" s="202" t="n"/>
      <c r="D8" s="202" t="n"/>
      <c r="E8" s="202" t="n"/>
      <c r="F8" s="202" t="n"/>
      <c r="G8" s="202" t="n"/>
      <c r="H8" s="202" t="n"/>
      <c r="I8" s="202" t="n"/>
      <c r="J8" s="202" t="n"/>
      <c r="K8" s="202" t="n"/>
      <c r="L8" s="202" t="n"/>
      <c r="M8" s="202" t="n"/>
      <c r="N8" s="202" t="n"/>
      <c r="O8" s="202" t="n"/>
      <c r="P8" s="201" t="n"/>
      <c r="Q8" s="16" t="inlineStr">
        <is>
          <t>S08</t>
        </is>
      </c>
      <c r="R8" s="201" t="n"/>
    </row>
    <row r="9" ht="15" customHeight="1">
      <c r="A9" s="13" t="inlineStr">
        <is>
          <t>C+</t>
        </is>
      </c>
      <c r="B9" s="16" t="inlineStr">
        <is>
          <t>Score per competency = rating ÷ required · capped at 120%. Cluster weights by level and track build the competency index.</t>
        </is>
      </c>
      <c r="C9" s="202" t="n"/>
      <c r="D9" s="202" t="n"/>
      <c r="E9" s="202" t="n"/>
      <c r="F9" s="202" t="n"/>
      <c r="G9" s="202" t="n"/>
      <c r="H9" s="202" t="n"/>
      <c r="I9" s="202" t="n"/>
      <c r="J9" s="202" t="n"/>
      <c r="K9" s="202" t="n"/>
      <c r="L9" s="202" t="n"/>
      <c r="M9" s="202" t="n"/>
      <c r="N9" s="202" t="n"/>
      <c r="O9" s="202" t="n"/>
      <c r="P9" s="201" t="n"/>
      <c r="Q9" s="16" t="inlineStr">
        <is>
          <t>—</t>
        </is>
      </c>
      <c r="R9" s="201" t="n"/>
    </row>
    <row r="10" ht="15" customHeight="1">
      <c r="A10" s="13" t="inlineStr">
        <is>
          <t>C4</t>
        </is>
      </c>
      <c r="B10" s="16" t="inlineStr">
        <is>
          <r>
            <rPr>
              <rFont val="Calibri"/>
              <b val="1"/>
              <sz val="10"/>
            </rPr>
            <t>Fit:</t>
          </r>
          <r>
            <rPr>
              <rFont val="Calibri"/>
              <sz val="10"/>
            </rPr>
            <t xml:space="preserve"> ≥ 105% exceeds · 90–104% meets · 75–89% developing · &lt; 75% gap.</t>
          </r>
        </is>
      </c>
      <c r="C10" s="202" t="n"/>
      <c r="D10" s="202" t="n"/>
      <c r="E10" s="202" t="n"/>
      <c r="F10" s="202" t="n"/>
      <c r="G10" s="202" t="n"/>
      <c r="H10" s="202" t="n"/>
      <c r="I10" s="202" t="n"/>
      <c r="J10" s="202" t="n"/>
      <c r="K10" s="202" t="n"/>
      <c r="L10" s="202" t="n"/>
      <c r="M10" s="202" t="n"/>
      <c r="N10" s="202" t="n"/>
      <c r="O10" s="202" t="n"/>
      <c r="P10" s="201" t="n"/>
      <c r="Q10" s="16" t="inlineStr">
        <is>
          <t>—</t>
        </is>
      </c>
      <c r="R10" s="201" t="n"/>
    </row>
    <row r="11" ht="15" customHeight="1">
      <c r="A11" s="13" t="inlineStr">
        <is>
          <t>C5</t>
        </is>
      </c>
      <c r="B11" s="16" t="inlineStr">
        <is>
          <t>Must-have · ★ competencies must be at the required proficiency for hiring and lateral moves.</t>
        </is>
      </c>
      <c r="C11" s="202" t="n"/>
      <c r="D11" s="202" t="n"/>
      <c r="E11" s="202" t="n"/>
      <c r="F11" s="202" t="n"/>
      <c r="G11" s="202" t="n"/>
      <c r="H11" s="202" t="n"/>
      <c r="I11" s="202" t="n"/>
      <c r="J11" s="202" t="n"/>
      <c r="K11" s="202" t="n"/>
      <c r="L11" s="202" t="n"/>
      <c r="M11" s="202" t="n"/>
      <c r="N11" s="202" t="n"/>
      <c r="O11" s="202" t="n"/>
      <c r="P11" s="201" t="n"/>
      <c r="Q11" s="16" t="inlineStr">
        <is>
          <t>S38</t>
        </is>
      </c>
      <c r="R11" s="201" t="n"/>
    </row>
    <row r="12" ht="15" customHeight="1"/>
    <row r="13" ht="15" customHeight="1">
      <c r="A13" s="12" t="inlineStr">
        <is>
          <t>Rating</t>
        </is>
      </c>
      <c r="B13" s="12" t="inlineStr">
        <is>
          <t>Label</t>
        </is>
      </c>
      <c r="C13" s="202" t="n"/>
      <c r="D13" s="201" t="n"/>
      <c r="E13" s="12" t="inlineStr">
        <is>
          <t>SFIA alignment</t>
        </is>
      </c>
      <c r="F13" s="202" t="n"/>
      <c r="G13" s="202" t="n"/>
      <c r="H13" s="201" t="n"/>
      <c r="I13" s="12" t="inlineStr">
        <is>
          <t>What it looks like</t>
        </is>
      </c>
      <c r="J13" s="202" t="n"/>
      <c r="K13" s="202" t="n"/>
      <c r="L13" s="202" t="n"/>
      <c r="M13" s="202" t="n"/>
      <c r="N13" s="202" t="n"/>
      <c r="O13" s="202" t="n"/>
      <c r="P13" s="202" t="n"/>
      <c r="Q13" s="202" t="n"/>
      <c r="R13" s="201" t="n"/>
    </row>
    <row r="14" ht="28" customHeight="1">
      <c r="A14" s="162" t="n">
        <v>1</v>
      </c>
      <c r="B14" s="16" t="inlineStr">
        <is>
          <t>Awareness</t>
        </is>
      </c>
      <c r="C14" s="202" t="n"/>
      <c r="D14" s="201" t="n"/>
      <c r="E14" s="16" t="inlineStr">
        <is>
          <t>SFIA 1–2 · Follow / Assist</t>
        </is>
      </c>
      <c r="F14" s="202" t="n"/>
      <c r="G14" s="202" t="n"/>
      <c r="H14" s="201" t="n"/>
      <c r="I14" s="16" t="inlineStr">
        <is>
          <t>Knows the concepts; does defined tasks with close guidance; all work reviewed.</t>
        </is>
      </c>
      <c r="J14" s="202" t="n"/>
      <c r="K14" s="202" t="n"/>
      <c r="L14" s="202" t="n"/>
      <c r="M14" s="202" t="n"/>
      <c r="N14" s="202" t="n"/>
      <c r="O14" s="202" t="n"/>
      <c r="P14" s="202" t="n"/>
      <c r="Q14" s="202" t="n"/>
      <c r="R14" s="201" t="n"/>
    </row>
    <row r="15" ht="28" customHeight="1">
      <c r="A15" s="162" t="n">
        <v>2</v>
      </c>
      <c r="B15" s="16" t="inlineStr">
        <is>
          <t>Working</t>
        </is>
      </c>
      <c r="C15" s="202" t="n"/>
      <c r="D15" s="201" t="n"/>
      <c r="E15" s="16" t="inlineStr">
        <is>
          <t>SFIA 2–3 · Assist / Apply</t>
        </is>
      </c>
      <c r="F15" s="202" t="n"/>
      <c r="G15" s="202" t="n"/>
      <c r="H15" s="201" t="n"/>
      <c r="I15" s="16" t="inlineStr">
        <is>
          <t>Applies the skill to standard work with routine guidance; work spot-checked.</t>
        </is>
      </c>
      <c r="J15" s="202" t="n"/>
      <c r="K15" s="202" t="n"/>
      <c r="L15" s="202" t="n"/>
      <c r="M15" s="202" t="n"/>
      <c r="N15" s="202" t="n"/>
      <c r="O15" s="202" t="n"/>
      <c r="P15" s="202" t="n"/>
      <c r="Q15" s="202" t="n"/>
      <c r="R15" s="201" t="n"/>
    </row>
    <row r="16" ht="28" customHeight="1">
      <c r="A16" s="162" t="n">
        <v>3</v>
      </c>
      <c r="B16" s="16" t="inlineStr">
        <is>
          <t>Practitioner</t>
        </is>
      </c>
      <c r="C16" s="202" t="n"/>
      <c r="D16" s="201" t="n"/>
      <c r="E16" s="16" t="inlineStr">
        <is>
          <t>SFIA 3–4 · Apply / Enable</t>
        </is>
      </c>
      <c r="F16" s="202" t="n"/>
      <c r="G16" s="202" t="n"/>
      <c r="H16" s="201" t="n"/>
      <c r="I16" s="16" t="inlineStr">
        <is>
          <t>Applies independently to varied, non-routine work; reviews and helps others.</t>
        </is>
      </c>
      <c r="J16" s="202" t="n"/>
      <c r="K16" s="202" t="n"/>
      <c r="L16" s="202" t="n"/>
      <c r="M16" s="202" t="n"/>
      <c r="N16" s="202" t="n"/>
      <c r="O16" s="202" t="n"/>
      <c r="P16" s="202" t="n"/>
      <c r="Q16" s="202" t="n"/>
      <c r="R16" s="201" t="n"/>
    </row>
    <row r="17" ht="28" customHeight="1">
      <c r="A17" s="162" t="n">
        <v>4</v>
      </c>
      <c r="B17" s="16" t="inlineStr">
        <is>
          <t>Advanced</t>
        </is>
      </c>
      <c r="C17" s="202" t="n"/>
      <c r="D17" s="201" t="n"/>
      <c r="E17" s="16" t="inlineStr">
        <is>
          <t>SFIA 4–5 · Enable / Ensure</t>
        </is>
      </c>
      <c r="F17" s="202" t="n"/>
      <c r="G17" s="202" t="n"/>
      <c r="H17" s="201" t="n"/>
      <c r="I17" s="16" t="inlineStr">
        <is>
          <t>Solves the hardest problems; sets standards; coaches others; the recognised go-to.</t>
        </is>
      </c>
      <c r="J17" s="202" t="n"/>
      <c r="K17" s="202" t="n"/>
      <c r="L17" s="202" t="n"/>
      <c r="M17" s="202" t="n"/>
      <c r="N17" s="202" t="n"/>
      <c r="O17" s="202" t="n"/>
      <c r="P17" s="202" t="n"/>
      <c r="Q17" s="202" t="n"/>
      <c r="R17" s="201" t="n"/>
    </row>
    <row r="18" ht="28" customHeight="1">
      <c r="A18" s="162" t="n">
        <v>5</v>
      </c>
      <c r="B18" s="16" t="inlineStr">
        <is>
          <t>Expert / Strategic</t>
        </is>
      </c>
      <c r="C18" s="202" t="n"/>
      <c r="D18" s="201" t="n"/>
      <c r="E18" s="16" t="inlineStr">
        <is>
          <t>SFIA 6–7 · Initiate / Set strategy</t>
        </is>
      </c>
      <c r="F18" s="202" t="n"/>
      <c r="G18" s="202" t="n"/>
      <c r="H18" s="201" t="n"/>
      <c r="I18" s="16" t="inlineStr">
        <is>
          <t>Shapes direction across IRIS or the industry; creates new methods; external authority.</t>
        </is>
      </c>
      <c r="J18" s="202" t="n"/>
      <c r="K18" s="202" t="n"/>
      <c r="L18" s="202" t="n"/>
      <c r="M18" s="202" t="n"/>
      <c r="N18" s="202" t="n"/>
      <c r="O18" s="202" t="n"/>
      <c r="P18" s="202" t="n"/>
      <c r="Q18" s="202" t="n"/>
      <c r="R18" s="201" t="n"/>
    </row>
    <row r="19" ht="15" customHeight="1"/>
    <row r="20" ht="15" customHeight="1">
      <c r="A20" s="12" t="inlineStr">
        <is>
          <t>Use</t>
        </is>
      </c>
      <c r="B20" s="201" t="n"/>
      <c r="C20" s="12" t="inlineStr">
        <is>
          <t>How</t>
        </is>
      </c>
      <c r="D20" s="202" t="n"/>
      <c r="E20" s="202" t="n"/>
      <c r="F20" s="202" t="n"/>
      <c r="G20" s="202" t="n"/>
      <c r="H20" s="201" t="n"/>
      <c r="I20" s="12" t="inlineStr">
        <is>
          <t>Decision rule</t>
        </is>
      </c>
      <c r="J20" s="202" t="n"/>
      <c r="K20" s="202" t="n"/>
      <c r="L20" s="202" t="n"/>
      <c r="M20" s="202" t="n"/>
      <c r="N20" s="202" t="n"/>
      <c r="O20" s="202" t="n"/>
      <c r="P20" s="202" t="n"/>
      <c r="Q20" s="202" t="n"/>
      <c r="R20" s="201" t="n"/>
    </row>
    <row r="21" ht="28" customHeight="1">
      <c r="A21" s="13" t="inlineStr">
        <is>
          <t>Internal placement</t>
        </is>
      </c>
      <c r="B21" s="201" t="n"/>
      <c r="C21" s="16" t="inlineStr">
        <is>
          <t>Rate the person against the required profile of the role's level.</t>
        </is>
      </c>
      <c r="D21" s="202" t="n"/>
      <c r="E21" s="202" t="n"/>
      <c r="F21" s="202" t="n"/>
      <c r="G21" s="202" t="n"/>
      <c r="H21" s="201" t="n"/>
      <c r="I21" s="16" t="inlineStr">
        <is>
          <t>Competency index ≥ 90% = meets the level; 75–89% = developing · placement confirmed with a plan; &lt; 75% = gap · placement reviewed.</t>
        </is>
      </c>
      <c r="J21" s="202" t="n"/>
      <c r="K21" s="202" t="n"/>
      <c r="L21" s="202" t="n"/>
      <c r="M21" s="202" t="n"/>
      <c r="N21" s="202" t="n"/>
      <c r="O21" s="202" t="n"/>
      <c r="P21" s="202" t="n"/>
      <c r="Q21" s="202" t="n"/>
      <c r="R21" s="201" t="n"/>
    </row>
    <row r="22" ht="28" customHeight="1">
      <c r="A22" s="13" t="inlineStr">
        <is>
          <t>Promotion</t>
        </is>
      </c>
      <c r="B22" s="201" t="n"/>
      <c r="C22" s="16" t="inlineStr">
        <is>
          <t>Rate against the NEXT level's profile; combine with the level framework rules and performance.</t>
        </is>
      </c>
      <c r="D22" s="202" t="n"/>
      <c r="E22" s="202" t="n"/>
      <c r="F22" s="202" t="n"/>
      <c r="G22" s="202" t="n"/>
      <c r="H22" s="201" t="n"/>
      <c r="I22" s="16" t="inlineStr">
        <is>
          <t>Next-level index ≥ 90% + rating ≥ 4 in the last 2 cycles + a role of that scope exists.</t>
        </is>
      </c>
      <c r="J22" s="202" t="n"/>
      <c r="K22" s="202" t="n"/>
      <c r="L22" s="202" t="n"/>
      <c r="M22" s="202" t="n"/>
      <c r="N22" s="202" t="n"/>
      <c r="O22" s="202" t="n"/>
      <c r="P22" s="202" t="n"/>
      <c r="Q22" s="202" t="n"/>
      <c r="R22" s="201" t="n"/>
    </row>
    <row r="23" ht="28" customHeight="1">
      <c r="A23" s="13" t="inlineStr">
        <is>
          <t>Lateral move</t>
        </is>
      </c>
      <c r="B23" s="201" t="n"/>
      <c r="C23" s="16" t="inlineStr">
        <is>
          <t>Rate against the target family's functional competencies at the current level.</t>
        </is>
      </c>
      <c r="D23" s="202" t="n"/>
      <c r="E23" s="202" t="n"/>
      <c r="F23" s="202" t="n"/>
      <c r="G23" s="202" t="n"/>
      <c r="H23" s="201" t="n"/>
      <c r="I23" s="16" t="inlineStr">
        <is>
          <t>Both must-have competencies of the target family evidenced, ≥ 67% of its functional set, index ≥ 75% — move with a 3–6 month plan.</t>
        </is>
      </c>
      <c r="J23" s="202" t="n"/>
      <c r="K23" s="202" t="n"/>
      <c r="L23" s="202" t="n"/>
      <c r="M23" s="202" t="n"/>
      <c r="N23" s="202" t="n"/>
      <c r="O23" s="202" t="n"/>
      <c r="P23" s="202" t="n"/>
      <c r="Q23" s="202" t="n"/>
      <c r="R23" s="201" t="n"/>
    </row>
    <row r="24" ht="28" customHeight="1">
      <c r="A24" s="13" t="inlineStr">
        <is>
          <t>Hiring · campus / lateral</t>
        </is>
      </c>
      <c r="B24" s="201" t="n"/>
      <c r="C24" s="16" t="inlineStr">
        <is>
          <r>
            <rPr>
              <rFont val="Calibri"/>
              <b val="1"/>
              <sz val="10"/>
            </rPr>
            <t>Interview scorecard:</t>
          </r>
          <r>
            <rPr>
              <rFont val="Calibri"/>
              <sz val="10"/>
            </rPr>
            <t xml:space="preserve"> assess each must-have and the cluster profile for the hiring level.</t>
          </r>
        </is>
      </c>
      <c r="D24" s="202" t="n"/>
      <c r="E24" s="202" t="n"/>
      <c r="F24" s="202" t="n"/>
      <c r="G24" s="202" t="n"/>
      <c r="H24" s="201" t="n"/>
      <c r="I24" s="16" t="inlineStr">
        <is>
          <t>All must-haves at required proficiency, no cluster below 75%, overall index ≥ 90%; else hire one level lower.</t>
        </is>
      </c>
      <c r="J24" s="202" t="n"/>
      <c r="K24" s="202" t="n"/>
      <c r="L24" s="202" t="n"/>
      <c r="M24" s="202" t="n"/>
      <c r="N24" s="202" t="n"/>
      <c r="O24" s="202" t="n"/>
      <c r="P24" s="202" t="n"/>
      <c r="Q24" s="202" t="n"/>
      <c r="R24" s="201" t="n"/>
    </row>
    <row r="25" ht="28" customHeight="1">
      <c r="A25" s="13" t="inlineStr">
        <is>
          <t>Development</t>
        </is>
      </c>
      <c r="B25" s="201" t="n"/>
      <c r="C25" s="16" t="inlineStr">
        <is>
          <t>Gaps · rating below required become the individual development plan; link to learning paths.</t>
        </is>
      </c>
      <c r="D25" s="202" t="n"/>
      <c r="E25" s="202" t="n"/>
      <c r="F25" s="202" t="n"/>
      <c r="G25" s="202" t="n"/>
      <c r="H25" s="201" t="n"/>
      <c r="I25" s="16" t="inlineStr">
        <is>
          <t>Top 3 gaps per person shown on sheet 8; reviewed twice a year.</t>
        </is>
      </c>
      <c r="J25" s="202" t="n"/>
      <c r="K25" s="202" t="n"/>
      <c r="L25" s="202" t="n"/>
      <c r="M25" s="202" t="n"/>
      <c r="N25" s="202" t="n"/>
      <c r="O25" s="202" t="n"/>
      <c r="P25" s="202" t="n"/>
      <c r="Q25" s="202" t="n"/>
      <c r="R25" s="201" t="n"/>
    </row>
    <row r="26" ht="15" customHeight="1"/>
    <row r="27" ht="20" customHeight="1">
      <c r="A27" s="6" t="inlineStr">
        <is>
          <t>B. Required proficiency by level and cluster weights · bottom to top</t>
        </is>
      </c>
    </row>
    <row r="28" ht="28" customHeight="1">
      <c r="A28" s="12" t="inlineStr">
        <is>
          <t>Level</t>
        </is>
      </c>
      <c r="B28" s="12" t="inlineStr">
        <is>
          <t>Core</t>
        </is>
      </c>
      <c r="C28" s="201" t="n"/>
      <c r="D28" s="12" t="inlineStr">
        <is>
          <t>Future-ready</t>
        </is>
      </c>
      <c r="E28" s="201" t="n"/>
      <c r="F28" s="12" t="inlineStr">
        <is>
          <t>Functional</t>
        </is>
      </c>
      <c r="G28" s="201" t="n"/>
      <c r="H28" s="12" t="inlineStr">
        <is>
          <t>Leadership — IC</t>
        </is>
      </c>
      <c r="I28" s="201" t="n"/>
      <c r="J28" s="12" t="inlineStr">
        <is>
          <t>Leadership — POD / Mgr</t>
        </is>
      </c>
      <c r="K28" s="201" t="n"/>
      <c r="L28" s="12" t="inlineStr">
        <is>
          <t>Weights IC</t>
        </is>
      </c>
      <c r="M28" s="202" t="n"/>
      <c r="N28" s="201" t="n"/>
      <c r="O28" s="12" t="inlineStr">
        <is>
          <t>Weights POD Lead</t>
        </is>
      </c>
      <c r="P28" s="201" t="n"/>
      <c r="Q28" s="12" t="inlineStr">
        <is>
          <t>Weights Manager</t>
        </is>
      </c>
      <c r="R28" s="201" t="n"/>
    </row>
    <row r="29" ht="28" customHeight="1">
      <c r="A29" s="26" t="inlineStr">
        <is>
          <t>A1</t>
        </is>
      </c>
      <c r="B29" s="26" t="n">
        <v>1</v>
      </c>
      <c r="C29" s="201" t="n"/>
      <c r="D29" s="26" t="n">
        <v>1</v>
      </c>
      <c r="E29" s="201" t="n"/>
      <c r="F29" s="26" t="n">
        <v>1</v>
      </c>
      <c r="G29" s="201" t="n"/>
      <c r="H29" s="26" t="inlineStr">
        <is>
          <t>not scored</t>
        </is>
      </c>
      <c r="I29" s="201" t="n"/>
      <c r="J29" s="26" t="inlineStr">
        <is>
          <t>not scored</t>
        </is>
      </c>
      <c r="K29" s="201" t="n"/>
      <c r="L29" s="26" t="inlineStr">
        <is>
          <t>30% / 20% / 50% / 0%</t>
        </is>
      </c>
      <c r="M29" s="202" t="n"/>
      <c r="N29" s="201" t="n"/>
      <c r="O29" s="26" t="inlineStr">
        <is>
          <t>—</t>
        </is>
      </c>
      <c r="P29" s="201" t="n"/>
      <c r="Q29" s="26" t="inlineStr">
        <is>
          <t>30% / 20% / 50% / 0%</t>
        </is>
      </c>
      <c r="R29" s="201" t="n"/>
    </row>
    <row r="30" ht="28" customHeight="1">
      <c r="A30" s="26" t="inlineStr">
        <is>
          <t>A2</t>
        </is>
      </c>
      <c r="B30" s="26" t="n">
        <v>2</v>
      </c>
      <c r="C30" s="201" t="n"/>
      <c r="D30" s="26" t="n">
        <v>2</v>
      </c>
      <c r="E30" s="201" t="n"/>
      <c r="F30" s="26" t="n">
        <v>2</v>
      </c>
      <c r="G30" s="201" t="n"/>
      <c r="H30" s="26" t="inlineStr">
        <is>
          <t>not scored</t>
        </is>
      </c>
      <c r="I30" s="201" t="n"/>
      <c r="J30" s="26" t="inlineStr">
        <is>
          <t>not scored</t>
        </is>
      </c>
      <c r="K30" s="201" t="n"/>
      <c r="L30" s="26" t="inlineStr">
        <is>
          <t>30% / 20% / 50% / 0%</t>
        </is>
      </c>
      <c r="M30" s="202" t="n"/>
      <c r="N30" s="201" t="n"/>
      <c r="O30" s="26" t="inlineStr">
        <is>
          <t>—</t>
        </is>
      </c>
      <c r="P30" s="201" t="n"/>
      <c r="Q30" s="26" t="inlineStr">
        <is>
          <t>30% / 20% / 50% / 0%</t>
        </is>
      </c>
      <c r="R30" s="201" t="n"/>
    </row>
    <row r="31" ht="28" customHeight="1">
      <c r="A31" s="26" t="inlineStr">
        <is>
          <t>A3</t>
        </is>
      </c>
      <c r="B31" s="26" t="n">
        <v>2</v>
      </c>
      <c r="C31" s="201" t="n"/>
      <c r="D31" s="26" t="n">
        <v>2</v>
      </c>
      <c r="E31" s="201" t="n"/>
      <c r="F31" s="26" t="n">
        <v>3</v>
      </c>
      <c r="G31" s="201" t="n"/>
      <c r="H31" s="26" t="inlineStr">
        <is>
          <t>not scored</t>
        </is>
      </c>
      <c r="I31" s="201" t="n"/>
      <c r="J31" s="26" t="inlineStr">
        <is>
          <t>not scored</t>
        </is>
      </c>
      <c r="K31" s="201" t="n"/>
      <c r="L31" s="26" t="inlineStr">
        <is>
          <t>30% / 20% / 50% / 0%</t>
        </is>
      </c>
      <c r="M31" s="202" t="n"/>
      <c r="N31" s="201" t="n"/>
      <c r="O31" s="26" t="inlineStr">
        <is>
          <t>—</t>
        </is>
      </c>
      <c r="P31" s="201" t="n"/>
      <c r="Q31" s="26" t="inlineStr">
        <is>
          <t>30% / 20% / 50% / 0%</t>
        </is>
      </c>
      <c r="R31" s="201" t="n"/>
    </row>
    <row r="32" ht="28" customHeight="1">
      <c r="A32" s="23" t="inlineStr">
        <is>
          <t>B1</t>
        </is>
      </c>
      <c r="B32" s="23" t="n">
        <v>3</v>
      </c>
      <c r="C32" s="201" t="n"/>
      <c r="D32" s="23" t="n">
        <v>3</v>
      </c>
      <c r="E32" s="201" t="n"/>
      <c r="F32" s="23" t="n">
        <v>3</v>
      </c>
      <c r="G32" s="201" t="n"/>
      <c r="H32" s="23" t="n">
        <v>1</v>
      </c>
      <c r="I32" s="201" t="n"/>
      <c r="J32" s="23" t="n">
        <v>2</v>
      </c>
      <c r="K32" s="201" t="n"/>
      <c r="L32" s="23" t="inlineStr">
        <is>
          <t>25% / 20% / 45% / 10%</t>
        </is>
      </c>
      <c r="M32" s="202" t="n"/>
      <c r="N32" s="201" t="n"/>
      <c r="O32" s="23" t="inlineStr">
        <is>
          <t>25% / 15% / 40% / 20%</t>
        </is>
      </c>
      <c r="P32" s="201" t="n"/>
      <c r="Q32" s="23" t="inlineStr">
        <is>
          <t>25% / 15% / 30% / 30%</t>
        </is>
      </c>
      <c r="R32" s="201" t="n"/>
    </row>
    <row r="33" ht="28" customHeight="1">
      <c r="A33" s="23" t="inlineStr">
        <is>
          <t>B2</t>
        </is>
      </c>
      <c r="B33" s="23" t="n">
        <v>3</v>
      </c>
      <c r="C33" s="201" t="n"/>
      <c r="D33" s="23" t="n">
        <v>3</v>
      </c>
      <c r="E33" s="201" t="n"/>
      <c r="F33" s="23" t="n">
        <v>4</v>
      </c>
      <c r="G33" s="201" t="n"/>
      <c r="H33" s="23" t="n">
        <v>2</v>
      </c>
      <c r="I33" s="201" t="n"/>
      <c r="J33" s="23" t="n">
        <v>3</v>
      </c>
      <c r="K33" s="201" t="n"/>
      <c r="L33" s="23" t="inlineStr">
        <is>
          <t>25% / 20% / 45% / 10%</t>
        </is>
      </c>
      <c r="M33" s="202" t="n"/>
      <c r="N33" s="201" t="n"/>
      <c r="O33" s="23" t="inlineStr">
        <is>
          <t>25% / 15% / 40% / 20%</t>
        </is>
      </c>
      <c r="P33" s="201" t="n"/>
      <c r="Q33" s="23" t="inlineStr">
        <is>
          <t>25% / 15% / 30% / 30%</t>
        </is>
      </c>
      <c r="R33" s="201" t="n"/>
    </row>
    <row r="34" ht="28" customHeight="1">
      <c r="A34" s="23" t="inlineStr">
        <is>
          <t>B3</t>
        </is>
      </c>
      <c r="B34" s="23" t="n">
        <v>4</v>
      </c>
      <c r="C34" s="201" t="n"/>
      <c r="D34" s="23" t="n">
        <v>3</v>
      </c>
      <c r="E34" s="201" t="n"/>
      <c r="F34" s="23" t="n">
        <v>4</v>
      </c>
      <c r="G34" s="201" t="n"/>
      <c r="H34" s="23" t="n">
        <v>3</v>
      </c>
      <c r="I34" s="201" t="n"/>
      <c r="J34" s="23" t="n">
        <v>4</v>
      </c>
      <c r="K34" s="201" t="n"/>
      <c r="L34" s="23" t="inlineStr">
        <is>
          <t>25% / 20% / 45% / 10%</t>
        </is>
      </c>
      <c r="M34" s="202" t="n"/>
      <c r="N34" s="201" t="n"/>
      <c r="O34" s="23" t="inlineStr">
        <is>
          <t>25% / 15% / 40% / 20%</t>
        </is>
      </c>
      <c r="P34" s="201" t="n"/>
      <c r="Q34" s="23" t="inlineStr">
        <is>
          <t>25% / 15% / 30% / 30%</t>
        </is>
      </c>
      <c r="R34" s="201" t="n"/>
    </row>
    <row r="35" ht="28" customHeight="1">
      <c r="A35" s="30" t="inlineStr">
        <is>
          <t>B+</t>
        </is>
      </c>
      <c r="B35" s="30" t="n">
        <v>4</v>
      </c>
      <c r="C35" s="201" t="n"/>
      <c r="D35" s="30" t="n">
        <v>4</v>
      </c>
      <c r="E35" s="201" t="n"/>
      <c r="F35" s="30" t="n">
        <v>4</v>
      </c>
      <c r="G35" s="201" t="n"/>
      <c r="H35" s="30" t="n">
        <v>4</v>
      </c>
      <c r="I35" s="201" t="n"/>
      <c r="J35" s="30" t="n">
        <v>4</v>
      </c>
      <c r="K35" s="201" t="n"/>
      <c r="L35" s="30" t="inlineStr">
        <is>
          <t>25% / 15% / 35% / 25%</t>
        </is>
      </c>
      <c r="M35" s="202" t="n"/>
      <c r="N35" s="201" t="n"/>
      <c r="O35" s="30" t="inlineStr">
        <is>
          <t>25% / 15% / 35% / 25%</t>
        </is>
      </c>
      <c r="P35" s="201" t="n"/>
      <c r="Q35" s="30" t="inlineStr">
        <is>
          <t>25% / 15% / 35% / 25%</t>
        </is>
      </c>
      <c r="R35" s="201" t="n"/>
    </row>
    <row r="36" ht="28" customHeight="1">
      <c r="A36" s="33" t="inlineStr">
        <is>
          <t>C1</t>
        </is>
      </c>
      <c r="B36" s="33" t="n">
        <v>4</v>
      </c>
      <c r="C36" s="201" t="n"/>
      <c r="D36" s="33" t="n">
        <v>4</v>
      </c>
      <c r="E36" s="201" t="n"/>
      <c r="F36" s="33" t="n">
        <v>4</v>
      </c>
      <c r="G36" s="201" t="n"/>
      <c r="H36" s="33" t="n">
        <v>4</v>
      </c>
      <c r="I36" s="201" t="n"/>
      <c r="J36" s="33" t="n">
        <v>4</v>
      </c>
      <c r="K36" s="201" t="n"/>
      <c r="L36" s="33" t="inlineStr">
        <is>
          <t>20% / 15% / 30% / 35%</t>
        </is>
      </c>
      <c r="M36" s="202" t="n"/>
      <c r="N36" s="201" t="n"/>
      <c r="O36" s="33" t="inlineStr">
        <is>
          <t>20% / 15% / 30% / 35%</t>
        </is>
      </c>
      <c r="P36" s="201" t="n"/>
      <c r="Q36" s="33" t="inlineStr">
        <is>
          <t>20% / 15% / 30% / 35%</t>
        </is>
      </c>
      <c r="R36" s="201" t="n"/>
    </row>
    <row r="37" ht="28" customHeight="1">
      <c r="A37" s="33" t="inlineStr">
        <is>
          <t>C2</t>
        </is>
      </c>
      <c r="B37" s="33" t="n">
        <v>4</v>
      </c>
      <c r="C37" s="201" t="n"/>
      <c r="D37" s="33" t="n">
        <v>4</v>
      </c>
      <c r="E37" s="201" t="n"/>
      <c r="F37" s="33" t="n">
        <v>5</v>
      </c>
      <c r="G37" s="201" t="n"/>
      <c r="H37" s="33" t="n">
        <v>4</v>
      </c>
      <c r="I37" s="201" t="n"/>
      <c r="J37" s="33" t="n">
        <v>4</v>
      </c>
      <c r="K37" s="201" t="n"/>
      <c r="L37" s="33" t="inlineStr">
        <is>
          <t>20% / 15% / 30% / 35%</t>
        </is>
      </c>
      <c r="M37" s="202" t="n"/>
      <c r="N37" s="201" t="n"/>
      <c r="O37" s="33" t="inlineStr">
        <is>
          <t>20% / 15% / 30% / 35%</t>
        </is>
      </c>
      <c r="P37" s="201" t="n"/>
      <c r="Q37" s="33" t="inlineStr">
        <is>
          <t>20% / 15% / 30% / 35%</t>
        </is>
      </c>
      <c r="R37" s="201" t="n"/>
    </row>
    <row r="38" ht="28" customHeight="1">
      <c r="A38" s="36" t="inlineStr">
        <is>
          <t>C+</t>
        </is>
      </c>
      <c r="B38" s="36" t="n">
        <v>5</v>
      </c>
      <c r="C38" s="201" t="n"/>
      <c r="D38" s="36" t="n">
        <v>4</v>
      </c>
      <c r="E38" s="201" t="n"/>
      <c r="F38" s="36" t="n">
        <v>5</v>
      </c>
      <c r="G38" s="201" t="n"/>
      <c r="H38" s="36" t="n">
        <v>5</v>
      </c>
      <c r="I38" s="201" t="n"/>
      <c r="J38" s="36" t="n">
        <v>5</v>
      </c>
      <c r="K38" s="201" t="n"/>
      <c r="L38" s="36" t="inlineStr">
        <is>
          <t>25% / 15% / 25% / 35%</t>
        </is>
      </c>
      <c r="M38" s="202" t="n"/>
      <c r="N38" s="201" t="n"/>
      <c r="O38" s="36" t="inlineStr">
        <is>
          <t>25% / 15% / 25% / 35%</t>
        </is>
      </c>
      <c r="P38" s="201" t="n"/>
      <c r="Q38" s="36" t="inlineStr">
        <is>
          <t>25% / 15% / 25% / 35%</t>
        </is>
      </c>
      <c r="R38" s="201" t="n"/>
    </row>
    <row r="39" ht="28" customHeight="1">
      <c r="A39" s="39" t="inlineStr">
        <is>
          <t>D1</t>
        </is>
      </c>
      <c r="B39" s="39" t="n">
        <v>5</v>
      </c>
      <c r="C39" s="201" t="n"/>
      <c r="D39" s="39" t="n">
        <v>4</v>
      </c>
      <c r="E39" s="201" t="n"/>
      <c r="F39" s="39" t="n">
        <v>4</v>
      </c>
      <c r="G39" s="201" t="n"/>
      <c r="H39" s="39" t="n">
        <v>5</v>
      </c>
      <c r="I39" s="201" t="n"/>
      <c r="J39" s="39" t="n">
        <v>5</v>
      </c>
      <c r="K39" s="201" t="n"/>
      <c r="L39" s="39" t="inlineStr">
        <is>
          <t>25% / 15% / 15% / 45%</t>
        </is>
      </c>
      <c r="M39" s="202" t="n"/>
      <c r="N39" s="201" t="n"/>
      <c r="O39" s="39" t="inlineStr">
        <is>
          <t>—</t>
        </is>
      </c>
      <c r="P39" s="201" t="n"/>
      <c r="Q39" s="39" t="inlineStr">
        <is>
          <t>25% / 15% / 15% / 45%</t>
        </is>
      </c>
      <c r="R39" s="201" t="n"/>
    </row>
    <row r="40" ht="28" customHeight="1">
      <c r="A40" s="39" t="inlineStr">
        <is>
          <t>D2</t>
        </is>
      </c>
      <c r="B40" s="39" t="n">
        <v>5</v>
      </c>
      <c r="C40" s="201" t="n"/>
      <c r="D40" s="39" t="n">
        <v>4</v>
      </c>
      <c r="E40" s="201" t="n"/>
      <c r="F40" s="39" t="n">
        <v>4</v>
      </c>
      <c r="G40" s="201" t="n"/>
      <c r="H40" s="39" t="n">
        <v>5</v>
      </c>
      <c r="I40" s="201" t="n"/>
      <c r="J40" s="39" t="n">
        <v>5</v>
      </c>
      <c r="K40" s="201" t="n"/>
      <c r="L40" s="39" t="inlineStr">
        <is>
          <t>25% / 15% / 15% / 45%</t>
        </is>
      </c>
      <c r="M40" s="202" t="n"/>
      <c r="N40" s="201" t="n"/>
      <c r="O40" s="39" t="inlineStr">
        <is>
          <t>—</t>
        </is>
      </c>
      <c r="P40" s="201" t="n"/>
      <c r="Q40" s="39" t="inlineStr">
        <is>
          <t>25% / 15% / 15% / 45%</t>
        </is>
      </c>
      <c r="R40" s="201" t="n"/>
    </row>
    <row r="41" ht="28" customHeight="1">
      <c r="A41" s="42" t="inlineStr">
        <is>
          <t>E1</t>
        </is>
      </c>
      <c r="B41" s="42" t="n">
        <v>5</v>
      </c>
      <c r="C41" s="201" t="n"/>
      <c r="D41" s="42" t="n">
        <v>5</v>
      </c>
      <c r="E41" s="201" t="n"/>
      <c r="F41" s="42" t="n">
        <v>4</v>
      </c>
      <c r="G41" s="201" t="n"/>
      <c r="H41" s="42" t="n">
        <v>5</v>
      </c>
      <c r="I41" s="201" t="n"/>
      <c r="J41" s="42" t="n">
        <v>5</v>
      </c>
      <c r="K41" s="201" t="n"/>
      <c r="L41" s="42" t="inlineStr">
        <is>
          <t>25% / 15% / 15% / 45%</t>
        </is>
      </c>
      <c r="M41" s="202" t="n"/>
      <c r="N41" s="201" t="n"/>
      <c r="O41" s="42" t="inlineStr">
        <is>
          <t>—</t>
        </is>
      </c>
      <c r="P41" s="201" t="n"/>
      <c r="Q41" s="42" t="inlineStr">
        <is>
          <t>25% / 15% / 15% / 45%</t>
        </is>
      </c>
      <c r="R41" s="201" t="n"/>
    </row>
    <row r="42" ht="28" customHeight="1">
      <c r="A42" s="42" t="inlineStr">
        <is>
          <t>E2</t>
        </is>
      </c>
      <c r="B42" s="42" t="n">
        <v>5</v>
      </c>
      <c r="C42" s="201" t="n"/>
      <c r="D42" s="42" t="n">
        <v>5</v>
      </c>
      <c r="E42" s="201" t="n"/>
      <c r="F42" s="42" t="n">
        <v>4</v>
      </c>
      <c r="G42" s="201" t="n"/>
      <c r="H42" s="42" t="n">
        <v>5</v>
      </c>
      <c r="I42" s="201" t="n"/>
      <c r="J42" s="42" t="n">
        <v>5</v>
      </c>
      <c r="K42" s="201" t="n"/>
      <c r="L42" s="42" t="inlineStr">
        <is>
          <t>25% / 15% / 15% / 45%</t>
        </is>
      </c>
      <c r="M42" s="202" t="n"/>
      <c r="N42" s="201" t="n"/>
      <c r="O42" s="42" t="inlineStr">
        <is>
          <t>—</t>
        </is>
      </c>
      <c r="P42" s="201" t="n"/>
      <c r="Q42" s="42" t="inlineStr">
        <is>
          <t>25% / 15% / 15% / 45%</t>
        </is>
      </c>
      <c r="R42" s="201" t="n"/>
    </row>
    <row r="43" ht="15" customHeight="1"/>
    <row r="44" ht="20" customHeight="1">
      <c r="A44" s="6" t="inlineStr">
        <is>
          <t>C. Company-wide competencies — Core, Future-ready, Leadership · with source mapping</t>
        </is>
      </c>
    </row>
    <row r="45" ht="28" customHeight="1">
      <c r="A45" s="12" t="inlineStr">
        <is>
          <t>Cluster</t>
        </is>
      </c>
      <c r="B45" s="12" t="inlineStr">
        <is>
          <t>Competency</t>
        </is>
      </c>
      <c r="C45" s="201" t="n"/>
      <c r="D45" s="12" t="inlineStr">
        <is>
          <t>Definition</t>
        </is>
      </c>
      <c r="E45" s="202" t="n"/>
      <c r="F45" s="201" t="n"/>
      <c r="G45" s="12" t="inlineStr">
        <is>
          <t>1 · Awareness</t>
        </is>
      </c>
      <c r="H45" s="201" t="n"/>
      <c r="I45" s="12" t="inlineStr">
        <is>
          <t>2 · Working</t>
        </is>
      </c>
      <c r="J45" s="201" t="n"/>
      <c r="K45" s="12" t="inlineStr">
        <is>
          <t>3 · Practitioner</t>
        </is>
      </c>
      <c r="L45" s="201" t="n"/>
      <c r="M45" s="12" t="inlineStr">
        <is>
          <t>4 · Advanced</t>
        </is>
      </c>
      <c r="N45" s="201" t="n"/>
      <c r="O45" s="12" t="inlineStr">
        <is>
          <t>5 · Expert / Strategic</t>
        </is>
      </c>
      <c r="P45" s="201" t="n"/>
      <c r="Q45" s="12" t="inlineStr">
        <is>
          <t>SHL Great Eight · KF Leadership Architect · Project Oxygen</t>
        </is>
      </c>
      <c r="R45" s="201" t="n"/>
    </row>
    <row r="46" ht="80" customHeight="1">
      <c r="A46" s="13" t="inlineStr">
        <is>
          <t>Core</t>
        </is>
      </c>
      <c r="B46" s="16" t="inlineStr">
        <is>
          <t>Ownership &amp; Accountability</t>
        </is>
      </c>
      <c r="C46" s="201" t="n"/>
      <c r="D46" s="16" t="inlineStr">
        <is>
          <t>Owns outcomes end to end — quality, deadlines and follow-through.</t>
        </is>
      </c>
      <c r="E46" s="202" t="n"/>
      <c r="F46" s="201" t="n"/>
      <c r="G46" s="16" t="inlineStr">
        <is>
          <t>Completes assigned tasks on time with help</t>
        </is>
      </c>
      <c r="H46" s="201" t="n"/>
      <c r="I46" s="16" t="inlineStr">
        <is>
          <t>Owns own deliverables; flags issues early</t>
        </is>
      </c>
      <c r="J46" s="201" t="n"/>
      <c r="K46" s="16" t="inlineStr">
        <is>
          <t>Owns a module, client or process end to end; fixes root causes</t>
        </is>
      </c>
      <c r="L46" s="201" t="n"/>
      <c r="M46" s="16" t="inlineStr">
        <is>
          <t>Owns team / practice outcomes; holds others to standards</t>
        </is>
      </c>
      <c r="N46" s="201" t="n"/>
      <c r="O46" s="16" t="inlineStr">
        <is>
          <t>Owns business outcomes; builds a culture of accountability</t>
        </is>
      </c>
      <c r="P46" s="201" t="n"/>
      <c r="Q46" s="16" t="inlineStr">
        <is>
          <t>Organising &amp; Executing; Enterprising &amp; Performing · Results — Ensures accountability</t>
        </is>
      </c>
      <c r="R46" s="201" t="n"/>
    </row>
    <row r="47" ht="67" customHeight="1">
      <c r="A47" s="13" t="inlineStr">
        <is>
          <t>Core</t>
        </is>
      </c>
      <c r="B47" s="16" t="inlineStr">
        <is>
          <t>Problem Solving &amp; Critical Thinking</t>
        </is>
      </c>
      <c r="C47" s="201" t="n"/>
      <c r="D47" s="16" t="inlineStr">
        <is>
          <t>Breaks problems down, finds root causes and makes sound judgements.</t>
        </is>
      </c>
      <c r="E47" s="202" t="n"/>
      <c r="F47" s="201" t="n"/>
      <c r="G47" s="16" t="inlineStr">
        <is>
          <t>Solves simple, familiar problems with guidance</t>
        </is>
      </c>
      <c r="H47" s="201" t="n"/>
      <c r="I47" s="16" t="inlineStr">
        <is>
          <t>Solves routine problems with known methods</t>
        </is>
      </c>
      <c r="J47" s="201" t="n"/>
      <c r="K47" s="16" t="inlineStr">
        <is>
          <t>Analyses non-routine problems; finds root causes</t>
        </is>
      </c>
      <c r="L47" s="201" t="n"/>
      <c r="M47" s="16" t="inlineStr">
        <is>
          <t>Solves complex, ambiguous problems; designs new approaches</t>
        </is>
      </c>
      <c r="N47" s="201" t="n"/>
      <c r="O47" s="16" t="inlineStr">
        <is>
          <t>Frames enterprise-level problems; sets the approach for others</t>
        </is>
      </c>
      <c r="P47" s="201" t="n"/>
      <c r="Q47" s="16" t="inlineStr">
        <is>
          <t>Analysing &amp; Interpreting · Thought — Manages complexity; Decision quality</t>
        </is>
      </c>
      <c r="R47" s="201" t="n"/>
    </row>
    <row r="48" ht="80" customHeight="1">
      <c r="A48" s="13" t="inlineStr">
        <is>
          <t>Core</t>
        </is>
      </c>
      <c r="B48" s="16" t="inlineStr">
        <is>
          <t>Communication &amp; Collaboration</t>
        </is>
      </c>
      <c r="C48" s="201" t="n"/>
      <c r="D48" s="16" t="inlineStr">
        <is>
          <t>Shares information clearly; works effectively within and across teams.</t>
        </is>
      </c>
      <c r="E48" s="202" t="n"/>
      <c r="F48" s="201" t="n"/>
      <c r="G48" s="16" t="inlineStr">
        <is>
          <t>Communicates clearly within the team</t>
        </is>
      </c>
      <c r="H48" s="201" t="n"/>
      <c r="I48" s="16" t="inlineStr">
        <is>
          <t>Explains own work clearly; cooperates across the team</t>
        </is>
      </c>
      <c r="J48" s="201" t="n"/>
      <c r="K48" s="16" t="inlineStr">
        <is>
          <t>Communicates with clients / stakeholders; collaborates across teams</t>
        </is>
      </c>
      <c r="L48" s="201" t="n"/>
      <c r="M48" s="16" t="inlineStr">
        <is>
          <t>Influences through communication; resolves conflict</t>
        </is>
      </c>
      <c r="N48" s="201" t="n"/>
      <c r="O48" s="16" t="inlineStr">
        <is>
          <t>Represents IRIS externally; builds cross-business partnerships</t>
        </is>
      </c>
      <c r="P48" s="201" t="n"/>
      <c r="Q48" s="16" t="inlineStr">
        <is>
          <t>Interacting &amp; Presenting; Supporting &amp; Co-operating · People — Communicates effectively; Collaborates · Good communicator; collaborates across the company</t>
        </is>
      </c>
      <c r="R48" s="201" t="n"/>
    </row>
    <row r="49" ht="80" customHeight="1">
      <c r="A49" s="13" t="inlineStr">
        <is>
          <t>Core</t>
        </is>
      </c>
      <c r="B49" s="16" t="inlineStr">
        <is>
          <t>Client &amp; Quality Focus</t>
        </is>
      </c>
      <c r="C49" s="201" t="n"/>
      <c r="D49" s="16" t="inlineStr">
        <is>
          <t>Understands client needs; gets it right first time; meets SLAs.</t>
        </is>
      </c>
      <c r="E49" s="202" t="n"/>
      <c r="F49" s="201" t="n"/>
      <c r="G49" s="16" t="inlineStr">
        <is>
          <t>Follows quality checklists</t>
        </is>
      </c>
      <c r="H49" s="201" t="n"/>
      <c r="I49" s="16" t="inlineStr">
        <is>
          <t>Delivers accurate work to standard and SLA</t>
        </is>
      </c>
      <c r="J49" s="201" t="n"/>
      <c r="K49" s="16" t="inlineStr">
        <is>
          <t>Anticipates client needs; prevents errors in own area</t>
        </is>
      </c>
      <c r="L49" s="201" t="n"/>
      <c r="M49" s="16" t="inlineStr">
        <is>
          <t>Sets quality standards; improves client experience for a team</t>
        </is>
      </c>
      <c r="N49" s="201" t="n"/>
      <c r="O49" s="16" t="inlineStr">
        <is>
          <t>Defines client and quality strategy for a business</t>
        </is>
      </c>
      <c r="P49" s="201" t="n"/>
      <c r="Q49" s="16" t="inlineStr">
        <is>
          <t>Organising &amp; Executing · Thought — Customer focus</t>
        </is>
      </c>
      <c r="R49" s="201" t="n"/>
    </row>
    <row r="50" ht="67" customHeight="1">
      <c r="A50" s="13" t="inlineStr">
        <is>
          <t>Core</t>
        </is>
      </c>
      <c r="B50" s="16" t="inlineStr">
        <is>
          <t>Learning Agility &amp; Adaptability</t>
        </is>
      </c>
      <c r="C50" s="201" t="n"/>
      <c r="D50" s="16" t="inlineStr">
        <is>
          <t>Learns fast, adapts to change and stays resilient under pressure.</t>
        </is>
      </c>
      <c r="E50" s="202" t="n"/>
      <c r="F50" s="201" t="n"/>
      <c r="G50" s="16" t="inlineStr">
        <is>
          <t>Learns new tasks with structured support</t>
        </is>
      </c>
      <c r="H50" s="201" t="n"/>
      <c r="I50" s="16" t="inlineStr">
        <is>
          <t>Picks up new tools and processes quickly</t>
        </is>
      </c>
      <c r="J50" s="201" t="n"/>
      <c r="K50" s="16" t="inlineStr">
        <is>
          <t>Adapts to changing priorities; learns independently</t>
        </is>
      </c>
      <c r="L50" s="201" t="n"/>
      <c r="M50" s="16" t="inlineStr">
        <is>
          <t>Leads others through change; builds team capability</t>
        </is>
      </c>
      <c r="N50" s="201" t="n"/>
      <c r="O50" s="16" t="inlineStr">
        <is>
          <t>Anticipates change; builds a learning organisation</t>
        </is>
      </c>
      <c r="P50" s="201" t="n"/>
      <c r="Q50" s="16" t="inlineStr">
        <is>
          <t>Adapting &amp; Coping · Self — Nimble learning; Situational adaptability</t>
        </is>
      </c>
      <c r="R50" s="201" t="n"/>
    </row>
    <row r="51" ht="67" customHeight="1">
      <c r="A51" s="13" t="inlineStr">
        <is>
          <t>Core</t>
        </is>
      </c>
      <c r="B51" s="16" t="inlineStr">
        <is>
          <t>Integrity, Compliance &amp; Information Security</t>
        </is>
      </c>
      <c r="C51" s="201" t="n"/>
      <c r="D51" s="16" t="inlineStr">
        <is>
          <t>Acts ethically; follows Code of Conduct, POSH, data-privacy and information-security rules.</t>
        </is>
      </c>
      <c r="E51" s="202" t="n"/>
      <c r="F51" s="201" t="n"/>
      <c r="G51" s="16" t="inlineStr">
        <is>
          <t>Knows and follows the policies</t>
        </is>
      </c>
      <c r="H51" s="201" t="n"/>
      <c r="I51" s="16" t="inlineStr">
        <is>
          <t>Applies policies consistently in own work</t>
        </is>
      </c>
      <c r="J51" s="201" t="n"/>
      <c r="K51" s="16" t="inlineStr">
        <is>
          <t>Spots and escalates compliance / security risks</t>
        </is>
      </c>
      <c r="L51" s="201" t="n"/>
      <c r="M51" s="16" t="inlineStr">
        <is>
          <t>Embeds compliance and security in team processes</t>
        </is>
      </c>
      <c r="N51" s="201" t="n"/>
      <c r="O51" s="16" t="inlineStr">
        <is>
          <t>Sets ethical and compliance standards for the business</t>
        </is>
      </c>
      <c r="P51" s="201" t="n"/>
      <c r="Q51" s="16" t="inlineStr">
        <is>
          <t>Supporting &amp; Co-operating · adhering to principles · People — Instils trust</t>
        </is>
      </c>
      <c r="R51" s="201" t="n"/>
    </row>
    <row r="52" ht="80" customHeight="1">
      <c r="A52" s="13" t="inlineStr">
        <is>
          <t>Future-ready</t>
        </is>
      </c>
      <c r="B52" s="16" t="inlineStr">
        <is>
          <t>AI Literacy &amp; Augmentation</t>
        </is>
      </c>
      <c r="C52" s="201" t="n"/>
      <c r="D52" s="16" t="inlineStr">
        <is>
          <t>Uses AI tools productively, checks their output critically and uses them responsibly.</t>
        </is>
      </c>
      <c r="E52" s="202" t="n"/>
      <c r="F52" s="201" t="n"/>
      <c r="G52" s="16" t="inlineStr">
        <is>
          <t>Aware of AI tools, their uses and risks</t>
        </is>
      </c>
      <c r="H52" s="201" t="n"/>
      <c r="I52" s="16" t="inlineStr">
        <is>
          <t>Uses approved AI tools for routine tasks and checks the output</t>
        </is>
      </c>
      <c r="J52" s="201" t="n"/>
      <c r="K52" s="16" t="inlineStr">
        <is>
          <t>Builds AI into own workflow; evaluates accuracy and bias</t>
        </is>
      </c>
      <c r="L52" s="201" t="n"/>
      <c r="M52" s="16" t="inlineStr">
        <is>
          <t>Designs AI-enabled processes for a team; sets safe-use practices</t>
        </is>
      </c>
      <c r="N52" s="201" t="n"/>
      <c r="O52" s="16" t="inlineStr">
        <is>
          <t>Leads AI strategy and governance for a function or IRIS</t>
        </is>
      </c>
      <c r="P52" s="201" t="n"/>
      <c r="Q52" s="16" t="inlineStr">
        <is>
          <t>Analysing &amp; Interpreting · Thought — Tech savvy</t>
        </is>
      </c>
      <c r="R52" s="201" t="n"/>
    </row>
    <row r="53" ht="67" customHeight="1">
      <c r="A53" s="13" t="inlineStr">
        <is>
          <t>Future-ready</t>
        </is>
      </c>
      <c r="B53" s="16" t="inlineStr">
        <is>
          <t>Data Literacy &amp; Analytics</t>
        </is>
      </c>
      <c r="C53" s="201" t="n"/>
      <c r="D53" s="16" t="inlineStr">
        <is>
          <t>Reads, questions and uses data to make decisions.</t>
        </is>
      </c>
      <c r="E53" s="202" t="n"/>
      <c r="F53" s="201" t="n"/>
      <c r="G53" s="16" t="inlineStr">
        <is>
          <t>Reads basic reports and numbers</t>
        </is>
      </c>
      <c r="H53" s="201" t="n"/>
      <c r="I53" s="16" t="inlineStr">
        <is>
          <t>Uses Excel / reports to check and present data</t>
        </is>
      </c>
      <c r="J53" s="201" t="n"/>
      <c r="K53" s="16" t="inlineStr">
        <is>
          <t>Analyses data · SQL, BI, advanced Excel to find insight</t>
        </is>
      </c>
      <c r="L53" s="201" t="n"/>
      <c r="M53" s="16" t="inlineStr">
        <is>
          <t>Defines metrics and dashboards for a team</t>
        </is>
      </c>
      <c r="N53" s="201" t="n"/>
      <c r="O53" s="16" t="inlineStr">
        <is>
          <t>Sets data strategy and data-driven decisions for a business</t>
        </is>
      </c>
      <c r="P53" s="201" t="n"/>
      <c r="Q53" s="16" t="inlineStr">
        <is>
          <t>Analysing &amp; Interpreting · Thought — Manages complexity</t>
        </is>
      </c>
      <c r="R53" s="201" t="n"/>
    </row>
    <row r="54" ht="67" customHeight="1">
      <c r="A54" s="13" t="inlineStr">
        <is>
          <t>Future-ready</t>
        </is>
      </c>
      <c r="B54" s="16" t="inlineStr">
        <is>
          <t>Digital Fluency &amp; Automation</t>
        </is>
      </c>
      <c r="C54" s="201" t="n"/>
      <c r="D54" s="16" t="inlineStr">
        <is>
          <t>Masters the digital tools of the role and automates repetitive work.</t>
        </is>
      </c>
      <c r="E54" s="202" t="n"/>
      <c r="F54" s="201" t="n"/>
      <c r="G54" s="16" t="inlineStr">
        <is>
          <t>Uses standard office and role tools</t>
        </is>
      </c>
      <c r="H54" s="201" t="n"/>
      <c r="I54" s="16" t="inlineStr">
        <is>
          <t>Uses role tools efficiently; follows digital workflows</t>
        </is>
      </c>
      <c r="J54" s="201" t="n"/>
      <c r="K54" s="16" t="inlineStr">
        <is>
          <t>Automates own repetitive work · macros, scripts, workflows</t>
        </is>
      </c>
      <c r="L54" s="201" t="n"/>
      <c r="M54" s="16" t="inlineStr">
        <is>
          <t>Automates team processes; selects tools</t>
        </is>
      </c>
      <c r="N54" s="201" t="n"/>
      <c r="O54" s="16" t="inlineStr">
        <is>
          <t>Drives digital transformation across a business</t>
        </is>
      </c>
      <c r="P54" s="201" t="n"/>
      <c r="Q54" s="16" t="inlineStr">
        <is>
          <t>Creating &amp; Conceptualising · Thought — Tech savvy</t>
        </is>
      </c>
      <c r="R54" s="201" t="n"/>
    </row>
    <row r="55" ht="54" customHeight="1">
      <c r="A55" s="13" t="inlineStr">
        <is>
          <t>Future-ready</t>
        </is>
      </c>
      <c r="B55" s="16" t="inlineStr">
        <is>
          <t>Innovation &amp; Continuous Improvement</t>
        </is>
      </c>
      <c r="C55" s="201" t="n"/>
      <c r="D55" s="16" t="inlineStr">
        <is>
          <t>Finds better ways of working and turns ideas into measurable improvements.</t>
        </is>
      </c>
      <c r="E55" s="202" t="n"/>
      <c r="F55" s="201" t="n"/>
      <c r="G55" s="16" t="inlineStr">
        <is>
          <t>Suggests small improvements</t>
        </is>
      </c>
      <c r="H55" s="201" t="n"/>
      <c r="I55" s="16" t="inlineStr">
        <is>
          <t>Improves own work methods</t>
        </is>
      </c>
      <c r="J55" s="201" t="n"/>
      <c r="K55" s="16" t="inlineStr">
        <is>
          <t>Delivers measurable improvements in own area</t>
        </is>
      </c>
      <c r="L55" s="201" t="n"/>
      <c r="M55" s="16" t="inlineStr">
        <is>
          <t>Leads improvement initiatives for a team</t>
        </is>
      </c>
      <c r="N55" s="201" t="n"/>
      <c r="O55" s="16" t="inlineStr">
        <is>
          <t>Creates new products, methods or business models</t>
        </is>
      </c>
      <c r="P55" s="201" t="n"/>
      <c r="Q55" s="16" t="inlineStr">
        <is>
          <t>Creating &amp; Conceptualising · Thought — Cultivates innovation</t>
        </is>
      </c>
      <c r="R55" s="201" t="n"/>
    </row>
    <row r="56" ht="54" customHeight="1">
      <c r="A56" s="13" t="inlineStr">
        <is>
          <t>Leadership</t>
        </is>
      </c>
      <c r="B56" s="16" t="inlineStr">
        <is>
          <t>Leading &amp; Developing People</t>
        </is>
      </c>
      <c r="C56" s="201" t="n"/>
      <c r="D56" s="16" t="inlineStr">
        <is>
          <t>Sets direction, coaches and grows people; builds capability.</t>
        </is>
      </c>
      <c r="E56" s="202" t="n"/>
      <c r="F56" s="201" t="n"/>
      <c r="G56" s="16" t="inlineStr">
        <is>
          <t>Not required</t>
        </is>
      </c>
      <c r="H56" s="201" t="n"/>
      <c r="I56" s="16" t="inlineStr">
        <is>
          <t>Guides and reviews 1–3 people · POD Lead</t>
        </is>
      </c>
      <c r="J56" s="201" t="n"/>
      <c r="K56" s="16" t="inlineStr">
        <is>
          <t>Leads a team; coaches and gives feedback</t>
        </is>
      </c>
      <c r="L56" s="201" t="n"/>
      <c r="M56" s="16" t="inlineStr">
        <is>
          <t>Leads leaders; builds bench strength</t>
        </is>
      </c>
      <c r="N56" s="201" t="n"/>
      <c r="O56" s="16" t="inlineStr">
        <is>
          <t>Builds the leadership pipeline and culture</t>
        </is>
      </c>
      <c r="P56" s="201" t="n"/>
      <c r="Q56" s="16" t="inlineStr">
        <is>
          <t>Leading &amp; Deciding · People — Develops talent; Builds effective teams · Is a good coach; supports career development; inclusive team</t>
        </is>
      </c>
      <c r="R56" s="201" t="n"/>
    </row>
    <row r="57" ht="67" customHeight="1">
      <c r="A57" s="13" t="inlineStr">
        <is>
          <t>Leadership</t>
        </is>
      </c>
      <c r="B57" s="16" t="inlineStr">
        <is>
          <t>Decision Making &amp; Delegation</t>
        </is>
      </c>
      <c r="C57" s="201" t="n"/>
      <c r="D57" s="16" t="inlineStr">
        <is>
          <t>Makes timely decisions with the right information; delegates well.</t>
        </is>
      </c>
      <c r="E57" s="202" t="n"/>
      <c r="F57" s="201" t="n"/>
      <c r="G57" s="16" t="inlineStr">
        <is>
          <t>Not required</t>
        </is>
      </c>
      <c r="H57" s="201" t="n"/>
      <c r="I57" s="16" t="inlineStr">
        <is>
          <t>Decides allocation within a pod</t>
        </is>
      </c>
      <c r="J57" s="201" t="n"/>
      <c r="K57" s="16" t="inlineStr">
        <is>
          <t>Decides team priorities and resourcing</t>
        </is>
      </c>
      <c r="L57" s="201" t="n"/>
      <c r="M57" s="16" t="inlineStr">
        <is>
          <t>Makes cross-team trade-offs; delegates authority</t>
        </is>
      </c>
      <c r="N57" s="201" t="n"/>
      <c r="O57" s="16" t="inlineStr">
        <is>
          <t>Makes enterprise / business-line decisions</t>
        </is>
      </c>
      <c r="P57" s="201" t="n"/>
      <c r="Q57" s="16" t="inlineStr">
        <is>
          <t>Leading &amp; Deciding · Results — Decision quality; Directs work · Empowers, does not micromanage; strong decision maker</t>
        </is>
      </c>
      <c r="R57" s="201" t="n"/>
    </row>
    <row r="58" ht="80" customHeight="1">
      <c r="A58" s="13" t="inlineStr">
        <is>
          <t>Leadership</t>
        </is>
      </c>
      <c r="B58" s="16" t="inlineStr">
        <is>
          <t>Strategic &amp; Business Acumen</t>
        </is>
      </c>
      <c r="C58" s="201" t="n"/>
      <c r="D58" s="16" t="inlineStr">
        <is>
          <t>Links work to business goals, finances, markets and regulation.</t>
        </is>
      </c>
      <c r="E58" s="202" t="n"/>
      <c r="F58" s="201" t="n"/>
      <c r="G58" s="16" t="inlineStr">
        <is>
          <t>Not required</t>
        </is>
      </c>
      <c r="H58" s="201" t="n"/>
      <c r="I58" s="16" t="inlineStr">
        <is>
          <t>Understands how own work drives client and business results</t>
        </is>
      </c>
      <c r="J58" s="201" t="n"/>
      <c r="K58" s="16" t="inlineStr">
        <is>
          <t>Plans team work against business goals and budgets</t>
        </is>
      </c>
      <c r="L58" s="201" t="n"/>
      <c r="M58" s="16" t="inlineStr">
        <is>
          <t>Shapes functional strategy, budget and market approach</t>
        </is>
      </c>
      <c r="N58" s="201" t="n"/>
      <c r="O58" s="16" t="inlineStr">
        <is>
          <t>Sets business strategy and P&amp;L direction</t>
        </is>
      </c>
      <c r="P58" s="201" t="n"/>
      <c r="Q58" s="16" t="inlineStr">
        <is>
          <t>Enterprising &amp; Performing · Thought — Business insight; Strategic mindset · Clear vision and strategy</t>
        </is>
      </c>
      <c r="R58" s="201" t="n"/>
    </row>
    <row r="59" ht="67" customHeight="1">
      <c r="A59" s="13" t="inlineStr">
        <is>
          <t>Leadership</t>
        </is>
      </c>
      <c r="B59" s="16" t="inlineStr">
        <is>
          <t>Influence &amp; Change Leadership</t>
        </is>
      </c>
      <c r="C59" s="201" t="n"/>
      <c r="D59" s="16" t="inlineStr">
        <is>
          <t>Builds support across stakeholders and leads change.</t>
        </is>
      </c>
      <c r="E59" s="202" t="n"/>
      <c r="F59" s="201" t="n"/>
      <c r="G59" s="16" t="inlineStr">
        <is>
          <t>Not required</t>
        </is>
      </c>
      <c r="H59" s="201" t="n"/>
      <c r="I59" s="16" t="inlineStr">
        <is>
          <t>Influences peers in own area</t>
        </is>
      </c>
      <c r="J59" s="201" t="n"/>
      <c r="K59" s="16" t="inlineStr">
        <is>
          <t>Influences across teams; leads local change</t>
        </is>
      </c>
      <c r="L59" s="201" t="n"/>
      <c r="M59" s="16" t="inlineStr">
        <is>
          <t>Influences senior stakeholders; leads function-wide change</t>
        </is>
      </c>
      <c r="N59" s="201" t="n"/>
      <c r="O59" s="16" t="inlineStr">
        <is>
          <t>Leads enterprise change; influences clients, regulators and partners</t>
        </is>
      </c>
      <c r="P59" s="201" t="n"/>
      <c r="Q59" s="16" t="inlineStr">
        <is>
          <t>Interacting &amp; Presenting · People — Persuades; Drives vision &amp; purpose · Collaborates across the company; results-oriented</t>
        </is>
      </c>
      <c r="R59" s="201" t="n"/>
    </row>
    <row r="60" ht="15" customHeight="1"/>
    <row r="61" ht="15" customHeight="1">
      <c r="A61" s="163" t="inlineStr">
        <is>
          <r>
            <rPr>
              <rFont val="Calibri"/>
              <b val="1"/>
              <i val="1"/>
              <sz val="10"/>
            </rPr>
            <t>All employees:</t>
          </r>
          <r>
            <rPr>
              <rFont val="Calibri"/>
              <i val="1"/>
              <sz val="10"/>
            </rPr>
            <t xml:space="preserve"> mandatory learning path POSH → Code of Conduct → Information Security &amp; Privacy before confirmation. Statutory roles require the qualification.</t>
          </r>
        </is>
      </c>
    </row>
    <row r="62" ht="15" customHeight="1"/>
    <row r="63" ht="20" customHeight="1">
      <c r="A63" s="6" t="inlineStr">
        <is>
          <t>D. Department capability frameworks</t>
        </is>
      </c>
    </row>
    <row r="64" ht="20" customHeight="1">
      <c r="A64" s="164" t="inlineStr">
        <is>
          <t>Digitizing — 9 people · Service delivery &amp; data operations · levels A2–B2</t>
        </is>
      </c>
    </row>
    <row r="65" ht="15" customHeight="1">
      <c r="A65" s="17" t="inlineStr">
        <is>
          <t>Job families: Data Operations &amp; Digitization</t>
        </is>
      </c>
    </row>
    <row r="66" ht="15" customHeight="1">
      <c r="A66" s="12" t="inlineStr">
        <is>
          <t>Capability health today · indicative, from survey + KRAs</t>
        </is>
      </c>
      <c r="B66" s="202" t="n"/>
      <c r="C66" s="202" t="n"/>
      <c r="D66" s="202" t="n"/>
      <c r="E66" s="201" t="n"/>
      <c r="F66" s="12" t="inlineStr">
        <is>
          <t>Result</t>
        </is>
      </c>
      <c r="G66" s="202" t="n"/>
      <c r="H66" s="202" t="n"/>
      <c r="I66" s="202" t="n"/>
      <c r="J66" s="202" t="n"/>
      <c r="K66" s="202" t="n"/>
      <c r="L66" s="202" t="n"/>
      <c r="M66" s="202" t="n"/>
      <c r="N66" s="202" t="n"/>
      <c r="O66" s="202" t="n"/>
      <c r="P66" s="202" t="n"/>
      <c r="Q66" s="202" t="n"/>
      <c r="R66" s="201" t="n"/>
    </row>
    <row r="67" ht="15" customHeight="1">
      <c r="A67" s="13" t="inlineStr">
        <is>
          <t>People assessed · meet or exceed their level</t>
        </is>
      </c>
      <c r="B67" s="202" t="n"/>
      <c r="C67" s="202" t="n"/>
      <c r="D67" s="202" t="n"/>
      <c r="E67" s="201" t="n"/>
      <c r="F67" s="16" t="inlineStr">
        <is>
          <t>9 · 3</t>
        </is>
      </c>
      <c r="G67" s="202" t="n"/>
      <c r="H67" s="202" t="n"/>
      <c r="I67" s="202" t="n"/>
      <c r="J67" s="202" t="n"/>
      <c r="K67" s="202" t="n"/>
      <c r="L67" s="202" t="n"/>
      <c r="M67" s="202" t="n"/>
      <c r="N67" s="202" t="n"/>
      <c r="O67" s="202" t="n"/>
      <c r="P67" s="202" t="n"/>
      <c r="Q67" s="202" t="n"/>
      <c r="R67" s="201" t="n"/>
    </row>
    <row r="68" ht="15" customHeight="1">
      <c r="A68" s="13" t="inlineStr">
        <is>
          <t>Average index · Core · Future-ready · Functional · Leadership · % of required</t>
        </is>
      </c>
      <c r="B68" s="202" t="n"/>
      <c r="C68" s="202" t="n"/>
      <c r="D68" s="202" t="n"/>
      <c r="E68" s="201" t="n"/>
      <c r="F68" s="16" t="inlineStr">
        <is>
          <t>85% · 95% · 66% · 88% · 98%</t>
        </is>
      </c>
      <c r="G68" s="202" t="n"/>
      <c r="H68" s="202" t="n"/>
      <c r="I68" s="202" t="n"/>
      <c r="J68" s="202" t="n"/>
      <c r="K68" s="202" t="n"/>
      <c r="L68" s="202" t="n"/>
      <c r="M68" s="202" t="n"/>
      <c r="N68" s="202" t="n"/>
      <c r="O68" s="202" t="n"/>
      <c r="P68" s="202" t="n"/>
      <c r="Q68" s="202" t="n"/>
      <c r="R68" s="201" t="n"/>
    </row>
    <row r="69" ht="15" customHeight="1">
      <c r="A69" s="13" t="inlineStr">
        <is>
          <t>Most common competency gaps · people</t>
        </is>
      </c>
      <c r="B69" s="202" t="n"/>
      <c r="C69" s="202" t="n"/>
      <c r="D69" s="202" t="n"/>
      <c r="E69" s="201" t="n"/>
      <c r="F69" s="16" t="inlineStr">
        <is>
          <t>XBRL &amp; taxonomy · AI / GenAI · Excel &amp; tools · Prioritisation · Learning agility · Quality &amp; process</t>
        </is>
      </c>
      <c r="G69" s="202" t="n"/>
      <c r="H69" s="202" t="n"/>
      <c r="I69" s="202" t="n"/>
      <c r="J69" s="202" t="n"/>
      <c r="K69" s="202" t="n"/>
      <c r="L69" s="202" t="n"/>
      <c r="M69" s="202" t="n"/>
      <c r="N69" s="202" t="n"/>
      <c r="O69" s="202" t="n"/>
      <c r="P69" s="202" t="n"/>
      <c r="Q69" s="202" t="n"/>
      <c r="R69" s="201" t="n"/>
    </row>
    <row r="70" ht="28" customHeight="1">
      <c r="A70" s="13" t="inlineStr">
        <is>
          <t>Role-based development priorities · people</t>
        </is>
      </c>
      <c r="B70" s="202" t="n"/>
      <c r="C70" s="202" t="n"/>
      <c r="D70" s="202" t="n"/>
      <c r="E70" s="201" t="n"/>
      <c r="F70" s="16" t="inlineStr">
        <is>
          <t>Project, Program &amp; Agile Management · AI, GenAI &amp; Prompt Engineering · Advanced Excel &amp; Productivity Tools · Process Improvement &amp; Quality Mindset · Regulatory &amp; BFSI Domain · Test Automation &amp; QA Engineering</t>
        </is>
      </c>
      <c r="G70" s="202" t="n"/>
      <c r="H70" s="202" t="n"/>
      <c r="I70" s="202" t="n"/>
      <c r="J70" s="202" t="n"/>
      <c r="K70" s="202" t="n"/>
      <c r="L70" s="202" t="n"/>
      <c r="M70" s="202" t="n"/>
      <c r="N70" s="202" t="n"/>
      <c r="O70" s="202" t="n"/>
      <c r="P70" s="202" t="n"/>
      <c r="Q70" s="202" t="n"/>
      <c r="R70" s="201" t="n"/>
    </row>
    <row r="71" ht="15" customHeight="1">
      <c r="A71" s="13" t="inlineStr">
        <is>
          <t>Manager-identified training themes</t>
        </is>
      </c>
      <c r="B71" s="202" t="n"/>
      <c r="C71" s="202" t="n"/>
      <c r="D71" s="202" t="n"/>
      <c r="E71" s="201" t="n"/>
      <c r="F71" s="16" t="inlineStr">
        <is>
          <t>—</t>
        </is>
      </c>
      <c r="G71" s="202" t="n"/>
      <c r="H71" s="202" t="n"/>
      <c r="I71" s="202" t="n"/>
      <c r="J71" s="202" t="n"/>
      <c r="K71" s="202" t="n"/>
      <c r="L71" s="202" t="n"/>
      <c r="M71" s="202" t="n"/>
      <c r="N71" s="202" t="n"/>
      <c r="O71" s="202" t="n"/>
      <c r="P71" s="202" t="n"/>
      <c r="Q71" s="202" t="n"/>
      <c r="R71" s="201" t="n"/>
    </row>
    <row r="72" ht="15" customHeight="1">
      <c r="A72" s="13" t="inlineStr">
        <is>
          <t>What helped people learn · survey</t>
        </is>
      </c>
      <c r="B72" s="202" t="n"/>
      <c r="C72" s="202" t="n"/>
      <c r="D72" s="202" t="n"/>
      <c r="E72" s="201" t="n"/>
      <c r="F72" s="16" t="inlineStr">
        <is>
          <t>Mentoring / guidance from seniors · Formal / classroom training · On-the-job / hands-on</t>
        </is>
      </c>
      <c r="G72" s="202" t="n"/>
      <c r="H72" s="202" t="n"/>
      <c r="I72" s="202" t="n"/>
      <c r="J72" s="202" t="n"/>
      <c r="K72" s="202" t="n"/>
      <c r="L72" s="202" t="n"/>
      <c r="M72" s="202" t="n"/>
      <c r="N72" s="202" t="n"/>
      <c r="O72" s="202" t="n"/>
      <c r="P72" s="202" t="n"/>
      <c r="Q72" s="202" t="n"/>
      <c r="R72" s="201" t="n"/>
    </row>
    <row r="73" ht="15" customHeight="1">
      <c r="A73" s="13" t="inlineStr">
        <is>
          <t>How the work is changing</t>
        </is>
      </c>
      <c r="B73" s="202" t="n"/>
      <c r="C73" s="202" t="n"/>
      <c r="D73" s="202" t="n"/>
      <c r="E73" s="201" t="n"/>
      <c r="F73" s="16" t="inlineStr">
        <is>
          <t>2 of 9 say the role is changing because of AI / automation</t>
        </is>
      </c>
      <c r="G73" s="202" t="n"/>
      <c r="H73" s="202" t="n"/>
      <c r="I73" s="202" t="n"/>
      <c r="J73" s="202" t="n"/>
      <c r="K73" s="202" t="n"/>
      <c r="L73" s="202" t="n"/>
      <c r="M73" s="202" t="n"/>
      <c r="N73" s="202" t="n"/>
      <c r="O73" s="202" t="n"/>
      <c r="P73" s="202" t="n"/>
      <c r="Q73" s="202" t="n"/>
      <c r="R73" s="201" t="n"/>
    </row>
    <row r="74" ht="15" customHeight="1">
      <c r="A74" s="13" t="inlineStr">
        <is>
          <t>Lateral moves the evidence supports · people</t>
        </is>
      </c>
      <c r="B74" s="202" t="n"/>
      <c r="C74" s="202" t="n"/>
      <c r="D74" s="202" t="n"/>
      <c r="E74" s="201" t="n"/>
      <c r="F74" s="16" t="inlineStr">
        <is>
          <t>No strong match yet</t>
        </is>
      </c>
      <c r="G74" s="202" t="n"/>
      <c r="H74" s="202" t="n"/>
      <c r="I74" s="202" t="n"/>
      <c r="J74" s="202" t="n"/>
      <c r="K74" s="202" t="n"/>
      <c r="L74" s="202" t="n"/>
      <c r="M74" s="202" t="n"/>
      <c r="N74" s="202" t="n"/>
      <c r="O74" s="202" t="n"/>
      <c r="P74" s="202" t="n"/>
      <c r="Q74" s="202" t="n"/>
      <c r="R74" s="201" t="n"/>
    </row>
    <row r="75" ht="15" customHeight="1"/>
    <row r="76" ht="28" customHeight="1">
      <c r="A76" s="12" t="inlineStr">
        <is>
          <t>Cluster</t>
        </is>
      </c>
      <c r="B76" s="12" t="inlineStr">
        <is>
          <t>Competency · ★ = must-have</t>
        </is>
      </c>
      <c r="C76" s="12" t="inlineStr">
        <is>
          <t>Definition</t>
        </is>
      </c>
      <c r="D76" s="12" t="inlineStr">
        <is>
          <t>Must-have for</t>
        </is>
      </c>
      <c r="E76" s="12" t="inlineStr">
        <is>
          <t>A1</t>
        </is>
      </c>
      <c r="F76" s="12" t="inlineStr">
        <is>
          <t>A2</t>
        </is>
      </c>
      <c r="G76" s="12" t="inlineStr">
        <is>
          <t>A3</t>
        </is>
      </c>
      <c r="H76" s="12" t="inlineStr">
        <is>
          <t>B1</t>
        </is>
      </c>
      <c r="I76" s="12" t="inlineStr">
        <is>
          <t>B2</t>
        </is>
      </c>
      <c r="J76" s="12" t="inlineStr">
        <is>
          <t>B3</t>
        </is>
      </c>
      <c r="K76" s="12" t="inlineStr">
        <is>
          <t>B+</t>
        </is>
      </c>
      <c r="L76" s="12" t="inlineStr">
        <is>
          <t>C1</t>
        </is>
      </c>
      <c r="M76" s="12" t="inlineStr">
        <is>
          <t>C2</t>
        </is>
      </c>
      <c r="N76" s="12" t="inlineStr">
        <is>
          <t>C+</t>
        </is>
      </c>
      <c r="O76" s="12" t="inlineStr">
        <is>
          <t>D1</t>
        </is>
      </c>
      <c r="P76" s="12" t="inlineStr">
        <is>
          <t>What good looks like · by proficiency</t>
        </is>
      </c>
      <c r="Q76" s="12" t="inlineStr">
        <is>
          <t>What IRIS top performers do · survey</t>
        </is>
      </c>
      <c r="R76" s="12" t="inlineStr">
        <is>
          <t>How to assess</t>
        </is>
      </c>
      <c r="S76" s="12" t="inlineStr">
        <is>
          <t>Credentials</t>
        </is>
      </c>
      <c r="T76" s="12" t="inlineStr">
        <is>
          <t>Reference</t>
        </is>
      </c>
    </row>
    <row r="77" ht="67" customHeight="1">
      <c r="A77" s="165" t="inlineStr">
        <is>
          <t>Functional</t>
        </is>
      </c>
      <c r="B77" s="165" t="inlineStr">
        <is>
          <t>★ Advanced Excel &amp; Productivity Tools</t>
        </is>
      </c>
      <c r="C77" s="165" t="inlineStr">
        <is>
          <t>Uses Excel, Word, HTML and conversion tools expertly.</t>
        </is>
      </c>
      <c r="D77" s="165" t="inlineStr">
        <is>
          <t>Data Operations &amp; Digitization</t>
        </is>
      </c>
      <c r="E77" s="166" t="n">
        <v>1</v>
      </c>
      <c r="F77" s="166" t="n">
        <v>2</v>
      </c>
      <c r="G77" s="166" t="n">
        <v>3</v>
      </c>
      <c r="H77" s="166" t="n">
        <v>3</v>
      </c>
      <c r="I77" s="166" t="n">
        <v>4</v>
      </c>
      <c r="J77" s="166" t="n">
        <v>4</v>
      </c>
      <c r="K77" s="166" t="n">
        <v>4</v>
      </c>
      <c r="L77" s="166" t="n">
        <v>4</v>
      </c>
      <c r="M77" s="166" t="n">
        <v>5</v>
      </c>
      <c r="N77" s="166" t="n">
        <v>5</v>
      </c>
      <c r="O77" s="166" t="n">
        <v>4</v>
      </c>
      <c r="P77" s="165" t="inlineStr">
        <is>
          <t>3 · Uses advanced Excel, Word, HTML and conversion tools fluently
4 · Builds templates and automation used by the team</t>
        </is>
      </c>
      <c r="Q77" s="165" t="inlineStr">
        <is>
          <t>HTML, formatting, pdf, word, excel</t>
        </is>
      </c>
      <c r="R77" s="165" t="inlineStr">
        <is>
          <t>Practical test</t>
        </is>
      </c>
      <c r="S77" s="165" t="inlineStr">
        <is>
          <t>MOS Excel · optional</t>
        </is>
      </c>
      <c r="T77" s="165" t="inlineStr">
        <is>
          <t>Family set</t>
        </is>
      </c>
    </row>
    <row r="78" ht="67" customHeight="1">
      <c r="A78" s="165" t="inlineStr">
        <is>
          <t>Functional</t>
        </is>
      </c>
      <c r="B78" s="165" t="inlineStr">
        <is>
          <t>★ Process Improvement &amp; Quality Mindset</t>
        </is>
      </c>
      <c r="C78" s="165" t="inlineStr">
        <is>
          <t>Gets it right first time; improves processes and checklists.</t>
        </is>
      </c>
      <c r="D78" s="165" t="inlineStr">
        <is>
          <t>Data Operations &amp; Digitization</t>
        </is>
      </c>
      <c r="E78" s="166" t="n">
        <v>1</v>
      </c>
      <c r="F78" s="166" t="n">
        <v>2</v>
      </c>
      <c r="G78" s="166" t="n">
        <v>3</v>
      </c>
      <c r="H78" s="166" t="n">
        <v>3</v>
      </c>
      <c r="I78" s="166" t="n">
        <v>4</v>
      </c>
      <c r="J78" s="166" t="n">
        <v>4</v>
      </c>
      <c r="K78" s="166" t="n">
        <v>4</v>
      </c>
      <c r="L78" s="166" t="n">
        <v>4</v>
      </c>
      <c r="M78" s="166" t="n">
        <v>5</v>
      </c>
      <c r="N78" s="166" t="n">
        <v>5</v>
      </c>
      <c r="O78" s="166" t="n">
        <v>4</v>
      </c>
      <c r="P78" s="165" t="inlineStr">
        <is>
          <t>3 · Delivers right-first-time; improves own checklists
4 · Redesigns team processes; reduces error rates measurably</t>
        </is>
      </c>
      <c r="Q78" s="165" t="inlineStr">
        <is>
          <t>quality, qc, review, validation</t>
        </is>
      </c>
      <c r="R78" s="165" t="inlineStr">
        <is>
          <t>Work sample / case</t>
        </is>
      </c>
      <c r="S78" s="165" t="inlineStr">
        <is>
          <t>Lean / Six Sigma · optional</t>
        </is>
      </c>
      <c r="T78" s="165" t="inlineStr">
        <is>
          <t>Family set</t>
        </is>
      </c>
    </row>
    <row r="79" ht="54" customHeight="1">
      <c r="A79" s="165" t="inlineStr">
        <is>
          <t>Functional</t>
        </is>
      </c>
      <c r="B79" s="165" t="inlineStr">
        <is>
          <t>Regulatory &amp; BFSI Domain</t>
        </is>
      </c>
      <c r="C79" s="165" t="inlineStr">
        <is>
          <t>Understands regulators, returns, filings and BFSI rules.</t>
        </is>
      </c>
      <c r="D79" s="165" t="inlineStr">
        <is>
          <t>—</t>
        </is>
      </c>
      <c r="E79" s="166" t="n">
        <v>1</v>
      </c>
      <c r="F79" s="166" t="n">
        <v>2</v>
      </c>
      <c r="G79" s="166" t="n">
        <v>3</v>
      </c>
      <c r="H79" s="166" t="n">
        <v>3</v>
      </c>
      <c r="I79" s="166" t="n">
        <v>4</v>
      </c>
      <c r="J79" s="166" t="n">
        <v>4</v>
      </c>
      <c r="K79" s="166" t="n">
        <v>4</v>
      </c>
      <c r="L79" s="166" t="n">
        <v>4</v>
      </c>
      <c r="M79" s="166" t="n">
        <v>5</v>
      </c>
      <c r="N79" s="166" t="n">
        <v>5</v>
      </c>
      <c r="O79" s="166" t="n">
        <v>4</v>
      </c>
      <c r="P79" s="165" t="inlineStr">
        <is>
          <t>3 · Knows the relevant regulators, returns and rules
4 · Interprets new regulation; advises clients and product</t>
        </is>
      </c>
      <c r="Q79" s="165" t="inlineStr">
        <is>
          <t>cipc, mca, hmrc, RBI, regulation</t>
        </is>
      </c>
      <c r="R79" s="165" t="inlineStr">
        <is>
          <t>Domain interview</t>
        </is>
      </c>
      <c r="S79" s="165" t="inlineStr">
        <is>
          <t>Domain certifications · optional</t>
        </is>
      </c>
      <c r="T79" s="165" t="inlineStr">
        <is>
          <t>Family set</t>
        </is>
      </c>
    </row>
    <row r="80" ht="67" customHeight="1">
      <c r="A80" s="165" t="inlineStr">
        <is>
          <t>Functional</t>
        </is>
      </c>
      <c r="B80" s="165" t="inlineStr">
        <is>
          <t>XBRL, iXBRL &amp; Taxonomy</t>
        </is>
      </c>
      <c r="C80" s="165" t="inlineStr">
        <is>
          <t>Tags, converts and validates XBRL / iXBRL filings; applies taxonomies.</t>
        </is>
      </c>
      <c r="D80" s="165" t="inlineStr">
        <is>
          <t>—</t>
        </is>
      </c>
      <c r="E80" s="166" t="n">
        <v>1</v>
      </c>
      <c r="F80" s="166" t="n">
        <v>2</v>
      </c>
      <c r="G80" s="166" t="n">
        <v>3</v>
      </c>
      <c r="H80" s="166" t="n">
        <v>3</v>
      </c>
      <c r="I80" s="166" t="n">
        <v>4</v>
      </c>
      <c r="J80" s="166" t="n">
        <v>4</v>
      </c>
      <c r="K80" s="166" t="n">
        <v>4</v>
      </c>
      <c r="L80" s="166" t="n">
        <v>4</v>
      </c>
      <c r="M80" s="166" t="n">
        <v>5</v>
      </c>
      <c r="N80" s="166" t="n">
        <v>5</v>
      </c>
      <c r="O80" s="166" t="n">
        <v>4</v>
      </c>
      <c r="P80" s="165" t="inlineStr">
        <is>
          <t>3 · Tags and validates filings accurately for a market
4 · Resolves complex tagging and taxonomy issues; builds extensions; reviews others</t>
        </is>
      </c>
      <c r="Q80" s="165" t="inlineStr">
        <is>
          <t>XBRL, ixbrl, tagging, ESEF</t>
        </is>
      </c>
      <c r="R80" s="165" t="inlineStr">
        <is>
          <t>Tagging test on a real filing</t>
        </is>
      </c>
      <c r="S80" s="165" t="inlineStr">
        <is>
          <t>XBRL US GAAP Certificate · AICPA &amp; XBRL US or equivalent</t>
        </is>
      </c>
      <c r="T80" s="165" t="inlineStr">
        <is>
          <t>Family set</t>
        </is>
      </c>
    </row>
    <row r="81" ht="67" customHeight="1">
      <c r="A81" s="165" t="inlineStr">
        <is>
          <t>Functional</t>
        </is>
      </c>
      <c r="B81" s="165" t="inlineStr">
        <is>
          <t>AI, GenAI &amp; Prompt Engineering</t>
        </is>
      </c>
      <c r="C81" s="165" t="inlineStr">
        <is>
          <t>Uses or builds AI and LLM solutions to improve products and work.</t>
        </is>
      </c>
      <c r="D81" s="165" t="inlineStr">
        <is>
          <t>—</t>
        </is>
      </c>
      <c r="E81" s="166" t="n">
        <v>1</v>
      </c>
      <c r="F81" s="166" t="n">
        <v>2</v>
      </c>
      <c r="G81" s="166" t="n">
        <v>3</v>
      </c>
      <c r="H81" s="166" t="n">
        <v>3</v>
      </c>
      <c r="I81" s="166" t="n">
        <v>4</v>
      </c>
      <c r="J81" s="166" t="n">
        <v>4</v>
      </c>
      <c r="K81" s="166" t="n">
        <v>4</v>
      </c>
      <c r="L81" s="166" t="n">
        <v>4</v>
      </c>
      <c r="M81" s="166" t="n">
        <v>5</v>
      </c>
      <c r="N81" s="166" t="n">
        <v>5</v>
      </c>
      <c r="O81" s="166" t="n">
        <v>4</v>
      </c>
      <c r="P81" s="165" t="inlineStr">
        <is>
          <t>3 · Uses AI / LLM tools in own work and validates output
4 · Builds AI features or AI-enabled processes; sets safe-use practice</t>
        </is>
      </c>
      <c r="Q81" s="165" t="inlineStr">
        <is>
          <t>copilot</t>
        </is>
      </c>
      <c r="R81" s="165" t="inlineStr">
        <is>
          <t>Work sample / portfolio</t>
        </is>
      </c>
      <c r="S81" s="165" t="inlineStr">
        <is>
          <t>Vendor AI certifications · optional</t>
        </is>
      </c>
      <c r="T81" s="165" t="inlineStr">
        <is>
          <t>Family set</t>
        </is>
      </c>
    </row>
    <row r="82" ht="54" customHeight="1">
      <c r="A82" s="165" t="inlineStr">
        <is>
          <t>Functional</t>
        </is>
      </c>
      <c r="B82" s="165" t="inlineStr">
        <is>
          <t>Time, Priority &amp; Self-Management</t>
        </is>
      </c>
      <c r="C82" s="165" t="inlineStr">
        <is>
          <t>Manages volume, deadlines and priorities.</t>
        </is>
      </c>
      <c r="D82" s="165" t="inlineStr">
        <is>
          <t>—</t>
        </is>
      </c>
      <c r="E82" s="166" t="n">
        <v>1</v>
      </c>
      <c r="F82" s="166" t="n">
        <v>2</v>
      </c>
      <c r="G82" s="166" t="n">
        <v>3</v>
      </c>
      <c r="H82" s="166" t="n">
        <v>3</v>
      </c>
      <c r="I82" s="166" t="n">
        <v>4</v>
      </c>
      <c r="J82" s="166" t="n">
        <v>4</v>
      </c>
      <c r="K82" s="166" t="n">
        <v>4</v>
      </c>
      <c r="L82" s="166" t="n">
        <v>4</v>
      </c>
      <c r="M82" s="166" t="n">
        <v>5</v>
      </c>
      <c r="N82" s="166" t="n">
        <v>5</v>
      </c>
      <c r="O82" s="166" t="n">
        <v>4</v>
      </c>
      <c r="P82" s="165" t="inlineStr">
        <is>
          <t>3 · Manages volume and deadlines without slippage
4 · Plans team capacity and peak-season loads</t>
        </is>
      </c>
      <c r="Q82" s="165" t="inlineStr">
        <is>
          <t>prioriti</t>
        </is>
      </c>
      <c r="R82" s="165" t="inlineStr">
        <is>
          <t>Behavioural interview</t>
        </is>
      </c>
      <c r="S82" s="165" t="inlineStr">
        <is>
          <t>—</t>
        </is>
      </c>
      <c r="T82" s="165" t="inlineStr">
        <is>
          <t>Family set</t>
        </is>
      </c>
    </row>
    <row r="83" ht="28" customHeight="1">
      <c r="A83" s="134" t="inlineStr">
        <is>
          <t>Leadership</t>
        </is>
      </c>
      <c r="B83" s="134" t="inlineStr">
        <is>
          <t>Leadership cluster · 4 competencies, part C</t>
        </is>
      </c>
      <c r="C83" s="134" t="inlineStr">
        <is>
          <t>Leading people, decisions, strategy and change</t>
        </is>
      </c>
      <c r="D83" s="134" t="inlineStr">
        <is>
          <t>POD Leads and People Managers</t>
        </is>
      </c>
      <c r="E83" s="47" t="inlineStr">
        <is>
          <t>—</t>
        </is>
      </c>
      <c r="F83" s="47" t="inlineStr">
        <is>
          <t>—</t>
        </is>
      </c>
      <c r="G83" s="47" t="inlineStr">
        <is>
          <t>—</t>
        </is>
      </c>
      <c r="H83" s="47" t="inlineStr">
        <is>
          <t>1/2</t>
        </is>
      </c>
      <c r="I83" s="47" t="inlineStr">
        <is>
          <t>2/3</t>
        </is>
      </c>
      <c r="J83" s="47" t="inlineStr">
        <is>
          <t>3/4</t>
        </is>
      </c>
      <c r="K83" s="47" t="inlineStr">
        <is>
          <t>4/4</t>
        </is>
      </c>
      <c r="L83" s="47" t="inlineStr">
        <is>
          <t>4/4</t>
        </is>
      </c>
      <c r="M83" s="47" t="inlineStr">
        <is>
          <t>4/4</t>
        </is>
      </c>
      <c r="N83" s="47" t="inlineStr">
        <is>
          <t>5/5</t>
        </is>
      </c>
      <c r="O83" s="47" t="inlineStr">
        <is>
          <t>5/5</t>
        </is>
      </c>
      <c r="P83" s="134" t="inlineStr">
        <is>
          <t>Required level shown as IC / Manager</t>
        </is>
      </c>
      <c r="Q83" s="134" t="inlineStr">
        <is>
          <t>—</t>
        </is>
      </c>
      <c r="R83" s="134" t="inlineStr">
        <is>
          <t>Behavioural interview; 360 feedback</t>
        </is>
      </c>
      <c r="S83" s="134" t="inlineStr">
        <is>
          <t>—</t>
        </is>
      </c>
      <c r="T83" s="134" t="inlineStr">
        <is>
          <t>S14, S15, S16</t>
        </is>
      </c>
    </row>
    <row r="84" ht="15" customHeight="1"/>
    <row r="85" ht="15" customHeight="1">
      <c r="A85" s="12" t="inlineStr">
        <is>
          <t>Job family</t>
        </is>
      </c>
      <c r="B85" s="12" t="inlineStr">
        <is>
          <t>Education / credentials</t>
        </is>
      </c>
      <c r="C85" s="201" t="n"/>
      <c r="D85" s="12" t="inlineStr">
        <is>
          <t>Gate requirements</t>
        </is>
      </c>
      <c r="E85" s="201" t="n"/>
      <c r="F85" s="12" t="inlineStr">
        <is>
          <t>Learning focus — Band A</t>
        </is>
      </c>
      <c r="G85" s="202" t="n"/>
      <c r="H85" s="202" t="n"/>
      <c r="I85" s="202" t="n"/>
      <c r="J85" s="202" t="n"/>
      <c r="K85" s="201" t="n"/>
      <c r="L85" s="12" t="inlineStr">
        <is>
          <t>Learning focus — Band B</t>
        </is>
      </c>
      <c r="M85" s="202" t="n"/>
      <c r="N85" s="202" t="n"/>
      <c r="O85" s="202" t="n"/>
      <c r="P85" s="201" t="n"/>
      <c r="Q85" s="12" t="inlineStr">
        <is>
          <t>Learning focus — Band C+</t>
        </is>
      </c>
      <c r="R85" s="201" t="n"/>
      <c r="S85" s="12" t="inlineStr">
        <is>
          <t>Future skills</t>
        </is>
      </c>
      <c r="T85" s="201" t="n"/>
    </row>
    <row r="86" ht="80" customHeight="1">
      <c r="A86" s="13" t="inlineStr">
        <is>
          <t>Data Operations &amp; Digitization</t>
        </is>
      </c>
      <c r="B86" s="16" t="inlineStr">
        <is>
          <t>Graduate · commerce preferred</t>
        </is>
      </c>
      <c r="C86" s="201" t="n"/>
      <c r="D86" s="16" t="inlineStr">
        <is>
          <t>Accuracy and SLA discipline; data confidentiality</t>
        </is>
      </c>
      <c r="E86" s="201" t="n"/>
      <c r="F86" s="16" t="inlineStr">
        <is>
          <t>Mandatory path · POSH, Code of Conduct, InfoSec; Advanced Excel &amp; Productivity Tools, Process Improvement &amp; Quality Mindset to Working → Practitioner; AI literacy to 2; learn by mentoring and KT.</t>
        </is>
      </c>
      <c r="G86" s="202" t="n"/>
      <c r="H86" s="202" t="n"/>
      <c r="I86" s="202" t="n"/>
      <c r="J86" s="202" t="n"/>
      <c r="K86" s="201" t="n"/>
      <c r="L86" s="16" t="inlineStr">
        <is>
          <t>Advanced Excel &amp; Productivity Tools, Process Improvement &amp; Quality Mindset to Advanced; Regulatory &amp; BFSI Domain, XBRL, iXBRL &amp; Taxonomy, AI, GenAI &amp; Prompt Engineering to Practitioner; POD Leads / Managers: leading people, delegation, feedback.</t>
        </is>
      </c>
      <c r="M86" s="202" t="n"/>
      <c r="N86" s="202" t="n"/>
      <c r="O86" s="202" t="n"/>
      <c r="P86" s="201" t="n"/>
      <c r="Q86" s="16" t="inlineStr">
        <is>
          <t>Expert in one must-have; strategy &amp; business acumen; building the bench; AI-enabled processes for the function.</t>
        </is>
      </c>
      <c r="R86" s="201" t="n"/>
      <c r="S86" s="16" t="inlineStr">
        <is>
          <t>AI-assisted conversion &amp; OCR, automation of formatting, quality analytics</t>
        </is>
      </c>
      <c r="T86" s="201" t="n"/>
    </row>
    <row r="87" ht="15" customHeight="1"/>
    <row r="88" ht="15" customHeight="1"/>
    <row r="89" ht="20" customHeight="1">
      <c r="A89" s="164" t="inlineStr">
        <is>
          <t>India Content — 9 people · Service delivery &amp; data operations · levels A3–B2</t>
        </is>
      </c>
    </row>
    <row r="90" ht="15" customHeight="1">
      <c r="A90" s="17" t="inlineStr">
        <is>
          <t>Job families: Data &amp; Analytics</t>
        </is>
      </c>
    </row>
    <row r="91" ht="15" customHeight="1">
      <c r="A91" s="12" t="inlineStr">
        <is>
          <t>Capability health today · indicative, from survey + KRAs</t>
        </is>
      </c>
      <c r="B91" s="202" t="n"/>
      <c r="C91" s="202" t="n"/>
      <c r="D91" s="202" t="n"/>
      <c r="E91" s="201" t="n"/>
      <c r="F91" s="12" t="inlineStr">
        <is>
          <t>Result</t>
        </is>
      </c>
      <c r="G91" s="202" t="n"/>
      <c r="H91" s="202" t="n"/>
      <c r="I91" s="202" t="n"/>
      <c r="J91" s="202" t="n"/>
      <c r="K91" s="202" t="n"/>
      <c r="L91" s="202" t="n"/>
      <c r="M91" s="202" t="n"/>
      <c r="N91" s="202" t="n"/>
      <c r="O91" s="202" t="n"/>
      <c r="P91" s="202" t="n"/>
      <c r="Q91" s="202" t="n"/>
      <c r="R91" s="201" t="n"/>
    </row>
    <row r="92" ht="15" customHeight="1">
      <c r="A92" s="13" t="inlineStr">
        <is>
          <t>People assessed · meet or exceed their level</t>
        </is>
      </c>
      <c r="B92" s="202" t="n"/>
      <c r="C92" s="202" t="n"/>
      <c r="D92" s="202" t="n"/>
      <c r="E92" s="201" t="n"/>
      <c r="F92" s="16" t="inlineStr">
        <is>
          <t>9 · 7</t>
        </is>
      </c>
      <c r="G92" s="202" t="n"/>
      <c r="H92" s="202" t="n"/>
      <c r="I92" s="202" t="n"/>
      <c r="J92" s="202" t="n"/>
      <c r="K92" s="202" t="n"/>
      <c r="L92" s="202" t="n"/>
      <c r="M92" s="202" t="n"/>
      <c r="N92" s="202" t="n"/>
      <c r="O92" s="202" t="n"/>
      <c r="P92" s="202" t="n"/>
      <c r="Q92" s="202" t="n"/>
      <c r="R92" s="201" t="n"/>
    </row>
    <row r="93" ht="15" customHeight="1">
      <c r="A93" s="13" t="inlineStr">
        <is>
          <t>Average index · Core · Future-ready · Functional · Leadership · % of required</t>
        </is>
      </c>
      <c r="B93" s="202" t="n"/>
      <c r="C93" s="202" t="n"/>
      <c r="D93" s="202" t="n"/>
      <c r="E93" s="201" t="n"/>
      <c r="F93" s="16" t="inlineStr">
        <is>
          <t>92% · 97% · 90% · 89% · 101%</t>
        </is>
      </c>
      <c r="G93" s="202" t="n"/>
      <c r="H93" s="202" t="n"/>
      <c r="I93" s="202" t="n"/>
      <c r="J93" s="202" t="n"/>
      <c r="K93" s="202" t="n"/>
      <c r="L93" s="202" t="n"/>
      <c r="M93" s="202" t="n"/>
      <c r="N93" s="202" t="n"/>
      <c r="O93" s="202" t="n"/>
      <c r="P93" s="202" t="n"/>
      <c r="Q93" s="202" t="n"/>
      <c r="R93" s="201" t="n"/>
    </row>
    <row r="94" ht="15" customHeight="1">
      <c r="A94" s="13" t="inlineStr">
        <is>
          <t>Most common competency gaps · people</t>
        </is>
      </c>
      <c r="B94" s="202" t="n"/>
      <c r="C94" s="202" t="n"/>
      <c r="D94" s="202" t="n"/>
      <c r="E94" s="201" t="n"/>
      <c r="F94" s="16" t="inlineStr">
        <is>
          <t>Analytics &amp; BI · Accounting standards · Learning agility · Excel &amp; tools · Ownership</t>
        </is>
      </c>
      <c r="G94" s="202" t="n"/>
      <c r="H94" s="202" t="n"/>
      <c r="I94" s="202" t="n"/>
      <c r="J94" s="202" t="n"/>
      <c r="K94" s="202" t="n"/>
      <c r="L94" s="202" t="n"/>
      <c r="M94" s="202" t="n"/>
      <c r="N94" s="202" t="n"/>
      <c r="O94" s="202" t="n"/>
      <c r="P94" s="202" t="n"/>
      <c r="Q94" s="202" t="n"/>
      <c r="R94" s="201" t="n"/>
    </row>
    <row r="95" ht="28" customHeight="1">
      <c r="A95" s="13" t="inlineStr">
        <is>
          <t>Role-based development priorities · people</t>
        </is>
      </c>
      <c r="B95" s="202" t="n"/>
      <c r="C95" s="202" t="n"/>
      <c r="D95" s="202" t="n"/>
      <c r="E95" s="201" t="n"/>
      <c r="F95" s="16" t="inlineStr">
        <is>
          <t>RC.DATA-F: source validation · reconciliation · data lineage · issue management · Stakeholder &amp; Client Management · People Leadership &amp; Mentoring</t>
        </is>
      </c>
      <c r="G95" s="202" t="n"/>
      <c r="H95" s="202" t="n"/>
      <c r="I95" s="202" t="n"/>
      <c r="J95" s="202" t="n"/>
      <c r="K95" s="202" t="n"/>
      <c r="L95" s="202" t="n"/>
      <c r="M95" s="202" t="n"/>
      <c r="N95" s="202" t="n"/>
      <c r="O95" s="202" t="n"/>
      <c r="P95" s="202" t="n"/>
      <c r="Q95" s="202" t="n"/>
      <c r="R95" s="201" t="n"/>
    </row>
    <row r="96" ht="15" customHeight="1">
      <c r="A96" s="13" t="inlineStr">
        <is>
          <t>Manager-identified training themes</t>
        </is>
      </c>
      <c r="B96" s="202" t="n"/>
      <c r="C96" s="202" t="n"/>
      <c r="D96" s="202" t="n"/>
      <c r="E96" s="201" t="n"/>
      <c r="F96" s="16" t="inlineStr">
        <is>
          <t>presentation influence · ownership · stakeholder management · management prioritisation · skills</t>
        </is>
      </c>
      <c r="G96" s="202" t="n"/>
      <c r="H96" s="202" t="n"/>
      <c r="I96" s="202" t="n"/>
      <c r="J96" s="202" t="n"/>
      <c r="K96" s="202" t="n"/>
      <c r="L96" s="202" t="n"/>
      <c r="M96" s="202" t="n"/>
      <c r="N96" s="202" t="n"/>
      <c r="O96" s="202" t="n"/>
      <c r="P96" s="202" t="n"/>
      <c r="Q96" s="202" t="n"/>
      <c r="R96" s="201" t="n"/>
    </row>
    <row r="97" ht="15" customHeight="1">
      <c r="A97" s="13" t="inlineStr">
        <is>
          <t>What helped people learn · survey</t>
        </is>
      </c>
      <c r="B97" s="202" t="n"/>
      <c r="C97" s="202" t="n"/>
      <c r="D97" s="202" t="n"/>
      <c r="E97" s="201" t="n"/>
      <c r="F97" s="16" t="inlineStr">
        <is>
          <t>Formal / classroom training · On-the-job / hands-on · Mentoring / guidance from seniors</t>
        </is>
      </c>
      <c r="G97" s="202" t="n"/>
      <c r="H97" s="202" t="n"/>
      <c r="I97" s="202" t="n"/>
      <c r="J97" s="202" t="n"/>
      <c r="K97" s="202" t="n"/>
      <c r="L97" s="202" t="n"/>
      <c r="M97" s="202" t="n"/>
      <c r="N97" s="202" t="n"/>
      <c r="O97" s="202" t="n"/>
      <c r="P97" s="202" t="n"/>
      <c r="Q97" s="202" t="n"/>
      <c r="R97" s="201" t="n"/>
    </row>
    <row r="98" ht="15" customHeight="1">
      <c r="A98" s="13" t="inlineStr">
        <is>
          <t>How the work is changing</t>
        </is>
      </c>
      <c r="B98" s="202" t="n"/>
      <c r="C98" s="202" t="n"/>
      <c r="D98" s="202" t="n"/>
      <c r="E98" s="201" t="n"/>
      <c r="F98" s="16" t="inlineStr">
        <is>
          <t>1 of 8 say the role is changing because of AI / automation</t>
        </is>
      </c>
      <c r="G98" s="202" t="n"/>
      <c r="H98" s="202" t="n"/>
      <c r="I98" s="202" t="n"/>
      <c r="J98" s="202" t="n"/>
      <c r="K98" s="202" t="n"/>
      <c r="L98" s="202" t="n"/>
      <c r="M98" s="202" t="n"/>
      <c r="N98" s="202" t="n"/>
      <c r="O98" s="202" t="n"/>
      <c r="P98" s="202" t="n"/>
      <c r="Q98" s="202" t="n"/>
      <c r="R98" s="201" t="n"/>
    </row>
    <row r="99" ht="15" customHeight="1">
      <c r="A99" s="13" t="inlineStr">
        <is>
          <t>Lateral moves the evidence supports · people</t>
        </is>
      </c>
      <c r="B99" s="202" t="n"/>
      <c r="C99" s="202" t="n"/>
      <c r="D99" s="202" t="n"/>
      <c r="E99" s="201" t="n"/>
      <c r="F99" s="16" t="inlineStr">
        <is>
          <t>No strong match yet</t>
        </is>
      </c>
      <c r="G99" s="202" t="n"/>
      <c r="H99" s="202" t="n"/>
      <c r="I99" s="202" t="n"/>
      <c r="J99" s="202" t="n"/>
      <c r="K99" s="202" t="n"/>
      <c r="L99" s="202" t="n"/>
      <c r="M99" s="202" t="n"/>
      <c r="N99" s="202" t="n"/>
      <c r="O99" s="202" t="n"/>
      <c r="P99" s="202" t="n"/>
      <c r="Q99" s="202" t="n"/>
      <c r="R99" s="201" t="n"/>
    </row>
    <row r="100" ht="15" customHeight="1"/>
    <row r="101" ht="28" customHeight="1">
      <c r="A101" s="12" t="inlineStr">
        <is>
          <t>Cluster</t>
        </is>
      </c>
      <c r="B101" s="12" t="inlineStr">
        <is>
          <t>Competency · ★ = must-have</t>
        </is>
      </c>
      <c r="C101" s="12" t="inlineStr">
        <is>
          <t>Definition</t>
        </is>
      </c>
      <c r="D101" s="12" t="inlineStr">
        <is>
          <t>Must-have for</t>
        </is>
      </c>
      <c r="E101" s="12" t="inlineStr">
        <is>
          <t>A1</t>
        </is>
      </c>
      <c r="F101" s="12" t="inlineStr">
        <is>
          <t>A2</t>
        </is>
      </c>
      <c r="G101" s="12" t="inlineStr">
        <is>
          <t>A3</t>
        </is>
      </c>
      <c r="H101" s="12" t="inlineStr">
        <is>
          <t>B1</t>
        </is>
      </c>
      <c r="I101" s="12" t="inlineStr">
        <is>
          <t>B2</t>
        </is>
      </c>
      <c r="J101" s="12" t="inlineStr">
        <is>
          <t>B3</t>
        </is>
      </c>
      <c r="K101" s="12" t="inlineStr">
        <is>
          <t>B+</t>
        </is>
      </c>
      <c r="L101" s="12" t="inlineStr">
        <is>
          <t>C1</t>
        </is>
      </c>
      <c r="M101" s="12" t="inlineStr">
        <is>
          <t>C2</t>
        </is>
      </c>
      <c r="N101" s="12" t="inlineStr">
        <is>
          <t>C+</t>
        </is>
      </c>
      <c r="O101" s="12" t="inlineStr">
        <is>
          <t>D1</t>
        </is>
      </c>
      <c r="P101" s="12" t="inlineStr">
        <is>
          <t>What good looks like · by proficiency</t>
        </is>
      </c>
      <c r="Q101" s="12" t="inlineStr">
        <is>
          <t>What IRIS top performers do · survey</t>
        </is>
      </c>
      <c r="R101" s="12" t="inlineStr">
        <is>
          <t>How to assess</t>
        </is>
      </c>
      <c r="S101" s="12" t="inlineStr">
        <is>
          <t>Credentials</t>
        </is>
      </c>
      <c r="T101" s="12" t="inlineStr">
        <is>
          <t>Reference</t>
        </is>
      </c>
    </row>
    <row r="102" ht="54" customHeight="1">
      <c r="A102" s="165" t="inlineStr">
        <is>
          <t>Functional</t>
        </is>
      </c>
      <c r="B102" s="165" t="inlineStr">
        <is>
          <t>★ Data Analytics, BI &amp; Visualisation</t>
        </is>
      </c>
      <c r="C102" s="165" t="inlineStr">
        <is>
          <t>Turns data into MIS, dashboards and insight.</t>
        </is>
      </c>
      <c r="D102" s="165" t="inlineStr">
        <is>
          <t>Data &amp; Analytics</t>
        </is>
      </c>
      <c r="E102" s="166" t="n">
        <v>1</v>
      </c>
      <c r="F102" s="166" t="n">
        <v>2</v>
      </c>
      <c r="G102" s="166" t="n">
        <v>3</v>
      </c>
      <c r="H102" s="166" t="n">
        <v>3</v>
      </c>
      <c r="I102" s="166" t="n">
        <v>4</v>
      </c>
      <c r="J102" s="166" t="n">
        <v>4</v>
      </c>
      <c r="K102" s="166" t="n">
        <v>4</v>
      </c>
      <c r="L102" s="166" t="n">
        <v>4</v>
      </c>
      <c r="M102" s="166" t="n">
        <v>5</v>
      </c>
      <c r="N102" s="166" t="n">
        <v>5</v>
      </c>
      <c r="O102" s="166" t="n">
        <v>4</v>
      </c>
      <c r="P102" s="165" t="inlineStr">
        <is>
          <t>3 · Builds MIS, dashboards and analysis
4 · Defines metrics and analytics approach for a business</t>
        </is>
      </c>
      <c r="Q102" s="165" t="inlineStr">
        <is>
          <t>—</t>
        </is>
      </c>
      <c r="R102" s="165" t="inlineStr">
        <is>
          <t>Data case / practical</t>
        </is>
      </c>
      <c r="S102" s="165" t="inlineStr">
        <is>
          <t>Power BI / Tableau · optional</t>
        </is>
      </c>
      <c r="T102" s="165" t="inlineStr">
        <is>
          <t>Family set</t>
        </is>
      </c>
    </row>
    <row r="103" ht="54" customHeight="1">
      <c r="A103" s="165" t="inlineStr">
        <is>
          <t>Functional</t>
        </is>
      </c>
      <c r="B103" s="165" t="inlineStr">
        <is>
          <t>★ Database, SQL &amp; Data Engineering</t>
        </is>
      </c>
      <c r="C103" s="165" t="inlineStr">
        <is>
          <t>Writes and tunes SQL, data models and ETL.</t>
        </is>
      </c>
      <c r="D103" s="165" t="inlineStr">
        <is>
          <t>Data &amp; Analytics</t>
        </is>
      </c>
      <c r="E103" s="166" t="n">
        <v>1</v>
      </c>
      <c r="F103" s="166" t="n">
        <v>2</v>
      </c>
      <c r="G103" s="166" t="n">
        <v>3</v>
      </c>
      <c r="H103" s="166" t="n">
        <v>3</v>
      </c>
      <c r="I103" s="166" t="n">
        <v>4</v>
      </c>
      <c r="J103" s="166" t="n">
        <v>4</v>
      </c>
      <c r="K103" s="166" t="n">
        <v>4</v>
      </c>
      <c r="L103" s="166" t="n">
        <v>4</v>
      </c>
      <c r="M103" s="166" t="n">
        <v>5</v>
      </c>
      <c r="N103" s="166" t="n">
        <v>5</v>
      </c>
      <c r="O103" s="166" t="n">
        <v>4</v>
      </c>
      <c r="P103" s="165" t="inlineStr">
        <is>
          <t>3 · Writes and tunes queries, procedures and ETL
4 · Designs data models and pipelines; optimises at scale</t>
        </is>
      </c>
      <c r="Q103" s="165" t="inlineStr">
        <is>
          <t>queries, database</t>
        </is>
      </c>
      <c r="R103" s="165" t="inlineStr">
        <is>
          <t>SQL test / case</t>
        </is>
      </c>
      <c r="S103" s="165" t="inlineStr">
        <is>
          <t>Database certifications · optional</t>
        </is>
      </c>
      <c r="T103" s="165" t="inlineStr">
        <is>
          <t>Family set</t>
        </is>
      </c>
    </row>
    <row r="104" ht="67" customHeight="1">
      <c r="A104" s="165" t="inlineStr">
        <is>
          <t>Functional</t>
        </is>
      </c>
      <c r="B104" s="165" t="inlineStr">
        <is>
          <t>Advanced Excel &amp; Productivity Tools</t>
        </is>
      </c>
      <c r="C104" s="165" t="inlineStr">
        <is>
          <t>Uses Excel, Word, HTML and conversion tools expertly.</t>
        </is>
      </c>
      <c r="D104" s="165" t="inlineStr">
        <is>
          <t>—</t>
        </is>
      </c>
      <c r="E104" s="166" t="n">
        <v>1</v>
      </c>
      <c r="F104" s="166" t="n">
        <v>2</v>
      </c>
      <c r="G104" s="166" t="n">
        <v>3</v>
      </c>
      <c r="H104" s="166" t="n">
        <v>3</v>
      </c>
      <c r="I104" s="166" t="n">
        <v>4</v>
      </c>
      <c r="J104" s="166" t="n">
        <v>4</v>
      </c>
      <c r="K104" s="166" t="n">
        <v>4</v>
      </c>
      <c r="L104" s="166" t="n">
        <v>4</v>
      </c>
      <c r="M104" s="166" t="n">
        <v>5</v>
      </c>
      <c r="N104" s="166" t="n">
        <v>5</v>
      </c>
      <c r="O104" s="166" t="n">
        <v>4</v>
      </c>
      <c r="P104" s="165" t="inlineStr">
        <is>
          <t>3 · Uses advanced Excel, Word, HTML and conversion tools fluently
4 · Builds templates and automation used by the team</t>
        </is>
      </c>
      <c r="Q104" s="165" t="inlineStr">
        <is>
          <t>—</t>
        </is>
      </c>
      <c r="R104" s="165" t="inlineStr">
        <is>
          <t>Practical test</t>
        </is>
      </c>
      <c r="S104" s="165" t="inlineStr">
        <is>
          <t>MOS Excel · optional</t>
        </is>
      </c>
      <c r="T104" s="165" t="inlineStr">
        <is>
          <t>Family set</t>
        </is>
      </c>
    </row>
    <row r="105" ht="54" customHeight="1">
      <c r="A105" s="165" t="inlineStr">
        <is>
          <t>Functional</t>
        </is>
      </c>
      <c r="B105" s="165" t="inlineStr">
        <is>
          <t>Regulatory &amp; BFSI Domain</t>
        </is>
      </c>
      <c r="C105" s="165" t="inlineStr">
        <is>
          <t>Understands regulators, returns, filings and BFSI rules.</t>
        </is>
      </c>
      <c r="D105" s="165" t="inlineStr">
        <is>
          <t>—</t>
        </is>
      </c>
      <c r="E105" s="166" t="n">
        <v>1</v>
      </c>
      <c r="F105" s="166" t="n">
        <v>2</v>
      </c>
      <c r="G105" s="166" t="n">
        <v>3</v>
      </c>
      <c r="H105" s="166" t="n">
        <v>3</v>
      </c>
      <c r="I105" s="166" t="n">
        <v>4</v>
      </c>
      <c r="J105" s="166" t="n">
        <v>4</v>
      </c>
      <c r="K105" s="166" t="n">
        <v>4</v>
      </c>
      <c r="L105" s="166" t="n">
        <v>4</v>
      </c>
      <c r="M105" s="166" t="n">
        <v>5</v>
      </c>
      <c r="N105" s="166" t="n">
        <v>5</v>
      </c>
      <c r="O105" s="166" t="n">
        <v>4</v>
      </c>
      <c r="P105" s="165" t="inlineStr">
        <is>
          <t>3 · Knows the relevant regulators, returns and rules
4 · Interprets new regulation; advises clients and product</t>
        </is>
      </c>
      <c r="Q105" s="165" t="inlineStr">
        <is>
          <t>SEBI</t>
        </is>
      </c>
      <c r="R105" s="165" t="inlineStr">
        <is>
          <t>Domain interview</t>
        </is>
      </c>
      <c r="S105" s="165" t="inlineStr">
        <is>
          <t>Domain certifications · optional</t>
        </is>
      </c>
      <c r="T105" s="165" t="inlineStr">
        <is>
          <t>Family set</t>
        </is>
      </c>
    </row>
    <row r="106" ht="67" customHeight="1">
      <c r="A106" s="165" t="inlineStr">
        <is>
          <t>Functional</t>
        </is>
      </c>
      <c r="B106" s="165" t="inlineStr">
        <is>
          <t>Process Improvement &amp; Quality Mindset</t>
        </is>
      </c>
      <c r="C106" s="165" t="inlineStr">
        <is>
          <t>Gets it right first time; improves processes and checklists.</t>
        </is>
      </c>
      <c r="D106" s="165" t="inlineStr">
        <is>
          <t>—</t>
        </is>
      </c>
      <c r="E106" s="166" t="n">
        <v>1</v>
      </c>
      <c r="F106" s="166" t="n">
        <v>2</v>
      </c>
      <c r="G106" s="166" t="n">
        <v>3</v>
      </c>
      <c r="H106" s="166" t="n">
        <v>3</v>
      </c>
      <c r="I106" s="166" t="n">
        <v>4</v>
      </c>
      <c r="J106" s="166" t="n">
        <v>4</v>
      </c>
      <c r="K106" s="166" t="n">
        <v>4</v>
      </c>
      <c r="L106" s="166" t="n">
        <v>4</v>
      </c>
      <c r="M106" s="166" t="n">
        <v>5</v>
      </c>
      <c r="N106" s="166" t="n">
        <v>5</v>
      </c>
      <c r="O106" s="166" t="n">
        <v>4</v>
      </c>
      <c r="P106" s="165" t="inlineStr">
        <is>
          <t>3 · Delivers right-first-time; improves own checklists
4 · Redesigns team processes; reduces error rates measurably</t>
        </is>
      </c>
      <c r="Q106" s="165" t="inlineStr">
        <is>
          <t>accura, validation, sla</t>
        </is>
      </c>
      <c r="R106" s="165" t="inlineStr">
        <is>
          <t>Work sample / case</t>
        </is>
      </c>
      <c r="S106" s="165" t="inlineStr">
        <is>
          <t>Lean / Six Sigma · optional</t>
        </is>
      </c>
      <c r="T106" s="165" t="inlineStr">
        <is>
          <t>Family set</t>
        </is>
      </c>
    </row>
    <row r="107" ht="54" customHeight="1">
      <c r="A107" s="165" t="inlineStr">
        <is>
          <t>Functional</t>
        </is>
      </c>
      <c r="B107" s="165" t="inlineStr">
        <is>
          <t>Accounting &amp; Reporting Standards · IFRS/US GAAP</t>
        </is>
      </c>
      <c r="C107" s="165" t="inlineStr">
        <is>
          <t>Reads financial statements; applies IFRS / US GAAP / Ind AS.</t>
        </is>
      </c>
      <c r="D107" s="165" t="inlineStr">
        <is>
          <t>—</t>
        </is>
      </c>
      <c r="E107" s="166" t="n">
        <v>1</v>
      </c>
      <c r="F107" s="166" t="n">
        <v>2</v>
      </c>
      <c r="G107" s="166" t="n">
        <v>3</v>
      </c>
      <c r="H107" s="166" t="n">
        <v>3</v>
      </c>
      <c r="I107" s="166" t="n">
        <v>4</v>
      </c>
      <c r="J107" s="166" t="n">
        <v>4</v>
      </c>
      <c r="K107" s="166" t="n">
        <v>4</v>
      </c>
      <c r="L107" s="166" t="n">
        <v>4</v>
      </c>
      <c r="M107" s="166" t="n">
        <v>5</v>
      </c>
      <c r="N107" s="166" t="n">
        <v>5</v>
      </c>
      <c r="O107" s="166" t="n">
        <v>4</v>
      </c>
      <c r="P107" s="165" t="inlineStr">
        <is>
          <t>3 · Applies IFRS / US GAAP / Ind AS correctly
4 · Advises on complex disclosures and standards changes</t>
        </is>
      </c>
      <c r="Q107" s="165" t="inlineStr">
        <is>
          <t>—</t>
        </is>
      </c>
      <c r="R107" s="165" t="inlineStr">
        <is>
          <t>Accounting test</t>
        </is>
      </c>
      <c r="S107" s="165" t="inlineStr">
        <is>
          <t>CA / CMA / ACCA / CFA / IFRS certificate</t>
        </is>
      </c>
      <c r="T107" s="165" t="inlineStr">
        <is>
          <t>Family set</t>
        </is>
      </c>
    </row>
    <row r="108" ht="28" customHeight="1">
      <c r="A108" s="134" t="inlineStr">
        <is>
          <t>Leadership</t>
        </is>
      </c>
      <c r="B108" s="134" t="inlineStr">
        <is>
          <t>Leadership cluster · 4 competencies, part C</t>
        </is>
      </c>
      <c r="C108" s="134" t="inlineStr">
        <is>
          <t>Leading people, decisions, strategy and change</t>
        </is>
      </c>
      <c r="D108" s="134" t="inlineStr">
        <is>
          <t>POD Leads and People Managers</t>
        </is>
      </c>
      <c r="E108" s="47" t="inlineStr">
        <is>
          <t>—</t>
        </is>
      </c>
      <c r="F108" s="47" t="inlineStr">
        <is>
          <t>—</t>
        </is>
      </c>
      <c r="G108" s="47" t="inlineStr">
        <is>
          <t>—</t>
        </is>
      </c>
      <c r="H108" s="47" t="inlineStr">
        <is>
          <t>1/2</t>
        </is>
      </c>
      <c r="I108" s="47" t="inlineStr">
        <is>
          <t>2/3</t>
        </is>
      </c>
      <c r="J108" s="47" t="inlineStr">
        <is>
          <t>3/4</t>
        </is>
      </c>
      <c r="K108" s="47" t="inlineStr">
        <is>
          <t>4/4</t>
        </is>
      </c>
      <c r="L108" s="47" t="inlineStr">
        <is>
          <t>4/4</t>
        </is>
      </c>
      <c r="M108" s="47" t="inlineStr">
        <is>
          <t>4/4</t>
        </is>
      </c>
      <c r="N108" s="47" t="inlineStr">
        <is>
          <t>5/5</t>
        </is>
      </c>
      <c r="O108" s="47" t="inlineStr">
        <is>
          <t>5/5</t>
        </is>
      </c>
      <c r="P108" s="134" t="inlineStr">
        <is>
          <t>Required level shown as IC / Manager</t>
        </is>
      </c>
      <c r="Q108" s="134" t="inlineStr">
        <is>
          <t>—</t>
        </is>
      </c>
      <c r="R108" s="134" t="inlineStr">
        <is>
          <t>Behavioural interview; 360 feedback</t>
        </is>
      </c>
      <c r="S108" s="134" t="inlineStr">
        <is>
          <t>—</t>
        </is>
      </c>
      <c r="T108" s="134" t="inlineStr">
        <is>
          <t>S14, S15, S16</t>
        </is>
      </c>
    </row>
    <row r="109" ht="15" customHeight="1"/>
    <row r="110" ht="15" customHeight="1">
      <c r="A110" s="12" t="inlineStr">
        <is>
          <t>Job family</t>
        </is>
      </c>
      <c r="B110" s="12" t="inlineStr">
        <is>
          <t>Education / credentials</t>
        </is>
      </c>
      <c r="C110" s="201" t="n"/>
      <c r="D110" s="12" t="inlineStr">
        <is>
          <t>Gate requirements</t>
        </is>
      </c>
      <c r="E110" s="201" t="n"/>
      <c r="F110" s="12" t="inlineStr">
        <is>
          <t>Learning focus — Band A</t>
        </is>
      </c>
      <c r="G110" s="202" t="n"/>
      <c r="H110" s="202" t="n"/>
      <c r="I110" s="202" t="n"/>
      <c r="J110" s="202" t="n"/>
      <c r="K110" s="201" t="n"/>
      <c r="L110" s="12" t="inlineStr">
        <is>
          <t>Learning focus — Band B</t>
        </is>
      </c>
      <c r="M110" s="202" t="n"/>
      <c r="N110" s="202" t="n"/>
      <c r="O110" s="202" t="n"/>
      <c r="P110" s="201" t="n"/>
      <c r="Q110" s="12" t="inlineStr">
        <is>
          <t>Learning focus — Band C+</t>
        </is>
      </c>
      <c r="R110" s="201" t="n"/>
      <c r="S110" s="12" t="inlineStr">
        <is>
          <t>Future skills</t>
        </is>
      </c>
      <c r="T110" s="201" t="n"/>
    </row>
    <row r="111" ht="80" customHeight="1">
      <c r="A111" s="13" t="inlineStr">
        <is>
          <t>Data &amp; Analytics</t>
        </is>
      </c>
      <c r="B111" s="16" t="inlineStr">
        <is>
          <t>Graduate in commerce / statistics / engineering</t>
        </is>
      </c>
      <c r="C111" s="201" t="n"/>
      <c r="D111" s="16" t="inlineStr">
        <is>
          <t>Data quality and confidentiality</t>
        </is>
      </c>
      <c r="E111" s="201" t="n"/>
      <c r="F111" s="16" t="inlineStr">
        <is>
          <t>Mandatory path · POSH, Code of Conduct, InfoSec; Data Analytics, BI &amp; Visualisation, Database, SQL &amp; Data Engineering to Working → Practitioner; AI literacy to 2; learn by mentoring and KT.</t>
        </is>
      </c>
      <c r="G111" s="202" t="n"/>
      <c r="H111" s="202" t="n"/>
      <c r="I111" s="202" t="n"/>
      <c r="J111" s="202" t="n"/>
      <c r="K111" s="201" t="n"/>
      <c r="L111" s="16" t="inlineStr">
        <is>
          <t>Data Analytics, BI &amp; Visualisation, Database, SQL &amp; Data Engineering to Advanced; Advanced Excel &amp; Productivity Tools, Regulatory &amp; BFSI Domain, Process Improvement &amp; Quality Mindset to Practitioner; POD Leads / Managers: leading people, delegation, feedback.</t>
        </is>
      </c>
      <c r="M111" s="202" t="n"/>
      <c r="N111" s="202" t="n"/>
      <c r="O111" s="202" t="n"/>
      <c r="P111" s="201" t="n"/>
      <c r="Q111" s="16" t="inlineStr">
        <is>
          <t>Expert in one must-have; strategy &amp; business acumen; building the bench; AI-enabled processes for the function.</t>
        </is>
      </c>
      <c r="R111" s="201" t="n"/>
      <c r="S111" s="16" t="inlineStr">
        <is>
          <t>AI &amp; big data, Python / SQL analytics, self-service BI</t>
        </is>
      </c>
      <c r="T111" s="201" t="n"/>
    </row>
    <row r="112" ht="15" customHeight="1"/>
    <row r="113" ht="15" customHeight="1"/>
    <row r="114" ht="20" customHeight="1">
      <c r="A114" s="164" t="inlineStr">
        <is>
          <t>Technology — 5 people · Technology &amp; engineering · levels A3–B3</t>
        </is>
      </c>
    </row>
    <row r="115" ht="15" customHeight="1">
      <c r="A115" s="17" t="inlineStr">
        <is>
          <t>Job families: Engineering &amp; Development · Project &amp; Program Management</t>
        </is>
      </c>
    </row>
    <row r="116" ht="15" customHeight="1">
      <c r="A116" s="12" t="inlineStr">
        <is>
          <t>Capability health today · indicative, from survey + KRAs</t>
        </is>
      </c>
      <c r="B116" s="202" t="n"/>
      <c r="C116" s="202" t="n"/>
      <c r="D116" s="202" t="n"/>
      <c r="E116" s="201" t="n"/>
      <c r="F116" s="12" t="inlineStr">
        <is>
          <t>Result</t>
        </is>
      </c>
      <c r="G116" s="202" t="n"/>
      <c r="H116" s="202" t="n"/>
      <c r="I116" s="202" t="n"/>
      <c r="J116" s="202" t="n"/>
      <c r="K116" s="202" t="n"/>
      <c r="L116" s="202" t="n"/>
      <c r="M116" s="202" t="n"/>
      <c r="N116" s="202" t="n"/>
      <c r="O116" s="202" t="n"/>
      <c r="P116" s="202" t="n"/>
      <c r="Q116" s="202" t="n"/>
      <c r="R116" s="201" t="n"/>
    </row>
    <row r="117" ht="15" customHeight="1">
      <c r="A117" s="13" t="inlineStr">
        <is>
          <t>People assessed · meet or exceed their level</t>
        </is>
      </c>
      <c r="B117" s="202" t="n"/>
      <c r="C117" s="202" t="n"/>
      <c r="D117" s="202" t="n"/>
      <c r="E117" s="201" t="n"/>
      <c r="F117" s="16" t="inlineStr">
        <is>
          <t>5 · 5</t>
        </is>
      </c>
      <c r="G117" s="202" t="n"/>
      <c r="H117" s="202" t="n"/>
      <c r="I117" s="202" t="n"/>
      <c r="J117" s="202" t="n"/>
      <c r="K117" s="202" t="n"/>
      <c r="L117" s="202" t="n"/>
      <c r="M117" s="202" t="n"/>
      <c r="N117" s="202" t="n"/>
      <c r="O117" s="202" t="n"/>
      <c r="P117" s="202" t="n"/>
      <c r="Q117" s="202" t="n"/>
      <c r="R117" s="201" t="n"/>
    </row>
    <row r="118" ht="15" customHeight="1">
      <c r="A118" s="13" t="inlineStr">
        <is>
          <t>Average index · Core · Future-ready · Functional · Leadership · % of required</t>
        </is>
      </c>
      <c r="B118" s="202" t="n"/>
      <c r="C118" s="202" t="n"/>
      <c r="D118" s="202" t="n"/>
      <c r="E118" s="201" t="n"/>
      <c r="F118" s="16" t="inlineStr">
        <is>
          <t>99% · 108% · 94% · 95% · 104%</t>
        </is>
      </c>
      <c r="G118" s="202" t="n"/>
      <c r="H118" s="202" t="n"/>
      <c r="I118" s="202" t="n"/>
      <c r="J118" s="202" t="n"/>
      <c r="K118" s="202" t="n"/>
      <c r="L118" s="202" t="n"/>
      <c r="M118" s="202" t="n"/>
      <c r="N118" s="202" t="n"/>
      <c r="O118" s="202" t="n"/>
      <c r="P118" s="202" t="n"/>
      <c r="Q118" s="202" t="n"/>
      <c r="R118" s="201" t="n"/>
    </row>
    <row r="119" ht="15" customHeight="1">
      <c r="A119" s="13" t="inlineStr">
        <is>
          <t>Most common competency gaps · people</t>
        </is>
      </c>
      <c r="B119" s="202" t="n"/>
      <c r="C119" s="202" t="n"/>
      <c r="D119" s="202" t="n"/>
      <c r="E119" s="201" t="n"/>
      <c r="F119" s="16" t="inlineStr">
        <is>
          <t>System design · AI / GenAI · Learning agility · Programming &amp; stack · Strategic acumen · Problem solving</t>
        </is>
      </c>
      <c r="G119" s="202" t="n"/>
      <c r="H119" s="202" t="n"/>
      <c r="I119" s="202" t="n"/>
      <c r="J119" s="202" t="n"/>
      <c r="K119" s="202" t="n"/>
      <c r="L119" s="202" t="n"/>
      <c r="M119" s="202" t="n"/>
      <c r="N119" s="202" t="n"/>
      <c r="O119" s="202" t="n"/>
      <c r="P119" s="202" t="n"/>
      <c r="Q119" s="202" t="n"/>
      <c r="R119" s="201" t="n"/>
    </row>
    <row r="120" ht="28" customHeight="1">
      <c r="A120" s="13" t="inlineStr">
        <is>
          <t>Role-based development priorities · people</t>
        </is>
      </c>
      <c r="B120" s="202" t="n"/>
      <c r="C120" s="202" t="n"/>
      <c r="D120" s="202" t="n"/>
      <c r="E120" s="201" t="n"/>
      <c r="F120" s="16" t="inlineStr">
        <is>
          <t>Programming &amp; Tech-Stack Depth · AI, GenAI &amp; Prompt Engineering · Project, Program &amp; Agile Management · Process Improvement &amp; Quality Mindset · People Leadership &amp; Mentoring · Cloud, DevOps &amp; CI/CD</t>
        </is>
      </c>
      <c r="G120" s="202" t="n"/>
      <c r="H120" s="202" t="n"/>
      <c r="I120" s="202" t="n"/>
      <c r="J120" s="202" t="n"/>
      <c r="K120" s="202" t="n"/>
      <c r="L120" s="202" t="n"/>
      <c r="M120" s="202" t="n"/>
      <c r="N120" s="202" t="n"/>
      <c r="O120" s="202" t="n"/>
      <c r="P120" s="202" t="n"/>
      <c r="Q120" s="202" t="n"/>
      <c r="R120" s="201" t="n"/>
    </row>
    <row r="121" ht="15" customHeight="1">
      <c r="A121" s="13" t="inlineStr">
        <is>
          <t>Manager-identified training themes</t>
        </is>
      </c>
      <c r="B121" s="202" t="n"/>
      <c r="C121" s="202" t="n"/>
      <c r="D121" s="202" t="n"/>
      <c r="E121" s="201" t="n"/>
      <c r="F121" s="16" t="inlineStr">
        <is>
          <t>stakeholder management · influence · people · fundamentals · leadership</t>
        </is>
      </c>
      <c r="G121" s="202" t="n"/>
      <c r="H121" s="202" t="n"/>
      <c r="I121" s="202" t="n"/>
      <c r="J121" s="202" t="n"/>
      <c r="K121" s="202" t="n"/>
      <c r="L121" s="202" t="n"/>
      <c r="M121" s="202" t="n"/>
      <c r="N121" s="202" t="n"/>
      <c r="O121" s="202" t="n"/>
      <c r="P121" s="202" t="n"/>
      <c r="Q121" s="202" t="n"/>
      <c r="R121" s="201" t="n"/>
    </row>
    <row r="122" ht="15" customHeight="1">
      <c r="A122" s="13" t="inlineStr">
        <is>
          <t>What helped people learn · survey</t>
        </is>
      </c>
      <c r="B122" s="202" t="n"/>
      <c r="C122" s="202" t="n"/>
      <c r="D122" s="202" t="n"/>
      <c r="E122" s="201" t="n"/>
      <c r="F122" s="16" t="inlineStr">
        <is>
          <t>Mentoring / guidance from seniors · Formal / classroom training</t>
        </is>
      </c>
      <c r="G122" s="202" t="n"/>
      <c r="H122" s="202" t="n"/>
      <c r="I122" s="202" t="n"/>
      <c r="J122" s="202" t="n"/>
      <c r="K122" s="202" t="n"/>
      <c r="L122" s="202" t="n"/>
      <c r="M122" s="202" t="n"/>
      <c r="N122" s="202" t="n"/>
      <c r="O122" s="202" t="n"/>
      <c r="P122" s="202" t="n"/>
      <c r="Q122" s="202" t="n"/>
      <c r="R122" s="201" t="n"/>
    </row>
    <row r="123" ht="15" customHeight="1">
      <c r="A123" s="13" t="inlineStr">
        <is>
          <t>How the work is changing</t>
        </is>
      </c>
      <c r="B123" s="202" t="n"/>
      <c r="C123" s="202" t="n"/>
      <c r="D123" s="202" t="n"/>
      <c r="E123" s="201" t="n"/>
      <c r="F123" s="16" t="inlineStr">
        <is>
          <t>2 of 5 say the role is changing because of AI / automation</t>
        </is>
      </c>
      <c r="G123" s="202" t="n"/>
      <c r="H123" s="202" t="n"/>
      <c r="I123" s="202" t="n"/>
      <c r="J123" s="202" t="n"/>
      <c r="K123" s="202" t="n"/>
      <c r="L123" s="202" t="n"/>
      <c r="M123" s="202" t="n"/>
      <c r="N123" s="202" t="n"/>
      <c r="O123" s="202" t="n"/>
      <c r="P123" s="202" t="n"/>
      <c r="Q123" s="202" t="n"/>
      <c r="R123" s="201" t="n"/>
    </row>
    <row r="124" ht="15" customHeight="1">
      <c r="A124" s="13" t="inlineStr">
        <is>
          <t>Lateral moves the evidence supports · people</t>
        </is>
      </c>
      <c r="B124" s="202" t="n"/>
      <c r="C124" s="202" t="n"/>
      <c r="D124" s="202" t="n"/>
      <c r="E124" s="201" t="n"/>
      <c r="F124" s="16" t="inlineStr">
        <is>
          <t>Business Analysis · Customer Success &amp; Support</t>
        </is>
      </c>
      <c r="G124" s="202" t="n"/>
      <c r="H124" s="202" t="n"/>
      <c r="I124" s="202" t="n"/>
      <c r="J124" s="202" t="n"/>
      <c r="K124" s="202" t="n"/>
      <c r="L124" s="202" t="n"/>
      <c r="M124" s="202" t="n"/>
      <c r="N124" s="202" t="n"/>
      <c r="O124" s="202" t="n"/>
      <c r="P124" s="202" t="n"/>
      <c r="Q124" s="202" t="n"/>
      <c r="R124" s="201" t="n"/>
    </row>
    <row r="125" ht="15" customHeight="1"/>
    <row r="126" ht="28" customHeight="1">
      <c r="A126" s="12" t="inlineStr">
        <is>
          <t>Cluster</t>
        </is>
      </c>
      <c r="B126" s="12" t="inlineStr">
        <is>
          <t>Competency · ★ = must-have</t>
        </is>
      </c>
      <c r="C126" s="12" t="inlineStr">
        <is>
          <t>Definition</t>
        </is>
      </c>
      <c r="D126" s="12" t="inlineStr">
        <is>
          <t>Must-have for</t>
        </is>
      </c>
      <c r="E126" s="12" t="inlineStr">
        <is>
          <t>A1</t>
        </is>
      </c>
      <c r="F126" s="12" t="inlineStr">
        <is>
          <t>A2</t>
        </is>
      </c>
      <c r="G126" s="12" t="inlineStr">
        <is>
          <t>A3</t>
        </is>
      </c>
      <c r="H126" s="12" t="inlineStr">
        <is>
          <t>B1</t>
        </is>
      </c>
      <c r="I126" s="12" t="inlineStr">
        <is>
          <t>B2</t>
        </is>
      </c>
      <c r="J126" s="12" t="inlineStr">
        <is>
          <t>B3</t>
        </is>
      </c>
      <c r="K126" s="12" t="inlineStr">
        <is>
          <t>B+</t>
        </is>
      </c>
      <c r="L126" s="12" t="inlineStr">
        <is>
          <t>C1</t>
        </is>
      </c>
      <c r="M126" s="12" t="inlineStr">
        <is>
          <t>C2</t>
        </is>
      </c>
      <c r="N126" s="12" t="inlineStr">
        <is>
          <t>C+</t>
        </is>
      </c>
      <c r="O126" s="12" t="inlineStr">
        <is>
          <t>D1</t>
        </is>
      </c>
      <c r="P126" s="12" t="inlineStr">
        <is>
          <t>What good looks like · by proficiency</t>
        </is>
      </c>
      <c r="Q126" s="12" t="inlineStr">
        <is>
          <t>What IRIS top performers do · survey</t>
        </is>
      </c>
      <c r="R126" s="12" t="inlineStr">
        <is>
          <t>How to assess</t>
        </is>
      </c>
      <c r="S126" s="12" t="inlineStr">
        <is>
          <t>Credentials</t>
        </is>
      </c>
      <c r="T126" s="12" t="inlineStr">
        <is>
          <t>Reference</t>
        </is>
      </c>
    </row>
    <row r="127" ht="67" customHeight="1">
      <c r="A127" s="165" t="inlineStr">
        <is>
          <t>Functional</t>
        </is>
      </c>
      <c r="B127" s="165" t="inlineStr">
        <is>
          <t>★ Programming &amp; Tech-Stack Depth</t>
        </is>
      </c>
      <c r="C127" s="165" t="inlineStr">
        <is>
          <t>Builds and maintains quality code in the team's stack ·.NET, Java, Python, Angular / React.</t>
        </is>
      </c>
      <c r="D127" s="165" t="inlineStr">
        <is>
          <t>Engineering &amp; Development</t>
        </is>
      </c>
      <c r="E127" s="166" t="n">
        <v>1</v>
      </c>
      <c r="F127" s="166" t="n">
        <v>2</v>
      </c>
      <c r="G127" s="166" t="n">
        <v>3</v>
      </c>
      <c r="H127" s="166" t="n">
        <v>3</v>
      </c>
      <c r="I127" s="166" t="n">
        <v>4</v>
      </c>
      <c r="J127" s="166" t="n">
        <v>4</v>
      </c>
      <c r="K127" s="166" t="n">
        <v>4</v>
      </c>
      <c r="L127" s="166" t="n">
        <v>4</v>
      </c>
      <c r="M127" s="166" t="n">
        <v>5</v>
      </c>
      <c r="N127" s="166" t="n">
        <v>5</v>
      </c>
      <c r="O127" s="166" t="n">
        <v>4</v>
      </c>
      <c r="P127" s="165" t="inlineStr">
        <is>
          <t>3 · Builds features with clean, tested code
4 · Sets coding standards; solves performance and design issues across modules</t>
        </is>
      </c>
      <c r="Q127" s="165" t="inlineStr">
        <is>
          <t>angular, coding, java, .net, spring</t>
        </is>
      </c>
      <c r="R127" s="165" t="inlineStr">
        <is>
          <t>Coding test + code review</t>
        </is>
      </c>
      <c r="S127" s="165" t="inlineStr">
        <is>
          <t>Cloud / language certifications · optional</t>
        </is>
      </c>
      <c r="T127" s="165" t="inlineStr">
        <is>
          <t>Family set</t>
        </is>
      </c>
    </row>
    <row r="128" ht="67" customHeight="1">
      <c r="A128" s="165" t="inlineStr">
        <is>
          <t>Functional</t>
        </is>
      </c>
      <c r="B128" s="165" t="inlineStr">
        <is>
          <t>★ System Design &amp; Architecture</t>
        </is>
      </c>
      <c r="C128" s="165" t="inlineStr">
        <is>
          <t>Designs components, integrations and scalable, secure solutions.</t>
        </is>
      </c>
      <c r="D128" s="165" t="inlineStr">
        <is>
          <t>Engineering &amp; Development</t>
        </is>
      </c>
      <c r="E128" s="166" t="n">
        <v>1</v>
      </c>
      <c r="F128" s="166" t="n">
        <v>2</v>
      </c>
      <c r="G128" s="166" t="n">
        <v>3</v>
      </c>
      <c r="H128" s="166" t="n">
        <v>3</v>
      </c>
      <c r="I128" s="166" t="n">
        <v>4</v>
      </c>
      <c r="J128" s="166" t="n">
        <v>4</v>
      </c>
      <c r="K128" s="166" t="n">
        <v>4</v>
      </c>
      <c r="L128" s="166" t="n">
        <v>4</v>
      </c>
      <c r="M128" s="166" t="n">
        <v>5</v>
      </c>
      <c r="N128" s="166" t="n">
        <v>5</v>
      </c>
      <c r="O128" s="166" t="n">
        <v>4</v>
      </c>
      <c r="P128" s="165" t="inlineStr">
        <is>
          <t>3 · Designs components and integrations for a module
4 · Designs scalable, secure solutions across products; reviews designs</t>
        </is>
      </c>
      <c r="Q128" s="165" t="inlineStr">
        <is>
          <t>architect, scalability, solution design, system design</t>
        </is>
      </c>
      <c r="R128" s="165" t="inlineStr">
        <is>
          <t>System-design interview / design review</t>
        </is>
      </c>
      <c r="S128" s="165" t="inlineStr">
        <is>
          <t>AWS / Azure architect · optional</t>
        </is>
      </c>
      <c r="T128" s="165" t="inlineStr">
        <is>
          <t>Family set</t>
        </is>
      </c>
    </row>
    <row r="129" ht="54" customHeight="1">
      <c r="A129" s="165" t="inlineStr">
        <is>
          <t>Functional</t>
        </is>
      </c>
      <c r="B129" s="165" t="inlineStr">
        <is>
          <t>Database, SQL &amp; Data Engineering</t>
        </is>
      </c>
      <c r="C129" s="165" t="inlineStr">
        <is>
          <t>Writes and tunes SQL, data models and ETL.</t>
        </is>
      </c>
      <c r="D129" s="165" t="inlineStr">
        <is>
          <t>—</t>
        </is>
      </c>
      <c r="E129" s="166" t="n">
        <v>1</v>
      </c>
      <c r="F129" s="166" t="n">
        <v>2</v>
      </c>
      <c r="G129" s="166" t="n">
        <v>3</v>
      </c>
      <c r="H129" s="166" t="n">
        <v>3</v>
      </c>
      <c r="I129" s="166" t="n">
        <v>4</v>
      </c>
      <c r="J129" s="166" t="n">
        <v>4</v>
      </c>
      <c r="K129" s="166" t="n">
        <v>4</v>
      </c>
      <c r="L129" s="166" t="n">
        <v>4</v>
      </c>
      <c r="M129" s="166" t="n">
        <v>5</v>
      </c>
      <c r="N129" s="166" t="n">
        <v>5</v>
      </c>
      <c r="O129" s="166" t="n">
        <v>4</v>
      </c>
      <c r="P129" s="165" t="inlineStr">
        <is>
          <t>3 · Writes and tunes queries, procedures and ETL
4 · Designs data models and pipelines; optimises at scale</t>
        </is>
      </c>
      <c r="Q129" s="165" t="inlineStr">
        <is>
          <t>database, SQL, ssis, oracle, query</t>
        </is>
      </c>
      <c r="R129" s="165" t="inlineStr">
        <is>
          <t>SQL test / case</t>
        </is>
      </c>
      <c r="S129" s="165" t="inlineStr">
        <is>
          <t>Database certifications · optional</t>
        </is>
      </c>
      <c r="T129" s="165" t="inlineStr">
        <is>
          <t>Family set</t>
        </is>
      </c>
    </row>
    <row r="130" ht="54" customHeight="1">
      <c r="A130" s="165" t="inlineStr">
        <is>
          <t>Functional</t>
        </is>
      </c>
      <c r="B130" s="165" t="inlineStr">
        <is>
          <t>Cloud, DevOps &amp; CI/CD</t>
        </is>
      </c>
      <c r="C130" s="165" t="inlineStr">
        <is>
          <t>Builds, deploys and runs software through pipelines and cloud platforms.</t>
        </is>
      </c>
      <c r="D130" s="165" t="inlineStr">
        <is>
          <t>—</t>
        </is>
      </c>
      <c r="E130" s="166" t="n">
        <v>1</v>
      </c>
      <c r="F130" s="166" t="n">
        <v>2</v>
      </c>
      <c r="G130" s="166" t="n">
        <v>3</v>
      </c>
      <c r="H130" s="166" t="n">
        <v>3</v>
      </c>
      <c r="I130" s="166" t="n">
        <v>4</v>
      </c>
      <c r="J130" s="166" t="n">
        <v>4</v>
      </c>
      <c r="K130" s="166" t="n">
        <v>4</v>
      </c>
      <c r="L130" s="166" t="n">
        <v>4</v>
      </c>
      <c r="M130" s="166" t="n">
        <v>5</v>
      </c>
      <c r="N130" s="166" t="n">
        <v>5</v>
      </c>
      <c r="O130" s="166" t="n">
        <v>4</v>
      </c>
      <c r="P130" s="165" t="inlineStr">
        <is>
          <t>3 · Builds and runs CI/CD pipelines and environments
4 · Designs platform, monitoring and release strategy</t>
        </is>
      </c>
      <c r="Q130" s="165" t="inlineStr">
        <is>
          <t>release, deploy, cloud, devops, AWS</t>
        </is>
      </c>
      <c r="R130" s="165" t="inlineStr">
        <is>
          <t>Practical task</t>
        </is>
      </c>
      <c r="S130" s="165" t="inlineStr">
        <is>
          <t>AWS / Azure / Kubernetes certifications</t>
        </is>
      </c>
      <c r="T130" s="165" t="inlineStr">
        <is>
          <t>Family set</t>
        </is>
      </c>
    </row>
    <row r="131" ht="67" customHeight="1">
      <c r="A131" s="165" t="inlineStr">
        <is>
          <t>Functional</t>
        </is>
      </c>
      <c r="B131" s="165" t="inlineStr">
        <is>
          <t>AI, GenAI &amp; Prompt Engineering</t>
        </is>
      </c>
      <c r="C131" s="165" t="inlineStr">
        <is>
          <t>Uses or builds AI and LLM solutions to improve products and work.</t>
        </is>
      </c>
      <c r="D131" s="165" t="inlineStr">
        <is>
          <t>—</t>
        </is>
      </c>
      <c r="E131" s="166" t="n">
        <v>1</v>
      </c>
      <c r="F131" s="166" t="n">
        <v>2</v>
      </c>
      <c r="G131" s="166" t="n">
        <v>3</v>
      </c>
      <c r="H131" s="166" t="n">
        <v>3</v>
      </c>
      <c r="I131" s="166" t="n">
        <v>4</v>
      </c>
      <c r="J131" s="166" t="n">
        <v>4</v>
      </c>
      <c r="K131" s="166" t="n">
        <v>4</v>
      </c>
      <c r="L131" s="166" t="n">
        <v>4</v>
      </c>
      <c r="M131" s="166" t="n">
        <v>5</v>
      </c>
      <c r="N131" s="166" t="n">
        <v>5</v>
      </c>
      <c r="O131" s="166" t="n">
        <v>4</v>
      </c>
      <c r="P131" s="165" t="inlineStr">
        <is>
          <t>3 · Uses AI / LLM tools in own work and validates output
4 · Builds AI features or AI-enabled processes; sets safe-use practice</t>
        </is>
      </c>
      <c r="Q131" s="165" t="inlineStr">
        <is>
          <t>AI, prompt, claude, copilot</t>
        </is>
      </c>
      <c r="R131" s="165" t="inlineStr">
        <is>
          <t>Work sample / portfolio</t>
        </is>
      </c>
      <c r="S131" s="165" t="inlineStr">
        <is>
          <t>Vendor AI certifications · optional</t>
        </is>
      </c>
      <c r="T131" s="165" t="inlineStr">
        <is>
          <t>Family set</t>
        </is>
      </c>
    </row>
    <row r="132" ht="54" customHeight="1">
      <c r="A132" s="165" t="inlineStr">
        <is>
          <t>Functional</t>
        </is>
      </c>
      <c r="B132" s="165" t="inlineStr">
        <is>
          <t>Product, Platform &amp; Domain Knowledge</t>
        </is>
      </c>
      <c r="C132" s="165" t="inlineStr">
        <is>
          <t>Knows IRIS products, platforms and the client's domain.</t>
        </is>
      </c>
      <c r="D132" s="165" t="inlineStr">
        <is>
          <t>—</t>
        </is>
      </c>
      <c r="E132" s="166" t="n">
        <v>1</v>
      </c>
      <c r="F132" s="166" t="n">
        <v>2</v>
      </c>
      <c r="G132" s="166" t="n">
        <v>3</v>
      </c>
      <c r="H132" s="166" t="n">
        <v>3</v>
      </c>
      <c r="I132" s="166" t="n">
        <v>4</v>
      </c>
      <c r="J132" s="166" t="n">
        <v>4</v>
      </c>
      <c r="K132" s="166" t="n">
        <v>4</v>
      </c>
      <c r="L132" s="166" t="n">
        <v>4</v>
      </c>
      <c r="M132" s="166" t="n">
        <v>5</v>
      </c>
      <c r="N132" s="166" t="n">
        <v>5</v>
      </c>
      <c r="O132" s="166" t="n">
        <v>4</v>
      </c>
      <c r="P132" s="165" t="inlineStr">
        <is>
          <t>3 · Handles most product and domain scenarios
4 · Recognised product / domain expert; trains others</t>
        </is>
      </c>
      <c r="Q132" s="165" t="inlineStr">
        <is>
          <t>product, module, functional knowledge</t>
        </is>
      </c>
      <c r="R132" s="165" t="inlineStr">
        <is>
          <t>Scenario interview</t>
        </is>
      </c>
      <c r="S132" s="165" t="inlineStr">
        <is>
          <t>Internal product certification</t>
        </is>
      </c>
      <c r="T132" s="165" t="inlineStr">
        <is>
          <t>Family set</t>
        </is>
      </c>
    </row>
    <row r="133" ht="67" customHeight="1">
      <c r="A133" s="165" t="inlineStr">
        <is>
          <t>Functional</t>
        </is>
      </c>
      <c r="B133" s="165" t="inlineStr">
        <is>
          <t>★ Project, Program &amp; Agile Management</t>
        </is>
      </c>
      <c r="C133" s="165" t="inlineStr">
        <is>
          <t>Plans, tracks and delivers on time using agile / hybrid practice.</t>
        </is>
      </c>
      <c r="D133" s="165" t="inlineStr">
        <is>
          <t>Project &amp; Program Management</t>
        </is>
      </c>
      <c r="E133" s="166" t="n">
        <v>1</v>
      </c>
      <c r="F133" s="166" t="n">
        <v>2</v>
      </c>
      <c r="G133" s="166" t="n">
        <v>3</v>
      </c>
      <c r="H133" s="166" t="n">
        <v>3</v>
      </c>
      <c r="I133" s="166" t="n">
        <v>4</v>
      </c>
      <c r="J133" s="166" t="n">
        <v>4</v>
      </c>
      <c r="K133" s="166" t="n">
        <v>4</v>
      </c>
      <c r="L133" s="166" t="n">
        <v>4</v>
      </c>
      <c r="M133" s="166" t="n">
        <v>5</v>
      </c>
      <c r="N133" s="166" t="n">
        <v>5</v>
      </c>
      <c r="O133" s="166" t="n">
        <v>4</v>
      </c>
      <c r="P133" s="165" t="inlineStr">
        <is>
          <t>3 · Plans and tracks delivery; manages risk and scope
4 · Runs programmes across teams; improves delivery methods</t>
        </is>
      </c>
      <c r="Q133" s="165" t="inlineStr">
        <is>
          <t>scrum, milestone, project management, Jira, timeline</t>
        </is>
      </c>
      <c r="R133" s="165" t="inlineStr">
        <is>
          <t>Case interview</t>
        </is>
      </c>
      <c r="S133" s="165" t="inlineStr">
        <is>
          <t>PMP / PRINCE2 / CSM / SAFe</t>
        </is>
      </c>
      <c r="T133" s="165" t="inlineStr">
        <is>
          <t>Family set</t>
        </is>
      </c>
    </row>
    <row r="134" ht="67" customHeight="1">
      <c r="A134" s="165" t="inlineStr">
        <is>
          <t>Functional</t>
        </is>
      </c>
      <c r="B134" s="165" t="inlineStr">
        <is>
          <t>★ Stakeholder &amp; Client Management</t>
        </is>
      </c>
      <c r="C134" s="165" t="inlineStr">
        <is>
          <t>Manages clients and stakeholders; handles changing requests.</t>
        </is>
      </c>
      <c r="D134" s="165" t="inlineStr">
        <is>
          <t>Project &amp; Program Management</t>
        </is>
      </c>
      <c r="E134" s="166" t="n">
        <v>1</v>
      </c>
      <c r="F134" s="166" t="n">
        <v>2</v>
      </c>
      <c r="G134" s="166" t="n">
        <v>3</v>
      </c>
      <c r="H134" s="166" t="n">
        <v>3</v>
      </c>
      <c r="I134" s="166" t="n">
        <v>4</v>
      </c>
      <c r="J134" s="166" t="n">
        <v>4</v>
      </c>
      <c r="K134" s="166" t="n">
        <v>4</v>
      </c>
      <c r="L134" s="166" t="n">
        <v>4</v>
      </c>
      <c r="M134" s="166" t="n">
        <v>5</v>
      </c>
      <c r="N134" s="166" t="n">
        <v>5</v>
      </c>
      <c r="O134" s="166" t="n">
        <v>4</v>
      </c>
      <c r="P134" s="165" t="inlineStr">
        <is>
          <t>3 · Manages client communication and expectations for own work
4 · Owns key relationships; resolves escalations</t>
        </is>
      </c>
      <c r="Q134" s="165" t="inlineStr">
        <is>
          <t>client, stakeholder, coordinat</t>
        </is>
      </c>
      <c r="R134" s="165" t="inlineStr">
        <is>
          <t>Role play / behavioural interview</t>
        </is>
      </c>
      <c r="S134" s="165" t="inlineStr">
        <is>
          <t>—</t>
        </is>
      </c>
      <c r="T134" s="165" t="inlineStr">
        <is>
          <t>Family set</t>
        </is>
      </c>
    </row>
    <row r="135" ht="54" customHeight="1">
      <c r="A135" s="165" t="inlineStr">
        <is>
          <t>Functional</t>
        </is>
      </c>
      <c r="B135" s="165" t="inlineStr">
        <is>
          <t>Communication &amp; Presentation</t>
        </is>
      </c>
      <c r="C135" s="165" t="inlineStr">
        <is>
          <t>Writes and presents clearly to clients and teams.</t>
        </is>
      </c>
      <c r="D135" s="165" t="inlineStr">
        <is>
          <t>—</t>
        </is>
      </c>
      <c r="E135" s="166" t="n">
        <v>1</v>
      </c>
      <c r="F135" s="166" t="n">
        <v>2</v>
      </c>
      <c r="G135" s="166" t="n">
        <v>3</v>
      </c>
      <c r="H135" s="166" t="n">
        <v>3</v>
      </c>
      <c r="I135" s="166" t="n">
        <v>4</v>
      </c>
      <c r="J135" s="166" t="n">
        <v>4</v>
      </c>
      <c r="K135" s="166" t="n">
        <v>4</v>
      </c>
      <c r="L135" s="166" t="n">
        <v>4</v>
      </c>
      <c r="M135" s="166" t="n">
        <v>5</v>
      </c>
      <c r="N135" s="166" t="n">
        <v>5</v>
      </c>
      <c r="O135" s="166" t="n">
        <v>4</v>
      </c>
      <c r="P135" s="165" t="inlineStr">
        <is>
          <t>3 · Writes and presents clearly to clients and teams
4 · Presents to senior stakeholders; shapes messaging</t>
        </is>
      </c>
      <c r="Q135" s="165" t="inlineStr">
        <is>
          <t>writing, documentation, present</t>
        </is>
      </c>
      <c r="R135" s="165" t="inlineStr">
        <is>
          <t>Presentation / writing test</t>
        </is>
      </c>
      <c r="S135" s="165" t="inlineStr">
        <is>
          <t>—</t>
        </is>
      </c>
      <c r="T135" s="165" t="inlineStr">
        <is>
          <t>Family set</t>
        </is>
      </c>
    </row>
    <row r="136" ht="67" customHeight="1">
      <c r="A136" s="165" t="inlineStr">
        <is>
          <t>Functional</t>
        </is>
      </c>
      <c r="B136" s="165" t="inlineStr">
        <is>
          <t>Process Improvement &amp; Quality Mindset</t>
        </is>
      </c>
      <c r="C136" s="165" t="inlineStr">
        <is>
          <t>Gets it right first time; improves processes and checklists.</t>
        </is>
      </c>
      <c r="D136" s="165" t="inlineStr">
        <is>
          <t>—</t>
        </is>
      </c>
      <c r="E136" s="166" t="n">
        <v>1</v>
      </c>
      <c r="F136" s="166" t="n">
        <v>2</v>
      </c>
      <c r="G136" s="166" t="n">
        <v>3</v>
      </c>
      <c r="H136" s="166" t="n">
        <v>3</v>
      </c>
      <c r="I136" s="166" t="n">
        <v>4</v>
      </c>
      <c r="J136" s="166" t="n">
        <v>4</v>
      </c>
      <c r="K136" s="166" t="n">
        <v>4</v>
      </c>
      <c r="L136" s="166" t="n">
        <v>4</v>
      </c>
      <c r="M136" s="166" t="n">
        <v>5</v>
      </c>
      <c r="N136" s="166" t="n">
        <v>5</v>
      </c>
      <c r="O136" s="166" t="n">
        <v>4</v>
      </c>
      <c r="P136" s="165" t="inlineStr">
        <is>
          <t>3 · Delivers right-first-time; improves own checklists
4 · Redesigns team processes; reduces error rates measurably</t>
        </is>
      </c>
      <c r="Q136" s="165" t="inlineStr">
        <is>
          <t>accura</t>
        </is>
      </c>
      <c r="R136" s="165" t="inlineStr">
        <is>
          <t>Work sample / case</t>
        </is>
      </c>
      <c r="S136" s="165" t="inlineStr">
        <is>
          <t>Lean / Six Sigma · optional</t>
        </is>
      </c>
      <c r="T136" s="165" t="inlineStr">
        <is>
          <t>Family set</t>
        </is>
      </c>
    </row>
    <row r="137" ht="54" customHeight="1">
      <c r="A137" s="165" t="inlineStr">
        <is>
          <t>Functional</t>
        </is>
      </c>
      <c r="B137" s="165" t="inlineStr">
        <is>
          <t>Strategic Thinking &amp; Business Acumen</t>
        </is>
      </c>
      <c r="C137" s="165" t="inlineStr">
        <is>
          <t>Links work to business outcomes, budgets and strategy.</t>
        </is>
      </c>
      <c r="D137" s="165" t="inlineStr">
        <is>
          <t>—</t>
        </is>
      </c>
      <c r="E137" s="166" t="n">
        <v>1</v>
      </c>
      <c r="F137" s="166" t="n">
        <v>2</v>
      </c>
      <c r="G137" s="166" t="n">
        <v>3</v>
      </c>
      <c r="H137" s="166" t="n">
        <v>3</v>
      </c>
      <c r="I137" s="166" t="n">
        <v>4</v>
      </c>
      <c r="J137" s="166" t="n">
        <v>4</v>
      </c>
      <c r="K137" s="166" t="n">
        <v>4</v>
      </c>
      <c r="L137" s="166" t="n">
        <v>4</v>
      </c>
      <c r="M137" s="166" t="n">
        <v>5</v>
      </c>
      <c r="N137" s="166" t="n">
        <v>5</v>
      </c>
      <c r="O137" s="166" t="n">
        <v>4</v>
      </c>
      <c r="P137" s="165" t="inlineStr">
        <is>
          <t>3 · Connects work to business goals and budgets
4 · Shapes strategy, pricing or investment choices</t>
        </is>
      </c>
      <c r="Q137" s="165" t="inlineStr">
        <is>
          <t>roadmap, budget, strategy</t>
        </is>
      </c>
      <c r="R137" s="165" t="inlineStr">
        <is>
          <t>Case interview</t>
        </is>
      </c>
      <c r="S137" s="165" t="inlineStr">
        <is>
          <t>MBA / PGDM · preferred at C+</t>
        </is>
      </c>
      <c r="T137" s="165" t="inlineStr">
        <is>
          <t>Family set</t>
        </is>
      </c>
    </row>
    <row r="138" ht="28" customHeight="1">
      <c r="A138" s="134" t="inlineStr">
        <is>
          <t>Leadership</t>
        </is>
      </c>
      <c r="B138" s="134" t="inlineStr">
        <is>
          <t>Leadership cluster · 4 competencies, part C</t>
        </is>
      </c>
      <c r="C138" s="134" t="inlineStr">
        <is>
          <t>Leading people, decisions, strategy and change</t>
        </is>
      </c>
      <c r="D138" s="134" t="inlineStr">
        <is>
          <t>POD Leads and People Managers</t>
        </is>
      </c>
      <c r="E138" s="47" t="inlineStr">
        <is>
          <t>—</t>
        </is>
      </c>
      <c r="F138" s="47" t="inlineStr">
        <is>
          <t>—</t>
        </is>
      </c>
      <c r="G138" s="47" t="inlineStr">
        <is>
          <t>—</t>
        </is>
      </c>
      <c r="H138" s="47" t="inlineStr">
        <is>
          <t>1/2</t>
        </is>
      </c>
      <c r="I138" s="47" t="inlineStr">
        <is>
          <t>2/3</t>
        </is>
      </c>
      <c r="J138" s="47" t="inlineStr">
        <is>
          <t>3/4</t>
        </is>
      </c>
      <c r="K138" s="47" t="inlineStr">
        <is>
          <t>4/4</t>
        </is>
      </c>
      <c r="L138" s="47" t="inlineStr">
        <is>
          <t>4/4</t>
        </is>
      </c>
      <c r="M138" s="47" t="inlineStr">
        <is>
          <t>4/4</t>
        </is>
      </c>
      <c r="N138" s="47" t="inlineStr">
        <is>
          <t>5/5</t>
        </is>
      </c>
      <c r="O138" s="47" t="inlineStr">
        <is>
          <t>5/5</t>
        </is>
      </c>
      <c r="P138" s="134" t="inlineStr">
        <is>
          <t>Required level shown as IC / Manager</t>
        </is>
      </c>
      <c r="Q138" s="134" t="inlineStr">
        <is>
          <t>—</t>
        </is>
      </c>
      <c r="R138" s="134" t="inlineStr">
        <is>
          <t>Behavioural interview; 360 feedback</t>
        </is>
      </c>
      <c r="S138" s="134" t="inlineStr">
        <is>
          <t>—</t>
        </is>
      </c>
      <c r="T138" s="134" t="inlineStr">
        <is>
          <t>S14, S15, S16</t>
        </is>
      </c>
    </row>
    <row r="139" ht="15" customHeight="1"/>
    <row r="140" ht="15" customHeight="1">
      <c r="A140" s="12" t="inlineStr">
        <is>
          <t>Job family</t>
        </is>
      </c>
      <c r="B140" s="12" t="inlineStr">
        <is>
          <t>Education / credentials</t>
        </is>
      </c>
      <c r="C140" s="201" t="n"/>
      <c r="D140" s="12" t="inlineStr">
        <is>
          <t>Gate requirements</t>
        </is>
      </c>
      <c r="E140" s="201" t="n"/>
      <c r="F140" s="12" t="inlineStr">
        <is>
          <t>Learning focus — Band A</t>
        </is>
      </c>
      <c r="G140" s="202" t="n"/>
      <c r="H140" s="202" t="n"/>
      <c r="I140" s="202" t="n"/>
      <c r="J140" s="202" t="n"/>
      <c r="K140" s="201" t="n"/>
      <c r="L140" s="12" t="inlineStr">
        <is>
          <t>Learning focus — Band B</t>
        </is>
      </c>
      <c r="M140" s="202" t="n"/>
      <c r="N140" s="202" t="n"/>
      <c r="O140" s="202" t="n"/>
      <c r="P140" s="201" t="n"/>
      <c r="Q140" s="12" t="inlineStr">
        <is>
          <t>Learning focus — Band C+</t>
        </is>
      </c>
      <c r="R140" s="201" t="n"/>
      <c r="S140" s="12" t="inlineStr">
        <is>
          <t>Future skills</t>
        </is>
      </c>
      <c r="T140" s="201" t="n"/>
    </row>
    <row r="141" ht="80" customHeight="1">
      <c r="A141" s="13" t="inlineStr">
        <is>
          <t>Engineering &amp; Development</t>
        </is>
      </c>
      <c r="B141" s="16" t="inlineStr">
        <is>
          <t>BE / B.Tech / MCA / M.Tech / B.Sc · CS</t>
        </is>
      </c>
      <c r="C141" s="201" t="n"/>
      <c r="D141" s="16" t="inlineStr">
        <is>
          <t>Secure coding · OWASP, code review, unit testing</t>
        </is>
      </c>
      <c r="E141" s="201" t="n"/>
      <c r="F141" s="16" t="inlineStr">
        <is>
          <t>Mandatory path · POSH, Code of Conduct, InfoSec; Programming &amp; Tech-Stack Depth, System Design &amp; Architecture to Working → Practitioner; AI literacy to 2; learn by mentoring and KT.</t>
        </is>
      </c>
      <c r="G141" s="202" t="n"/>
      <c r="H141" s="202" t="n"/>
      <c r="I141" s="202" t="n"/>
      <c r="J141" s="202" t="n"/>
      <c r="K141" s="201" t="n"/>
      <c r="L141" s="16" t="inlineStr">
        <is>
          <t>Programming &amp; Tech-Stack Depth, System Design &amp; Architecture to Advanced; Database, SQL &amp; Data Engineering, Cloud, DevOps &amp; CI/CD, AI, GenAI &amp; Prompt Engineering to Practitioner; POD Leads / Managers: leading people, delegation, feedback.</t>
        </is>
      </c>
      <c r="M141" s="202" t="n"/>
      <c r="N141" s="202" t="n"/>
      <c r="O141" s="202" t="n"/>
      <c r="P141" s="201" t="n"/>
      <c r="Q141" s="16" t="inlineStr">
        <is>
          <t>Expert in one must-have; strategy &amp; business acumen; building the bench; AI-enabled processes for the function.</t>
        </is>
      </c>
      <c r="R141" s="201" t="n"/>
      <c r="S141" s="16" t="inlineStr">
        <is>
          <t>AI-assisted coding, cloud-native &amp; API-first design, LLM integration</t>
        </is>
      </c>
      <c r="T141" s="201" t="n"/>
    </row>
    <row r="142" ht="80" customHeight="1">
      <c r="A142" s="13" t="inlineStr">
        <is>
          <t>Project &amp; Program Management</t>
        </is>
      </c>
      <c r="B142" s="16" t="inlineStr">
        <is>
          <t>Graduate; PMP / PRINCE2 / CSM preferred from B2</t>
        </is>
      </c>
      <c r="C142" s="201" t="n"/>
      <c r="D142" s="16" t="inlineStr">
        <is>
          <t>Hybrid delivery governance</t>
        </is>
      </c>
      <c r="E142" s="201" t="n"/>
      <c r="F142" s="16" t="inlineStr">
        <is>
          <t>Mandatory path · POSH, Code of Conduct, InfoSec; Project, Program &amp; Agile Management, Stakeholder &amp; Client Management to Working → Practitioner; AI literacy to 2; learn by mentoring and KT.</t>
        </is>
      </c>
      <c r="G142" s="202" t="n"/>
      <c r="H142" s="202" t="n"/>
      <c r="I142" s="202" t="n"/>
      <c r="J142" s="202" t="n"/>
      <c r="K142" s="201" t="n"/>
      <c r="L142" s="16" t="inlineStr">
        <is>
          <t>Project, Program &amp; Agile Management, Stakeholder &amp; Client Management to Advanced; Communication &amp; Presentation, Process Improvement &amp; Quality Mindset, Strategic Thinking &amp; Business Acumen to Practitioner; POD Leads / Managers: leading people, delegation, feedback.</t>
        </is>
      </c>
      <c r="M142" s="202" t="n"/>
      <c r="N142" s="202" t="n"/>
      <c r="O142" s="202" t="n"/>
      <c r="P142" s="201" t="n"/>
      <c r="Q142" s="16" t="inlineStr">
        <is>
          <t>Expert in one must-have; strategy &amp; business acumen; building the bench; AI-enabled processes for the function.</t>
        </is>
      </c>
      <c r="R142" s="201" t="n"/>
      <c r="S142" s="16" t="inlineStr">
        <is>
          <t>AI-assisted planning, value / outcome-based delivery</t>
        </is>
      </c>
      <c r="T142" s="201" t="n"/>
    </row>
  </sheetData>
  <mergeCells count="398">
    <mergeCell ref="C25:H25"/>
    <mergeCell ref="L42:N42"/>
    <mergeCell ref="B141:C141"/>
    <mergeCell ref="A64:T64"/>
    <mergeCell ref="D53:F53"/>
    <mergeCell ref="D47:F47"/>
    <mergeCell ref="L140:P140"/>
    <mergeCell ref="F117:R117"/>
    <mergeCell ref="F119:R119"/>
    <mergeCell ref="O32:P32"/>
    <mergeCell ref="F69:R69"/>
    <mergeCell ref="L141:P141"/>
    <mergeCell ref="O55:P55"/>
    <mergeCell ref="O40:P40"/>
    <mergeCell ref="J31:K31"/>
    <mergeCell ref="B55:C55"/>
    <mergeCell ref="I22:R22"/>
    <mergeCell ref="L32:N32"/>
    <mergeCell ref="S85:T85"/>
    <mergeCell ref="M50:N50"/>
    <mergeCell ref="L111:P111"/>
    <mergeCell ref="G59:H59"/>
    <mergeCell ref="I46:J46"/>
    <mergeCell ref="Q37:R37"/>
    <mergeCell ref="A119:E119"/>
    <mergeCell ref="O45:P45"/>
    <mergeCell ref="G48:H48"/>
    <mergeCell ref="F120:R120"/>
    <mergeCell ref="A69:E69"/>
    <mergeCell ref="A61:T61"/>
    <mergeCell ref="I54:J54"/>
    <mergeCell ref="Q38:R38"/>
    <mergeCell ref="F42:G42"/>
    <mergeCell ref="A90:T90"/>
    <mergeCell ref="B53:C53"/>
    <mergeCell ref="I56:J56"/>
    <mergeCell ref="D55:F55"/>
    <mergeCell ref="K56:L56"/>
    <mergeCell ref="E14:H14"/>
    <mergeCell ref="Q40:R40"/>
    <mergeCell ref="O51:P51"/>
    <mergeCell ref="O58:P58"/>
    <mergeCell ref="B142:C142"/>
    <mergeCell ref="D142:E142"/>
    <mergeCell ref="I59:J59"/>
    <mergeCell ref="F122:R122"/>
    <mergeCell ref="A67:E67"/>
    <mergeCell ref="Q140:R140"/>
    <mergeCell ref="K54:L54"/>
    <mergeCell ref="A1:T1"/>
    <mergeCell ref="S86:T86"/>
    <mergeCell ref="L40:N40"/>
    <mergeCell ref="A65:T65"/>
    <mergeCell ref="A66:E66"/>
    <mergeCell ref="D51:F51"/>
    <mergeCell ref="O59:P59"/>
    <mergeCell ref="Q59:R59"/>
    <mergeCell ref="B34:C34"/>
    <mergeCell ref="O46:P46"/>
    <mergeCell ref="B28:C28"/>
    <mergeCell ref="Q46:R46"/>
    <mergeCell ref="D28:E28"/>
    <mergeCell ref="I16:R16"/>
    <mergeCell ref="E13:H13"/>
    <mergeCell ref="A122:E122"/>
    <mergeCell ref="O48:P48"/>
    <mergeCell ref="B30:C30"/>
    <mergeCell ref="G51:H51"/>
    <mergeCell ref="Q48:R48"/>
    <mergeCell ref="D30:E30"/>
    <mergeCell ref="I51:J51"/>
    <mergeCell ref="A72:E72"/>
    <mergeCell ref="I18:R18"/>
    <mergeCell ref="K57:L57"/>
    <mergeCell ref="E15:H15"/>
    <mergeCell ref="Q41:R41"/>
    <mergeCell ref="A24:B24"/>
    <mergeCell ref="Q56:R56"/>
    <mergeCell ref="Q141:R141"/>
    <mergeCell ref="Q34:R34"/>
    <mergeCell ref="F38:G38"/>
    <mergeCell ref="Q36:R36"/>
    <mergeCell ref="M57:N57"/>
    <mergeCell ref="H33:I33"/>
    <mergeCell ref="J33:K33"/>
    <mergeCell ref="B36:C36"/>
    <mergeCell ref="I24:R24"/>
    <mergeCell ref="H35:I35"/>
    <mergeCell ref="F29:G29"/>
    <mergeCell ref="I17:R17"/>
    <mergeCell ref="B110:C110"/>
    <mergeCell ref="J28:K28"/>
    <mergeCell ref="B31:C31"/>
    <mergeCell ref="D31:E31"/>
    <mergeCell ref="H39:I39"/>
    <mergeCell ref="Q51:R51"/>
    <mergeCell ref="K50:L50"/>
    <mergeCell ref="F140:K140"/>
    <mergeCell ref="D141:E141"/>
    <mergeCell ref="B9:P9"/>
    <mergeCell ref="I58:J58"/>
    <mergeCell ref="K58:L58"/>
    <mergeCell ref="K52:L52"/>
    <mergeCell ref="L85:P85"/>
    <mergeCell ref="A2:T2"/>
    <mergeCell ref="Q9:R9"/>
    <mergeCell ref="M45:N45"/>
    <mergeCell ref="B49:C49"/>
    <mergeCell ref="A91:E91"/>
    <mergeCell ref="K53:L53"/>
    <mergeCell ref="Q11:R11"/>
    <mergeCell ref="M47:N47"/>
    <mergeCell ref="B32:C32"/>
    <mergeCell ref="A93:E93"/>
    <mergeCell ref="I14:R14"/>
    <mergeCell ref="S110:T110"/>
    <mergeCell ref="A114:T114"/>
    <mergeCell ref="H41:I41"/>
    <mergeCell ref="Q52:R52"/>
    <mergeCell ref="K55:L55"/>
    <mergeCell ref="Q39:R39"/>
    <mergeCell ref="H34:I34"/>
    <mergeCell ref="J34:K34"/>
    <mergeCell ref="H36:I36"/>
    <mergeCell ref="J36:K36"/>
    <mergeCell ref="F99:R99"/>
    <mergeCell ref="B37:C37"/>
    <mergeCell ref="D37:E37"/>
    <mergeCell ref="I25:R25"/>
    <mergeCell ref="F94:R94"/>
    <mergeCell ref="D46:F46"/>
    <mergeCell ref="L37:N37"/>
    <mergeCell ref="D38:E38"/>
    <mergeCell ref="M53:N53"/>
    <mergeCell ref="A115:T115"/>
    <mergeCell ref="L86:P86"/>
    <mergeCell ref="J29:K29"/>
    <mergeCell ref="F85:K85"/>
    <mergeCell ref="M55:N55"/>
    <mergeCell ref="I20:R20"/>
    <mergeCell ref="H31:I31"/>
    <mergeCell ref="M48:N48"/>
    <mergeCell ref="B58:C58"/>
    <mergeCell ref="I13:R13"/>
    <mergeCell ref="B52:C52"/>
    <mergeCell ref="Q85:R85"/>
    <mergeCell ref="I15:R15"/>
    <mergeCell ref="A21:B21"/>
    <mergeCell ref="D59:F59"/>
    <mergeCell ref="A23:B23"/>
    <mergeCell ref="S142:T142"/>
    <mergeCell ref="O47:P47"/>
    <mergeCell ref="B7:P7"/>
    <mergeCell ref="G54:H54"/>
    <mergeCell ref="H42:I42"/>
    <mergeCell ref="O38:P38"/>
    <mergeCell ref="J42:K42"/>
    <mergeCell ref="B45:C45"/>
    <mergeCell ref="L110:P110"/>
    <mergeCell ref="G56:H56"/>
    <mergeCell ref="J39:K39"/>
    <mergeCell ref="B47:C47"/>
    <mergeCell ref="B59:C59"/>
    <mergeCell ref="B46:C46"/>
    <mergeCell ref="I49:J49"/>
    <mergeCell ref="D48:F48"/>
    <mergeCell ref="O33:P33"/>
    <mergeCell ref="J37:K37"/>
    <mergeCell ref="Q33:R33"/>
    <mergeCell ref="D40:E40"/>
    <mergeCell ref="D111:E111"/>
    <mergeCell ref="F40:G40"/>
    <mergeCell ref="C21:H21"/>
    <mergeCell ref="Q8:R8"/>
    <mergeCell ref="L38:N38"/>
    <mergeCell ref="B48:C48"/>
    <mergeCell ref="C23:H23"/>
    <mergeCell ref="D56:F56"/>
    <mergeCell ref="Q10:R10"/>
    <mergeCell ref="F111:K111"/>
    <mergeCell ref="D41:E41"/>
    <mergeCell ref="F41:G41"/>
    <mergeCell ref="F35:G35"/>
    <mergeCell ref="H32:I32"/>
    <mergeCell ref="J32:K32"/>
    <mergeCell ref="B16:D16"/>
    <mergeCell ref="Q86:R86"/>
    <mergeCell ref="B18:D18"/>
    <mergeCell ref="D49:F49"/>
    <mergeCell ref="A44:T44"/>
    <mergeCell ref="K49:L49"/>
    <mergeCell ref="L33:N33"/>
    <mergeCell ref="M59:N59"/>
    <mergeCell ref="B8:P8"/>
    <mergeCell ref="L35:N35"/>
    <mergeCell ref="D36:E36"/>
    <mergeCell ref="F123:R123"/>
    <mergeCell ref="B10:P10"/>
    <mergeCell ref="M54:N54"/>
    <mergeCell ref="O54:P54"/>
    <mergeCell ref="G57:H57"/>
    <mergeCell ref="O41:P41"/>
    <mergeCell ref="F116:R116"/>
    <mergeCell ref="O35:P35"/>
    <mergeCell ref="Q35:R35"/>
    <mergeCell ref="F118:R118"/>
    <mergeCell ref="G58:H58"/>
    <mergeCell ref="Q49:R49"/>
    <mergeCell ref="I52:J52"/>
    <mergeCell ref="Q110:R110"/>
    <mergeCell ref="Q30:R30"/>
    <mergeCell ref="C24:H24"/>
    <mergeCell ref="F70:R70"/>
    <mergeCell ref="B51:C51"/>
    <mergeCell ref="D57:F57"/>
    <mergeCell ref="S140:T140"/>
    <mergeCell ref="F121:R121"/>
    <mergeCell ref="F71:R71"/>
    <mergeCell ref="B17:D17"/>
    <mergeCell ref="B140:C140"/>
    <mergeCell ref="D140:E140"/>
    <mergeCell ref="Q54:R54"/>
    <mergeCell ref="I57:J57"/>
    <mergeCell ref="L41:N41"/>
    <mergeCell ref="O29:P29"/>
    <mergeCell ref="Q29:R29"/>
    <mergeCell ref="F33:G33"/>
    <mergeCell ref="A118:E118"/>
    <mergeCell ref="L34:N34"/>
    <mergeCell ref="O31:P31"/>
    <mergeCell ref="Q31:R31"/>
    <mergeCell ref="F68:R68"/>
    <mergeCell ref="B29:C29"/>
    <mergeCell ref="L36:N36"/>
    <mergeCell ref="F31:G31"/>
    <mergeCell ref="F28:G28"/>
    <mergeCell ref="O56:P56"/>
    <mergeCell ref="H28:I28"/>
    <mergeCell ref="D39:E39"/>
    <mergeCell ref="F39:G39"/>
    <mergeCell ref="A63:T63"/>
    <mergeCell ref="O57:P57"/>
    <mergeCell ref="Q57:R57"/>
    <mergeCell ref="B11:P11"/>
    <mergeCell ref="B14:D14"/>
    <mergeCell ref="A73:E73"/>
    <mergeCell ref="E16:H16"/>
    <mergeCell ref="B13:D13"/>
    <mergeCell ref="Q42:R42"/>
    <mergeCell ref="I45:J45"/>
    <mergeCell ref="K45:L45"/>
    <mergeCell ref="A124:E124"/>
    <mergeCell ref="E18:H18"/>
    <mergeCell ref="I47:J47"/>
    <mergeCell ref="K47:L47"/>
    <mergeCell ref="B42:C42"/>
    <mergeCell ref="D58:F58"/>
    <mergeCell ref="F73:R73"/>
    <mergeCell ref="K46:L46"/>
    <mergeCell ref="L142:P142"/>
    <mergeCell ref="A89:T89"/>
    <mergeCell ref="F124:R124"/>
    <mergeCell ref="F74:R74"/>
    <mergeCell ref="Q45:R45"/>
    <mergeCell ref="Q32:R32"/>
    <mergeCell ref="B85:C85"/>
    <mergeCell ref="D85:E85"/>
    <mergeCell ref="C20:H20"/>
    <mergeCell ref="H30:I30"/>
    <mergeCell ref="Q47:R47"/>
    <mergeCell ref="H29:I29"/>
    <mergeCell ref="C22:H22"/>
    <mergeCell ref="F110:K110"/>
    <mergeCell ref="L39:N39"/>
    <mergeCell ref="F92:R92"/>
    <mergeCell ref="A70:E70"/>
    <mergeCell ref="F141:K141"/>
    <mergeCell ref="Q58:R58"/>
    <mergeCell ref="B111:C111"/>
    <mergeCell ref="A99:E99"/>
    <mergeCell ref="G53:H53"/>
    <mergeCell ref="Q50:R50"/>
    <mergeCell ref="I53:J53"/>
    <mergeCell ref="B15:D15"/>
    <mergeCell ref="A74:E74"/>
    <mergeCell ref="K59:L59"/>
    <mergeCell ref="E17:H17"/>
    <mergeCell ref="I55:J55"/>
    <mergeCell ref="A3:T3"/>
    <mergeCell ref="M46:N46"/>
    <mergeCell ref="I48:J48"/>
    <mergeCell ref="K48:L48"/>
    <mergeCell ref="A5:T5"/>
    <mergeCell ref="F37:G37"/>
    <mergeCell ref="M56:N56"/>
    <mergeCell ref="A92:E92"/>
    <mergeCell ref="Q7:R7"/>
    <mergeCell ref="O53:P53"/>
    <mergeCell ref="F67:R67"/>
    <mergeCell ref="A94:E94"/>
    <mergeCell ref="Q55:R55"/>
    <mergeCell ref="Q111:R111"/>
    <mergeCell ref="B86:C86"/>
    <mergeCell ref="S111:T111"/>
    <mergeCell ref="D86:E86"/>
    <mergeCell ref="A27:T27"/>
    <mergeCell ref="B38:C38"/>
    <mergeCell ref="A71:E71"/>
    <mergeCell ref="H37:I37"/>
    <mergeCell ref="B40:C40"/>
    <mergeCell ref="A22:B22"/>
    <mergeCell ref="F95:R95"/>
    <mergeCell ref="S141:T141"/>
    <mergeCell ref="B33:C33"/>
    <mergeCell ref="D33:E33"/>
    <mergeCell ref="F97:R97"/>
    <mergeCell ref="I21:R21"/>
    <mergeCell ref="B41:C41"/>
    <mergeCell ref="F72:R72"/>
    <mergeCell ref="B35:C35"/>
    <mergeCell ref="Q53:R53"/>
    <mergeCell ref="D35:E35"/>
    <mergeCell ref="F86:K86"/>
    <mergeCell ref="F142:K142"/>
    <mergeCell ref="I23:R23"/>
    <mergeCell ref="D34:E34"/>
    <mergeCell ref="F34:G34"/>
    <mergeCell ref="K51:L51"/>
    <mergeCell ref="F30:G30"/>
    <mergeCell ref="M51:N51"/>
    <mergeCell ref="Q142:R142"/>
    <mergeCell ref="A120:E120"/>
    <mergeCell ref="G49:H49"/>
    <mergeCell ref="A95:E95"/>
    <mergeCell ref="D54:F54"/>
    <mergeCell ref="A97:E97"/>
    <mergeCell ref="A96:E96"/>
    <mergeCell ref="L28:N28"/>
    <mergeCell ref="D29:E29"/>
    <mergeCell ref="B54:C54"/>
    <mergeCell ref="H38:I38"/>
    <mergeCell ref="O34:P34"/>
    <mergeCell ref="J38:K38"/>
    <mergeCell ref="O28:P28"/>
    <mergeCell ref="Q28:R28"/>
    <mergeCell ref="F96:R96"/>
    <mergeCell ref="M52:N52"/>
    <mergeCell ref="M49:N49"/>
    <mergeCell ref="A123:E123"/>
    <mergeCell ref="B56:C56"/>
    <mergeCell ref="O39:P39"/>
    <mergeCell ref="H40:I40"/>
    <mergeCell ref="O36:P36"/>
    <mergeCell ref="J40:K40"/>
    <mergeCell ref="O30:P30"/>
    <mergeCell ref="F98:R98"/>
    <mergeCell ref="F36:G36"/>
    <mergeCell ref="B57:C57"/>
    <mergeCell ref="J35:K35"/>
    <mergeCell ref="Q6:R6"/>
    <mergeCell ref="D50:F50"/>
    <mergeCell ref="A121:E121"/>
    <mergeCell ref="F91:R91"/>
    <mergeCell ref="G50:H50"/>
    <mergeCell ref="F66:R66"/>
    <mergeCell ref="D45:F45"/>
    <mergeCell ref="I50:J50"/>
    <mergeCell ref="M58:N58"/>
    <mergeCell ref="F93:R93"/>
    <mergeCell ref="G52:H52"/>
    <mergeCell ref="A98:E98"/>
    <mergeCell ref="L30:N30"/>
    <mergeCell ref="L29:N29"/>
    <mergeCell ref="B39:C39"/>
    <mergeCell ref="J30:K30"/>
    <mergeCell ref="A25:B25"/>
    <mergeCell ref="O49:P49"/>
    <mergeCell ref="L31:N31"/>
    <mergeCell ref="D32:E32"/>
    <mergeCell ref="F32:G32"/>
    <mergeCell ref="B6:P6"/>
    <mergeCell ref="O50:P50"/>
    <mergeCell ref="J41:K41"/>
    <mergeCell ref="A116:E116"/>
    <mergeCell ref="O42:P42"/>
    <mergeCell ref="G45:H45"/>
    <mergeCell ref="O52:P52"/>
    <mergeCell ref="G55:H55"/>
    <mergeCell ref="A20:B20"/>
    <mergeCell ref="D42:E42"/>
    <mergeCell ref="G47:H47"/>
    <mergeCell ref="A68:E68"/>
    <mergeCell ref="A117:E117"/>
    <mergeCell ref="G46:H46"/>
    <mergeCell ref="B50:C50"/>
    <mergeCell ref="D52:F52"/>
    <mergeCell ref="O37:P37"/>
    <mergeCell ref="D110:E110"/>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C55A11"/>
    <outlinePr summaryBelow="1" summaryRight="1"/>
    <pageSetUpPr fitToPage="1"/>
  </sheetPr>
  <dimension ref="A1:AZ21"/>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7" customWidth="1" min="10" max="10"/>
    <col width="24" customWidth="1" min="11" max="11"/>
    <col width="18" customWidth="1" min="12" max="12"/>
    <col width="44" customWidth="1" min="13" max="13"/>
    <col width="40" customWidth="1" min="14" max="14"/>
    <col width="32" customWidth="1" min="15" max="15"/>
    <col width="30" customWidth="1" min="16" max="16"/>
    <col width="30" customWidth="1" min="17" max="17"/>
    <col width="34" customWidth="1" min="18" max="18"/>
    <col width="28" customWidth="1" min="19" max="19"/>
    <col width="26" customWidth="1" min="20" max="20"/>
    <col width="26" customWidth="1" min="21" max="21"/>
    <col width="24" customWidth="1" min="22" max="22"/>
    <col width="22" customWidth="1" min="23" max="23"/>
    <col width="22" customWidth="1" min="24" max="24"/>
    <col width="22" customWidth="1" min="25" max="25"/>
    <col width="10" customWidth="1" min="26" max="26"/>
    <col width="22" customWidth="1" min="27" max="27"/>
    <col width="20" customWidth="1" min="28" max="28"/>
    <col width="18" customWidth="1" min="29" max="29"/>
    <col width="22" customWidth="1" min="30" max="30"/>
    <col width="30" customWidth="1" min="31" max="31"/>
    <col width="30" customWidth="1" min="32" max="32"/>
    <col width="9" customWidth="1" min="33" max="33"/>
    <col width="8" customWidth="1" min="34" max="34"/>
    <col width="34" customWidth="1" min="35" max="35"/>
    <col width="26" customWidth="1" min="36" max="36"/>
    <col width="26" customWidth="1" min="37" max="37"/>
    <col width="28" customWidth="1" min="38" max="38"/>
    <col width="26" customWidth="1" min="39" max="39"/>
    <col width="24" customWidth="1" min="40" max="40"/>
    <col width="26" customWidth="1" min="41" max="41"/>
    <col width="26" customWidth="1" min="42" max="42"/>
    <col width="24" customWidth="1" min="43" max="43"/>
    <col width="34" customWidth="1" min="44" max="44"/>
    <col width="22" customWidth="1" min="45" max="45"/>
    <col width="32" customWidth="1" min="46" max="46"/>
    <col width="28" customWidth="1" min="47" max="47"/>
    <col width="28" customWidth="1" min="48" max="48"/>
    <col width="30" customWidth="1" min="49" max="49"/>
    <col width="22" customWidth="1" min="50" max="50"/>
    <col width="22" customWidth="1" min="51" max="51"/>
    <col width="13" customWidth="1" min="52" max="52"/>
  </cols>
  <sheetData>
    <row r="1" ht="34" customHeight="1">
      <c r="A1" s="1" t="inlineStr">
        <is>
          <t>Role Catalogue — the roles held in this workbook, as defined once for all of IRIS</t>
        </is>
      </c>
      <c r="AZ1" s="232" t="inlineStr">
        <is>
          <t>◂ Contents</t>
        </is>
      </c>
    </row>
    <row r="2" ht="30" customHeight="1">
      <c r="A2" s="3" t="inlineStr">
        <is>
          <t>Sheet 6 · One row per catalogue role · job family × sub-family × level × track that someone here holds. The entry is the same IRIS-wide in every workbook: purpose and responsibilities are written in catalogue language · the sub-family definition and the level standard, followed by the common themes in the role-holders' own answers · 3+ answered — the role itself, else its sub-family across levels; the 'Evidence basis' column says which. Views of the role are counted themes, never quoted. The full catalogue is in IRIS_JA_3_Framework_and_Model_Master.xlsx.</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row>
    <row r="5" ht="32" customHeight="1">
      <c r="A5" s="73" t="inlineStr">
        <is>
          <t>ROLE</t>
        </is>
      </c>
      <c r="J5" s="74" t="inlineStr">
        <is>
          <t>IN THIS WORKBOOK</t>
        </is>
      </c>
      <c r="M5" s="76" t="inlineStr">
        <is>
          <t>PURPOSE &amp; RESPONSIBILITIES · catalogue text + common themes from role-holders' own answers</t>
        </is>
      </c>
      <c r="U5" s="77" t="inlineStr">
        <is>
          <t>WHAT THE LEVEL REQUIRES · framework standard</t>
        </is>
      </c>
      <c r="AD5" s="79" t="inlineStr">
        <is>
          <t>CAPABILITY</t>
        </is>
      </c>
      <c r="AG5" s="81" t="inlineStr">
        <is>
          <t>MARKET &amp; CAREER</t>
        </is>
      </c>
      <c r="AL5" s="83" t="inlineStr">
        <is>
          <t>LEARNING &amp; VOICE OF THE ROLE · counted themes — never quoted</t>
        </is>
      </c>
      <c r="AR5" s="85" t="inlineStr">
        <is>
          <t>DISCIPLINE DETAIL — from IRIS Career Architecture V2 · HR research, adopted 7 Oct 2026; comparable stage by scope, not a grade</t>
        </is>
      </c>
      <c r="AX5" s="87" t="inlineStr">
        <is>
          <t>EVIDENCE</t>
        </is>
      </c>
    </row>
    <row r="6" ht="46" customHeight="1">
      <c r="A6" s="91" t="inlineStr">
        <is>
          <t>Catalogue ID</t>
        </is>
      </c>
      <c r="B6" s="92" t="inlineStr">
        <is>
          <t>Job family</t>
        </is>
      </c>
      <c r="C6" s="92" t="inlineStr">
        <is>
          <t>Sub-family</t>
        </is>
      </c>
      <c r="D6" s="92" t="inlineStr">
        <is>
          <t>Level</t>
        </is>
      </c>
      <c r="E6" s="92" t="inlineStr">
        <is>
          <t>Level title</t>
        </is>
      </c>
      <c r="F6" s="92" t="inlineStr">
        <is>
          <t>Track</t>
        </is>
      </c>
      <c r="G6" s="92" t="inlineStr">
        <is>
          <t>Designations used at IRIS</t>
        </is>
      </c>
      <c r="H6" s="92" t="inlineStr">
        <is>
          <t>Holders</t>
        </is>
      </c>
      <c r="I6" s="92" t="inlineStr">
        <is>
          <t>Holders by business</t>
        </is>
      </c>
      <c r="J6" s="93" t="inlineStr">
        <is>
          <t>Holders here</t>
        </is>
      </c>
      <c r="K6" s="12" t="inlineStr">
        <is>
          <t>Who</t>
        </is>
      </c>
      <c r="L6" s="12" t="inlineStr">
        <is>
          <t>Department · s here</t>
        </is>
      </c>
      <c r="M6" s="94" t="inlineStr">
        <is>
          <t>Purpose</t>
        </is>
      </c>
      <c r="N6" s="151" t="inlineStr">
        <is>
          <t>Key responsibilities</t>
        </is>
      </c>
      <c r="O6" s="151" t="inlineStr">
        <is>
          <t>Deliverables</t>
        </is>
      </c>
      <c r="P6" s="151" t="inlineStr">
        <is>
          <t>Accountable for</t>
        </is>
      </c>
      <c r="Q6" s="151" t="inlineStr">
        <is>
          <t>Decision rights</t>
        </is>
      </c>
      <c r="R6" s="151" t="inlineStr">
        <is>
          <t>Manager-set KRAs · common themes</t>
        </is>
      </c>
      <c r="S6" s="151" t="inlineStr">
        <is>
          <t>Skills &amp; knowledge · counts</t>
        </is>
      </c>
      <c r="T6" s="151" t="inlineStr">
        <is>
          <t>Tools &amp; platforms · counts</t>
        </is>
      </c>
      <c r="U6" s="95" t="inlineStr">
        <is>
          <t>What the role owns</t>
        </is>
      </c>
      <c r="V6" s="96" t="inlineStr">
        <is>
          <t>Complexity &amp; expertise</t>
        </is>
      </c>
      <c r="W6" s="96" t="inlineStr">
        <is>
          <t>Autonomy &amp; decisions</t>
        </is>
      </c>
      <c r="X6" s="96" t="inlineStr">
        <is>
          <t>Accountability &amp; impact</t>
        </is>
      </c>
      <c r="Y6" s="96" t="inlineStr">
        <is>
          <t>Leadership</t>
        </is>
      </c>
      <c r="Z6" s="96" t="inlineStr">
        <is>
          <t>Experience · guide</t>
        </is>
      </c>
      <c r="AA6" s="96" t="inlineStr">
        <is>
          <t>Education</t>
        </is>
      </c>
      <c r="AB6" s="96" t="inlineStr">
        <is>
          <t>Credentials</t>
        </is>
      </c>
      <c r="AC6" s="96" t="inlineStr">
        <is>
          <t>Span of control</t>
        </is>
      </c>
      <c r="AD6" s="97" t="inlineStr">
        <is>
          <t>Proficiency by cluster</t>
        </is>
      </c>
      <c r="AE6" s="98" t="inlineStr">
        <is>
          <t>★ Must-have competencies</t>
        </is>
      </c>
      <c r="AF6" s="98" t="inlineStr">
        <is>
          <t>Other functional competencies</t>
        </is>
      </c>
      <c r="AG6" s="99" t="inlineStr">
        <is>
          <t>Radford / Mercer</t>
        </is>
      </c>
      <c r="AH6" s="100" t="inlineStr">
        <is>
          <t>SFIA 9</t>
        </is>
      </c>
      <c r="AI6" s="100" t="inlineStr">
        <is>
          <t>Peer equivalents</t>
        </is>
      </c>
      <c r="AJ6" s="100" t="inlineStr">
        <is>
          <t>Professional standard</t>
        </is>
      </c>
      <c r="AK6" s="100" t="inlineStr">
        <is>
          <t>Next step</t>
        </is>
      </c>
      <c r="AL6" s="101" t="inlineStr">
        <is>
          <t>Learning needs · topics, people</t>
        </is>
      </c>
      <c r="AM6" s="102" t="inlineStr">
        <is>
          <t>Manager-identified training</t>
        </is>
      </c>
      <c r="AN6" s="102" t="inlineStr">
        <is>
          <t>What helped people learn</t>
        </is>
      </c>
      <c r="AO6" s="102" t="inlineStr">
        <is>
          <t>What slows the role down · themes</t>
        </is>
      </c>
      <c r="AP6" s="102" t="inlineStr">
        <is>
          <t>If one thing could change · themes</t>
        </is>
      </c>
      <c r="AQ6" s="102" t="inlineStr">
        <is>
          <t>How the role is changing</t>
        </is>
      </c>
      <c r="AR6" s="103" t="inlineStr">
        <is>
          <t>Family boundary · purpose · includes · excludes</t>
        </is>
      </c>
      <c r="AS6" s="104" t="inlineStr">
        <is>
          <t>Comparable V2 stage · external research label</t>
        </is>
      </c>
      <c r="AT6" s="104" t="inlineStr">
        <is>
          <t>Discipline work expectation</t>
        </is>
      </c>
      <c r="AU6" s="104" t="inlineStr">
        <is>
          <t>Readiness evidence</t>
        </is>
      </c>
      <c r="AV6" s="104" t="inlineStr">
        <is>
          <t>Typical work sample</t>
        </is>
      </c>
      <c r="AW6" s="104" t="inlineStr">
        <is>
          <t>Peer evidence · observed titles</t>
        </is>
      </c>
      <c r="AX6" s="105" t="inlineStr">
        <is>
          <t>Evidence basis for purpose and responsibilities</t>
        </is>
      </c>
      <c r="AY6" s="106" t="inlineStr">
        <is>
          <t>Respondents</t>
        </is>
      </c>
    </row>
    <row r="7">
      <c r="A7" s="155" t="inlineStr">
        <is>
          <t>Data &amp; Analytics</t>
        </is>
      </c>
    </row>
    <row r="8" ht="106" customHeight="1">
      <c r="A8" s="167" t="inlineStr">
        <is>
          <t>RC-040</t>
        </is>
      </c>
      <c r="B8" s="111" t="inlineStr">
        <is>
          <t>Data &amp; Analytics</t>
        </is>
      </c>
      <c r="C8" s="111" t="inlineStr">
        <is>
          <t>Financial Data Processing</t>
        </is>
      </c>
      <c r="D8" s="141" t="inlineStr">
        <is>
          <t>A3</t>
        </is>
      </c>
      <c r="E8" s="139" t="inlineStr">
        <is>
          <t>Senior Associate</t>
        </is>
      </c>
      <c r="F8" s="111" t="inlineStr">
        <is>
          <t>IC</t>
        </is>
      </c>
      <c r="G8" s="111" t="inlineStr">
        <is>
          <t>Senior Data Analyst</t>
        </is>
      </c>
      <c r="H8" s="112" t="n">
        <v>7</v>
      </c>
      <c r="I8" s="111" t="inlineStr">
        <is>
          <t>Consume 7</t>
        </is>
      </c>
      <c r="J8" s="157" t="n">
        <v>7</v>
      </c>
      <c r="K8" s="115" t="inlineStr">
        <is>
          <t>Akash Dubey, John Mariakulandai, Neelam Kadam, Nishikant Mhatre, Palanikumar Mooppanar, Prashant Shelar, Swapnil Katrat</t>
        </is>
      </c>
      <c r="L8" s="115" t="inlineStr">
        <is>
          <t>India Content</t>
        </is>
      </c>
      <c r="M8" s="118" t="inlineStr">
        <is>
          <r>
            <rPr>
              <rFont val="Calibri"/>
              <sz val="10"/>
            </rPr>
            <t xml:space="preserve">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t>
          </r>
        </is>
      </c>
      <c r="N8" s="159" t="inlineStr">
        <is>
          <r>
            <rPr>
              <rFont val="Calibri"/>
              <sz val="10"/>
            </rPr>
            <t xml:space="preserve">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t>
          </r>
        </is>
      </c>
      <c r="O8" s="159" t="inlineStr">
        <is>
          <r>
            <rPr>
              <rFont val="Calibri"/>
              <sz val="10"/>
            </rPr>
            <t xml:space="preserve">A module / process, or work with client or regulatory consequences
</t>
          </r>
          <r>
            <rPr>
              <rFont val="Calibri"/>
              <b val="1"/>
              <sz val="10"/>
            </rPr>
            <t>Common themes in role-holders' answers:</t>
          </r>
          <r>
            <rPr>
              <rFont val="Calibri"/>
              <sz val="10"/>
            </rPr>
            <t xml:space="preserve"> mutual fund · client · delivery</t>
          </r>
        </is>
      </c>
      <c r="P8" s="159" t="inlineStr">
        <is>
          <r>
            <rPr>
              <rFont val="Calibri"/>
              <sz val="10"/>
            </rPr>
            <t xml:space="preserve">A module / process, or work with client or regulatory consequences
</t>
          </r>
          <r>
            <rPr>
              <rFont val="Calibri"/>
              <b val="1"/>
              <sz val="10"/>
            </rPr>
            <t>Common themes in role-holders' answers:</t>
          </r>
          <r>
            <rPr>
              <rFont val="Calibri"/>
              <sz val="10"/>
            </rPr>
            <t xml:space="preserve"> client · data · am · delivery · duties · responsible</t>
          </r>
        </is>
      </c>
      <c r="Q8" s="159" t="inlineStr">
        <is>
          <r>
            <rPr>
              <rFont val="Calibri"/>
              <sz val="10"/>
            </rPr>
            <t xml:space="preserve">Technical / QC / client calls on own work
</t>
          </r>
          <r>
            <rPr>
              <rFont val="Calibri"/>
              <b val="1"/>
              <sz val="10"/>
            </rPr>
            <t>Common themes in role-holders' answers:</t>
          </r>
          <r>
            <rPr>
              <rFont val="Calibri"/>
              <sz val="10"/>
            </rPr>
            <t xml:space="preserve"> data · independently</t>
          </r>
        </is>
      </c>
      <c r="R8" s="159" t="inlineStr">
        <is>
          <r>
            <rPr>
              <rFont val="Calibri"/>
              <b val="1"/>
              <sz val="10"/>
            </rPr>
            <t>Common themes in manager-set KRAs:</t>
          </r>
          <r>
            <rPr>
              <rFont val="Calibri"/>
              <sz val="10"/>
            </rPr>
            <t xml:space="preserve"> business-day response · manual · contribute · delivery time · provide solutions · complete assigned</t>
          </r>
        </is>
      </c>
      <c r="S8" s="159" t="inlineStr">
        <is>
          <t>Data Processing · Data validation</t>
        </is>
      </c>
      <c r="T8" s="159" t="inlineStr">
        <is>
          <t>Microsoft Excel · MS access</t>
        </is>
      </c>
      <c r="U8" s="119" t="inlineStr">
        <is>
          <t>Varied work; reviews juniors; go-to for a process</t>
        </is>
      </c>
      <c r="V8" s="160" t="inlineStr">
        <is>
          <t>Varied and non-standard work; handles exceptions</t>
        </is>
      </c>
      <c r="W8" s="160" t="inlineStr">
        <is>
          <t>Technical / QC / client calls on own work</t>
        </is>
      </c>
      <c r="X8" s="160" t="inlineStr">
        <is>
          <t>A module / process, or work with client or regulatory consequences</t>
        </is>
      </c>
      <c r="Y8" s="160" t="inlineStr">
        <is>
          <t>Not scored in Band A</t>
        </is>
      </c>
      <c r="Z8" s="160" t="inlineStr">
        <is>
          <t>2–4 yrs</t>
        </is>
      </c>
      <c r="AA8" s="160" t="inlineStr">
        <is>
          <t>Graduate; relevant certification preferred</t>
        </is>
      </c>
      <c r="AB8" s="160" t="inlineStr">
        <is>
          <t>Power BI / Tableau · optional; Database certifications · optional</t>
        </is>
      </c>
      <c r="AC8" s="160" t="inlineStr">
        <is>
          <t>None · guides 1–3 juniors informally</t>
        </is>
      </c>
      <c r="AD8" s="121" t="inlineStr">
        <is>
          <t>Core 2 · Future-ready 2 · Functional 3 · Leadership —</t>
        </is>
      </c>
      <c r="AE8" s="122" t="inlineStr">
        <is>
          <t>Data Analytics, BI &amp; Visualisation · Database, SQL &amp; Data Engineering</t>
        </is>
      </c>
      <c r="AF8" s="122" t="inlineStr">
        <is>
          <t>Advanced Excel &amp; Productivity Tools · Regulatory &amp; BFSI Domain · Process Improvement &amp; Quality Mindset · Accounting &amp; Reporting Standards · IFRS/US GAAP</t>
        </is>
      </c>
      <c r="AG8" s="168" t="inlineStr">
        <is>
          <t>P2</t>
        </is>
      </c>
      <c r="AH8" s="128" t="inlineStr">
        <is>
          <t>3 Apply</t>
        </is>
      </c>
      <c r="AI8" s="169" t="inlineStr">
        <is>
          <r>
            <rPr>
              <rFont val="Calibri"/>
              <b val="1"/>
              <sz val="10"/>
            </rPr>
            <t>Atlassian company-wide P-levels:</t>
          </r>
          <r>
            <rPr>
              <rFont val="Calibri"/>
              <sz val="10"/>
            </rPr>
            <t xml:space="preserve"> P40 Analyst · IRIS Vs Competitor Benchmark — data analyst ladder: Data Analyst II</t>
          </r>
        </is>
      </c>
      <c r="AJ8" s="169" t="inlineStr">
        <is>
          <t>DAMA-DMBOK · 11 knowledge areas around data governance</t>
        </is>
      </c>
      <c r="AK8" s="169" t="inlineStr">
        <is>
          <t>B1 · Specialist</t>
        </is>
      </c>
      <c r="AL8" s="129" t="inlineStr">
        <is>
          <t>AI / automation · Leadership &amp; people management · Project / programme management · Broader exposure &amp; ownership · Client, sales &amp; stakeholders</t>
        </is>
      </c>
      <c r="AM8" s="130" t="inlineStr">
        <is>
          <t>presentation influence · ownership · stakeholder management · management prioritisation · skills</t>
        </is>
      </c>
      <c r="AN8" s="130" t="inlineStr">
        <is>
          <t>On-the-job / hands-on · Mentoring / guidance from seniors · Formal / classroom training</t>
        </is>
      </c>
      <c r="AO8" s="130" t="inlineStr">
        <is>
          <t>No common theme</t>
        </is>
      </c>
      <c r="AP8" s="130" t="inlineStr">
        <is>
          <t>time · consistent · support</t>
        </is>
      </c>
      <c r="AQ8" s="130" t="inlineStr">
        <is>
          <t>1 of 6 say the role is changing because of AI / automation</t>
        </is>
      </c>
      <c r="AR8" s="131" t="inlineStr">
        <is>
          <t>Turn data into defensible decisions and models. Includes: BI, decision analysis and data science. Excludes: Financial-data production; software engineering of pipelines.</t>
        </is>
      </c>
      <c r="AS8" s="132" t="inlineStr">
        <is>
          <t>OPS02-2 · Financial Data Analyst</t>
        </is>
      </c>
      <c r="AT8" s="132" t="inlineStr">
        <is>
          <t>Source and reconcile financial records using controlled definitions.</t>
        </is>
      </c>
      <c r="AU8" s="132" t="inlineStr">
        <is>
          <t>Demonstrate routine delivery plus judgement in bounded exceptions.</t>
        </is>
      </c>
      <c r="AV8" s="132" t="inlineStr">
        <is>
          <t>A financial dataset reconciled to source disclosures with documented exceptions and lineage</t>
        </is>
      </c>
      <c r="AW8" s="132" t="inlineStr">
        <is>
          <r>
            <rPr>
              <rFont val="Calibri"/>
              <b val="1"/>
              <sz val="10"/>
            </rPr>
            <t>S&amp;P Global:</t>
          </r>
          <r>
            <rPr>
              <rFont val="Calibri"/>
              <sz val="10"/>
            </rPr>
            <t xml:space="preserve"> Lead data analyst · Adjacent sector, retained extract. Gap: Financial-data production differs from corporate financial planning and BI</t>
          </r>
        </is>
      </c>
      <c r="AX8" s="170" t="inlineStr">
        <is>
          <t>Framework + role-holders' themes · 3+ answered</t>
        </is>
      </c>
      <c r="AY8" s="134" t="inlineStr">
        <is>
          <t>7 holders, 7 answered the survey; sub-family 9 answered</t>
        </is>
      </c>
    </row>
    <row r="9" ht="119" customHeight="1">
      <c r="A9" s="167" t="inlineStr">
        <is>
          <t>RC-041</t>
        </is>
      </c>
      <c r="B9" s="111" t="inlineStr">
        <is>
          <t>Data &amp; Analytics</t>
        </is>
      </c>
      <c r="C9" s="111" t="inlineStr">
        <is>
          <t>Financial Data Processing</t>
        </is>
      </c>
      <c r="D9" s="143" t="inlineStr">
        <is>
          <t>B1</t>
        </is>
      </c>
      <c r="E9" s="21" t="inlineStr">
        <is>
          <t>Specialist</t>
        </is>
      </c>
      <c r="F9" s="111" t="inlineStr">
        <is>
          <t>IC</t>
        </is>
      </c>
      <c r="G9" s="111" t="inlineStr">
        <is>
          <t>Data Specialist</t>
        </is>
      </c>
      <c r="H9" s="112" t="n">
        <v>1</v>
      </c>
      <c r="I9" s="111" t="inlineStr">
        <is>
          <t>Consume 1</t>
        </is>
      </c>
      <c r="J9" s="157" t="n">
        <v>1</v>
      </c>
      <c r="K9" s="115" t="inlineStr">
        <is>
          <t>Virendra Borkar</t>
        </is>
      </c>
      <c r="L9" s="115" t="inlineStr">
        <is>
          <t>India Content</t>
        </is>
      </c>
      <c r="M9" s="118" t="inlineStr">
        <is>
          <r>
            <rPr>
              <rFont val="Calibri"/>
              <sz val="10"/>
            </rPr>
            <t xml:space="preserve">Processes and delivers mutual-fund, scheme and capital-market data feeds and reports. At B1: a domain / module, or a small team.
</t>
          </r>
          <r>
            <rPr>
              <rFont val="Calibri"/>
              <b val="1"/>
              <sz val="10"/>
            </rPr>
            <t>Common themes in sub-family holders, all levels' answers:</t>
          </r>
          <r>
            <rPr>
              <rFont val="Calibri"/>
              <sz val="10"/>
            </rPr>
            <t xml:space="preserve"> data · mutual fund · accurate · update · client · analyzing</t>
          </r>
        </is>
      </c>
      <c r="N9" s="159" t="inlineStr">
        <is>
          <r>
            <rPr>
              <rFont val="Calibri"/>
              <sz val="10"/>
            </rPr>
            <t xml:space="preserve">Processes and delivers mutual-fund, scheme and capital-market data feeds and reports; Domain specialist work; A domain or a small team
</t>
          </r>
          <r>
            <rPr>
              <rFont val="Calibri"/>
              <b val="1"/>
              <sz val="10"/>
            </rPr>
            <t>Common themes in sub-family holders, all levels' answers:</t>
          </r>
          <r>
            <rPr>
              <rFont val="Calibri"/>
              <sz val="10"/>
            </rPr>
            <t xml:space="preserve"> data · client · timely · accuracy · delivery · market</t>
          </r>
        </is>
      </c>
      <c r="O9" s="159" t="inlineStr">
        <is>
          <r>
            <rPr>
              <rFont val="Calibri"/>
              <sz val="10"/>
            </rPr>
            <t xml:space="preserve">A domain or a small team
</t>
          </r>
          <r>
            <rPr>
              <rFont val="Calibri"/>
              <b val="1"/>
              <sz val="10"/>
            </rPr>
            <t>Common themes in sub-family holders, all levels' answers:</t>
          </r>
          <r>
            <rPr>
              <rFont val="Calibri"/>
              <sz val="10"/>
            </rPr>
            <t xml:space="preserve"> client · mutual fund · delivery</t>
          </r>
        </is>
      </c>
      <c r="P9" s="159" t="inlineStr">
        <is>
          <r>
            <rPr>
              <rFont val="Calibri"/>
              <sz val="10"/>
            </rPr>
            <t xml:space="preserve">A domain or a small team
</t>
          </r>
          <r>
            <rPr>
              <rFont val="Calibri"/>
              <b val="1"/>
              <sz val="10"/>
            </rPr>
            <t>Common themes in sub-family holders, all levels' answers:</t>
          </r>
          <r>
            <rPr>
              <rFont val="Calibri"/>
              <sz val="10"/>
            </rPr>
            <t xml:space="preserve"> client · data · if · wrong · am · delivery</t>
          </r>
        </is>
      </c>
      <c r="Q9" s="159" t="inlineStr">
        <is>
          <r>
            <rPr>
              <rFont val="Calibri"/>
              <sz val="10"/>
            </rPr>
            <t xml:space="preserve">Technical / QC / client calls for the domain
</t>
          </r>
          <r>
            <rPr>
              <rFont val="Calibri"/>
              <b val="1"/>
              <sz val="10"/>
            </rPr>
            <t>Common themes in sub-family holders, all levels' answers:</t>
          </r>
          <r>
            <rPr>
              <rFont val="Calibri"/>
              <sz val="10"/>
            </rPr>
            <t xml:space="preserve"> update · data · independently</t>
          </r>
        </is>
      </c>
      <c r="R9" s="159" t="inlineStr">
        <is>
          <t>—</t>
        </is>
      </c>
      <c r="S9" s="159" t="inlineStr">
        <is>
          <t>Data processing · Mutual fund · Data validation</t>
        </is>
      </c>
      <c r="T9" s="159" t="inlineStr">
        <is>
          <t>Microsoft Excel · MS access</t>
        </is>
      </c>
      <c r="U9" s="119" t="inlineStr">
        <is>
          <t>A domain / module, or a small team</t>
        </is>
      </c>
      <c r="V9" s="160" t="inlineStr">
        <is>
          <t>Domain specialist work</t>
        </is>
      </c>
      <c r="W9" s="160" t="inlineStr">
        <is>
          <t>Technical / QC / client calls for the domain</t>
        </is>
      </c>
      <c r="X9" s="160" t="inlineStr">
        <is>
          <t>A domain or a small team</t>
        </is>
      </c>
      <c r="Y9" s="160" t="inlineStr">
        <is>
          <r>
            <rPr>
              <rFont val="Calibri"/>
              <b val="1"/>
              <sz val="10"/>
            </rPr>
            <t>IC:</t>
          </r>
          <r>
            <rPr>
              <rFont val="Calibri"/>
              <sz val="10"/>
            </rPr>
            <t xml:space="preserve"> mentors and reviews · People: hands-on team lead of 3–5</t>
          </r>
        </is>
      </c>
      <c r="Z9" s="160" t="inlineStr">
        <is>
          <t>4–7 yrs</t>
        </is>
      </c>
      <c r="AA9" s="160" t="inlineStr">
        <is>
          <t>Graduate + relevant qualification or certification preferred</t>
        </is>
      </c>
      <c r="AB9" s="160" t="inlineStr">
        <is>
          <t>Power BI / Tableau · optional; Database certifications · optional</t>
        </is>
      </c>
      <c r="AC9" s="160" t="inlineStr">
        <is>
          <r>
            <rPr>
              <rFont val="Calibri"/>
              <b val="1"/>
              <sz val="10"/>
            </rPr>
            <t>IC:</t>
          </r>
          <r>
            <rPr>
              <rFont val="Calibri"/>
              <sz val="10"/>
            </rPr>
            <t xml:space="preserve"> none · Team Lead: 3–5</t>
          </r>
        </is>
      </c>
      <c r="AD9" s="121" t="inlineStr">
        <is>
          <t>Core 3 · Future-ready 3 · Functional 3 · Leadership 1</t>
        </is>
      </c>
      <c r="AE9" s="122" t="inlineStr">
        <is>
          <t>Data Analytics, BI &amp; Visualisation · Database, SQL &amp; Data Engineering</t>
        </is>
      </c>
      <c r="AF9" s="122" t="inlineStr">
        <is>
          <t>Advanced Excel &amp; Productivity Tools · Regulatory &amp; BFSI Domain · Process Improvement &amp; Quality Mindset · Accounting &amp; Reporting Standards · IFRS/US GAAP</t>
        </is>
      </c>
      <c r="AG9" s="168" t="inlineStr">
        <is>
          <t>P3 / M2</t>
        </is>
      </c>
      <c r="AH9" s="128" t="inlineStr">
        <is>
          <t>4 Enable</t>
        </is>
      </c>
      <c r="AI9" s="169" t="inlineStr">
        <is>
          <r>
            <rPr>
              <rFont val="Calibri"/>
              <b val="1"/>
              <sz val="10"/>
            </rPr>
            <t>Atlassian company-wide P-levels:</t>
          </r>
          <r>
            <rPr>
              <rFont val="Calibri"/>
              <sz val="10"/>
            </rPr>
            <t xml:space="preserve"> P40 · IRIS Vs Competitor Benchmark — data analyst ladder: Senior Data Analyst</t>
          </r>
        </is>
      </c>
      <c r="AJ9" s="169" t="inlineStr">
        <is>
          <t>DAMA-DMBOK · 11 knowledge areas around data governance</t>
        </is>
      </c>
      <c r="AK9" s="169" t="inlineStr">
        <is>
          <t>B2 · Senior Specialist</t>
        </is>
      </c>
      <c r="AL9" s="129" t="inlineStr">
        <is>
          <t>Leadership &amp; people management · Project / programme management · Communication &amp; presentation · Strategy &amp; business acumen</t>
        </is>
      </c>
      <c r="AM9" s="130" t="inlineStr">
        <is>
          <t>The team needs training for new automation tools. | Transition to leadership: people management &amp; delegation, mentoring/coaching, project ownership &amp; stakeholder management, prioritisation under ambiguity, presentation &amp; influence skills</t>
        </is>
      </c>
      <c r="AN9" s="130" t="inlineStr">
        <is>
          <t>Formal / classroom training · On-the-job / hands-on · Mentoring / guidance from seniors</t>
        </is>
      </c>
      <c r="AO9" s="130" t="inlineStr">
        <is>
          <t>unclear</t>
        </is>
      </c>
      <c r="AP9" s="130" t="inlineStr">
        <is>
          <t>support · access · technical · time · consistent</t>
        </is>
      </c>
      <c r="AQ9" s="130" t="inlineStr">
        <is>
          <t>1 of 8 say the role is changing because of AI / automation</t>
        </is>
      </c>
      <c r="AR9" s="131" t="inlineStr">
        <is>
          <t>Turn data into defensible decisions and models. Includes: BI, decision analysis and data science. Excludes: Financial-data production; software engineering of pipelines.</t>
        </is>
      </c>
      <c r="AS9" s="132" t="inlineStr">
        <is>
          <t>OPS02-3 · Senior Financial Data Analyst</t>
        </is>
      </c>
      <c r="AT9" s="132" t="inlineStr">
        <is>
          <t>Resolve accounting-data exceptions and review difficult cases.</t>
        </is>
      </c>
      <c r="AU9" s="132" t="inlineStr">
        <is>
          <t>Evidence of complex work, decisions and outcomes beyond routine delivery.</t>
        </is>
      </c>
      <c r="AV9" s="132" t="inlineStr">
        <is>
          <t>A financial dataset reconciled to source disclosures with documented exceptions and lineage</t>
        </is>
      </c>
      <c r="AW9" s="132" t="inlineStr">
        <is>
          <r>
            <rPr>
              <rFont val="Calibri"/>
              <b val="1"/>
              <sz val="10"/>
            </rPr>
            <t>S&amp;P Global:</t>
          </r>
          <r>
            <rPr>
              <rFont val="Calibri"/>
              <sz val="10"/>
            </rPr>
            <t xml:space="preserve"> Lead data analyst · Adjacent sector, retained extract. Gap: Financial-data production differs from corporate financial planning and BI</t>
          </r>
        </is>
      </c>
      <c r="AX9" s="171" t="inlineStr">
        <is>
          <t>Framework + sub-family themes · 3+ answered</t>
        </is>
      </c>
      <c r="AY9" s="134" t="inlineStr">
        <is>
          <t>1 holder, 1 answered the survey; sub-family 9 answered</t>
        </is>
      </c>
    </row>
    <row r="10" ht="106" customHeight="1">
      <c r="A10" s="167" t="inlineStr">
        <is>
          <t>RC-042</t>
        </is>
      </c>
      <c r="B10" s="111" t="inlineStr">
        <is>
          <t>Data &amp; Analytics</t>
        </is>
      </c>
      <c r="C10" s="111" t="inlineStr">
        <is>
          <t>Financial Data Processing</t>
        </is>
      </c>
      <c r="D10" s="143" t="inlineStr">
        <is>
          <t>B2</t>
        </is>
      </c>
      <c r="E10" s="21" t="inlineStr">
        <is>
          <t>Manager</t>
        </is>
      </c>
      <c r="F10" s="111" t="inlineStr">
        <is>
          <t>Manager</t>
        </is>
      </c>
      <c r="G10" s="111" t="inlineStr">
        <is>
          <t>Data Operations Manager</t>
        </is>
      </c>
      <c r="H10" s="112" t="n">
        <v>1</v>
      </c>
      <c r="I10" s="111" t="inlineStr">
        <is>
          <t>Consume 1</t>
        </is>
      </c>
      <c r="J10" s="157" t="n">
        <v>1</v>
      </c>
      <c r="K10" s="115" t="inlineStr">
        <is>
          <t>Gopal Krishna Sahu</t>
        </is>
      </c>
      <c r="L10" s="115" t="inlineStr">
        <is>
          <t>India Content</t>
        </is>
      </c>
      <c r="M10" s="118" t="inlineStr">
        <is>
          <r>
            <rPr>
              <rFont val="Calibri"/>
              <sz val="10"/>
            </rPr>
            <t xml:space="preserve">Processes and delivers mutual-fund, scheme and capital-market data feeds and reports. At B2: deep domain expertise, or one team.
</t>
          </r>
          <r>
            <rPr>
              <rFont val="Calibri"/>
              <b val="1"/>
              <sz val="10"/>
            </rPr>
            <t>Common themes in sub-family holders, all levels' answers:</t>
          </r>
          <r>
            <rPr>
              <rFont val="Calibri"/>
              <sz val="10"/>
            </rPr>
            <t xml:space="preserve"> data · mutual fund · accurate · update · client · analyzing</t>
          </r>
        </is>
      </c>
      <c r="N10" s="159" t="inlineStr">
        <is>
          <r>
            <rPr>
              <rFont val="Calibri"/>
              <sz val="10"/>
            </rPr>
            <t xml:space="preserve">Processes and delivers mutual-fund, scheme and capital-market data feeds and reports; Hardest problems in the domain; One team or a client portfolio
</t>
          </r>
          <r>
            <rPr>
              <rFont val="Calibri"/>
              <b val="1"/>
              <sz val="10"/>
            </rPr>
            <t>Common themes in sub-family holders, all levels' answers:</t>
          </r>
          <r>
            <rPr>
              <rFont val="Calibri"/>
              <sz val="10"/>
            </rPr>
            <t xml:space="preserve"> data · client · timely · accuracy · delivery · market</t>
          </r>
        </is>
      </c>
      <c r="O10" s="159" t="inlineStr">
        <is>
          <r>
            <rPr>
              <rFont val="Calibri"/>
              <sz val="10"/>
            </rPr>
            <t xml:space="preserve">One team or a client portfolio
</t>
          </r>
          <r>
            <rPr>
              <rFont val="Calibri"/>
              <b val="1"/>
              <sz val="10"/>
            </rPr>
            <t>Common themes in sub-family holders, all levels' answers:</t>
          </r>
          <r>
            <rPr>
              <rFont val="Calibri"/>
              <sz val="10"/>
            </rPr>
            <t xml:space="preserve"> client · mutual fund · delivery</t>
          </r>
        </is>
      </c>
      <c r="P10" s="159" t="inlineStr">
        <is>
          <r>
            <rPr>
              <rFont val="Calibri"/>
              <sz val="10"/>
            </rPr>
            <t xml:space="preserve">One team or a client portfolio
</t>
          </r>
          <r>
            <rPr>
              <rFont val="Calibri"/>
              <b val="1"/>
              <sz val="10"/>
            </rPr>
            <t>Common themes in sub-family holders, all levels' answers:</t>
          </r>
          <r>
            <rPr>
              <rFont val="Calibri"/>
              <sz val="10"/>
            </rPr>
            <t xml:space="preserve"> client · data · if · wrong · am · delivery</t>
          </r>
        </is>
      </c>
      <c r="Q10" s="159" t="inlineStr">
        <is>
          <r>
            <rPr>
              <rFont val="Calibri"/>
              <sz val="10"/>
            </rPr>
            <t xml:space="preserve">Allocates people and sets team priorities
</t>
          </r>
          <r>
            <rPr>
              <rFont val="Calibri"/>
              <b val="1"/>
              <sz val="10"/>
            </rPr>
            <t>Common themes in sub-family holders, all levels' answers:</t>
          </r>
          <r>
            <rPr>
              <rFont val="Calibri"/>
              <sz val="10"/>
            </rPr>
            <t xml:space="preserve"> update · data · independently</t>
          </r>
        </is>
      </c>
      <c r="R10" s="159" t="inlineStr">
        <is>
          <t>—</t>
        </is>
      </c>
      <c r="S10" s="159" t="inlineStr">
        <is>
          <t>Data processing · Mutual fund · Data validation</t>
        </is>
      </c>
      <c r="T10" s="159" t="inlineStr">
        <is>
          <t>Microsoft Excel · MS access</t>
        </is>
      </c>
      <c r="U10" s="119" t="inlineStr">
        <is>
          <t>Deep domain expertise, or one team</t>
        </is>
      </c>
      <c r="V10" s="160" t="inlineStr">
        <is>
          <t>Hardest problems in the domain</t>
        </is>
      </c>
      <c r="W10" s="160" t="inlineStr">
        <is>
          <t>Allocates people and sets team priorities</t>
        </is>
      </c>
      <c r="X10" s="160" t="inlineStr">
        <is>
          <t>One team or a client portfolio</t>
        </is>
      </c>
      <c r="Y10" s="160" t="inlineStr">
        <is>
          <r>
            <rPr>
              <rFont val="Calibri"/>
              <b val="1"/>
              <sz val="10"/>
            </rPr>
            <t>IC:</t>
          </r>
          <r>
            <rPr>
              <rFont val="Calibri"/>
              <sz val="10"/>
            </rPr>
            <t xml:space="preserve"> guides others in the domain · People: manages a team of 6+</t>
          </r>
        </is>
      </c>
      <c r="Z10" s="160" t="inlineStr">
        <is>
          <t>6–9 yrs</t>
        </is>
      </c>
      <c r="AA10" s="160" t="inlineStr">
        <is>
          <t>Graduate or postgraduate; professional qualification preferred</t>
        </is>
      </c>
      <c r="AB10" s="160" t="inlineStr">
        <is>
          <t>Power BI / Tableau · optional; Database certifications · optional</t>
        </is>
      </c>
      <c r="AC10" s="160" t="inlineStr">
        <is>
          <r>
            <rPr>
              <rFont val="Calibri"/>
              <b val="1"/>
              <sz val="10"/>
            </rPr>
            <t>IC:</t>
          </r>
          <r>
            <rPr>
              <rFont val="Calibri"/>
              <sz val="10"/>
            </rPr>
            <t xml:space="preserve"> none · People: 6–8 knowledge work, 8–12 standardised delivery</t>
          </r>
        </is>
      </c>
      <c r="AD10" s="121" t="inlineStr">
        <is>
          <t>Core 3 · Future-ready 3 · Functional 4 · Leadership 3</t>
        </is>
      </c>
      <c r="AE10" s="122" t="inlineStr">
        <is>
          <t>Data Analytics, BI &amp; Visualisation · Database, SQL &amp; Data Engineering</t>
        </is>
      </c>
      <c r="AF10" s="122" t="inlineStr">
        <is>
          <t>Advanced Excel &amp; Productivity Tools · Regulatory &amp; BFSI Domain · Process Improvement &amp; Quality Mindset · Accounting &amp; Reporting Standards · IFRS/US GAAP</t>
        </is>
      </c>
      <c r="AG10" s="168" t="inlineStr">
        <is>
          <t>P4 / M3</t>
        </is>
      </c>
      <c r="AH10" s="128" t="inlineStr">
        <is>
          <t>4–5</t>
        </is>
      </c>
      <c r="AI10" s="169" t="inlineStr">
        <is>
          <r>
            <rPr>
              <rFont val="Calibri"/>
              <b val="1"/>
              <sz val="10"/>
            </rPr>
            <t>Atlassian company-wide P-levels:</t>
          </r>
          <r>
            <rPr>
              <rFont val="Calibri"/>
              <sz val="10"/>
            </rPr>
            <t xml:space="preserve"> P50 Senior Analyst · IRIS Vs Competitor Benchmark — data analyst ladder: Lead Data Analyst</t>
          </r>
        </is>
      </c>
      <c r="AJ10" s="169" t="inlineStr">
        <is>
          <t>DAMA-DMBOK · 11 knowledge areas around data governance</t>
        </is>
      </c>
      <c r="AK10" s="169" t="inlineStr">
        <is>
          <t>B3 · Lead Specialist</t>
        </is>
      </c>
      <c r="AL10" s="129" t="inlineStr">
        <is>
          <t>AI / automation · Data, SQL &amp; analytics</t>
        </is>
      </c>
      <c r="AM10" s="130" t="inlineStr">
        <is>
          <t>—</t>
        </is>
      </c>
      <c r="AN10" s="130" t="inlineStr">
        <is>
          <t>Formal / classroom training · On-the-job / hands-on · Mentoring / guidance from seniors</t>
        </is>
      </c>
      <c r="AO10" s="130" t="inlineStr">
        <is>
          <t>unclear</t>
        </is>
      </c>
      <c r="AP10" s="130" t="inlineStr">
        <is>
          <t>support · access · technical · time · consistent</t>
        </is>
      </c>
      <c r="AQ10" s="130" t="inlineStr">
        <is>
          <t>1 of 8 say the role is changing because of AI / automation</t>
        </is>
      </c>
      <c r="AR10" s="131" t="inlineStr">
        <is>
          <t>Turn data into defensible decisions and models. Includes: BI, decision analysis and data science. Excludes: Financial-data production; software engineering of pipelines.</t>
        </is>
      </c>
      <c r="AS10" s="132" t="inlineStr">
        <is>
          <t>LD08-1 · Data Operations Manager</t>
        </is>
      </c>
      <c r="AT10" s="132" t="inlineStr">
        <is>
          <t>Own staffing decisions, performance support, service quality and delegated team resources</t>
        </is>
      </c>
      <c r="AU10" s="132" t="inlineStr">
        <is>
          <t>Do not manufacture three reporting layers. Choose roles the organisation needs. A specialist may remain on an equally valued expert path.</t>
        </is>
      </c>
      <c r="AV10" s="132" t="inlineStr">
        <is>
          <t>—</t>
        </is>
      </c>
      <c r="AW10" s="132" t="inlineStr">
        <is>
          <t>—</t>
        </is>
      </c>
      <c r="AX10" s="171" t="inlineStr">
        <is>
          <t>Framework + sub-family themes · 3+ answered</t>
        </is>
      </c>
      <c r="AY10" s="134" t="inlineStr">
        <is>
          <t>1 holder, 1 answered the survey; sub-family 9 answered</t>
        </is>
      </c>
    </row>
    <row r="11">
      <c r="A11" s="155" t="inlineStr">
        <is>
          <t>Data Operations &amp; Digitization</t>
        </is>
      </c>
    </row>
    <row r="12" ht="106" customHeight="1">
      <c r="A12" s="167" t="inlineStr">
        <is>
          <t>RC-046</t>
        </is>
      </c>
      <c r="B12" s="111" t="inlineStr">
        <is>
          <t>Data Operations &amp; Digitization</t>
        </is>
      </c>
      <c r="C12" s="111" t="inlineStr">
        <is>
          <t>Document Conversion, Formatting &amp; Web Publishing</t>
        </is>
      </c>
      <c r="D12" s="141" t="inlineStr">
        <is>
          <t>A2</t>
        </is>
      </c>
      <c r="E12" s="139" t="inlineStr">
        <is>
          <t>Associate</t>
        </is>
      </c>
      <c r="F12" s="111" t="inlineStr">
        <is>
          <t>IC</t>
        </is>
      </c>
      <c r="G12" s="111" t="inlineStr">
        <is>
          <t>Digitization Associate</t>
        </is>
      </c>
      <c r="H12" s="112" t="n">
        <v>4</v>
      </c>
      <c r="I12" s="111" t="inlineStr">
        <is>
          <t>CARBON 3 · Consume 1</t>
        </is>
      </c>
      <c r="J12" s="157" t="n">
        <v>1</v>
      </c>
      <c r="K12" s="115" t="inlineStr">
        <is>
          <t>Siddhesh Harishchandra Mali</t>
        </is>
      </c>
      <c r="L12" s="115" t="inlineStr">
        <is>
          <t>Digitizing</t>
        </is>
      </c>
      <c r="M12" s="118" t="inlineStr">
        <is>
          <r>
            <rPr>
              <rFont val="Calibri"/>
              <sz val="10"/>
            </rPr>
            <t xml:space="preserve">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t>
          </r>
        </is>
      </c>
      <c r="N12" s="159" t="inlineStr">
        <is>
          <r>
            <rPr>
              <rFont val="Calibri"/>
              <sz val="10"/>
            </rPr>
            <t xml:space="preserve">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t>
          </r>
        </is>
      </c>
      <c r="O12" s="159" t="inlineStr">
        <is>
          <r>
            <rPr>
              <rFont val="Calibri"/>
              <sz val="10"/>
            </rPr>
            <t xml:space="preserve">Own deliverables · accuracy, TAT
</t>
          </r>
          <r>
            <rPr>
              <rFont val="Calibri"/>
              <b val="1"/>
              <sz val="10"/>
            </rPr>
            <t>Common themes in role-holders' answers:</t>
          </r>
          <r>
            <rPr>
              <rFont val="Calibri"/>
              <sz val="10"/>
            </rPr>
            <t xml:space="preserve"> formatted · documents · html</t>
          </r>
        </is>
      </c>
      <c r="P12" s="159" t="inlineStr">
        <is>
          <r>
            <rPr>
              <rFont val="Calibri"/>
              <sz val="10"/>
            </rPr>
            <t xml:space="preserve">Own deliverables · accuracy, TAT
</t>
          </r>
          <r>
            <rPr>
              <rFont val="Calibri"/>
              <b val="1"/>
              <sz val="10"/>
            </rPr>
            <t>Common themes in role-holders' answers:</t>
          </r>
          <r>
            <rPr>
              <rFont val="Calibri"/>
              <sz val="10"/>
            </rPr>
            <t xml:space="preserve"> am · accountable · every · formatting</t>
          </r>
        </is>
      </c>
      <c r="Q12" s="159" t="inlineStr">
        <is>
          <t>Chooses own approach within standards</t>
        </is>
      </c>
      <c r="R12" s="159" t="inlineStr">
        <is>
          <t>—</t>
        </is>
      </c>
      <c r="S12" s="159" t="inlineStr">
        <is>
          <t>OCR/Image procesing</t>
        </is>
      </c>
      <c r="T12" s="159" t="inlineStr">
        <is>
          <t>Office 365 word · Excel</t>
        </is>
      </c>
      <c r="U12" s="119" t="inlineStr">
        <is>
          <t>Standard work delivered independently</t>
        </is>
      </c>
      <c r="V12" s="160" t="inlineStr">
        <is>
          <t>Standard work of the discipline</t>
        </is>
      </c>
      <c r="W12" s="160" t="inlineStr">
        <is>
          <t>Chooses own approach within standards</t>
        </is>
      </c>
      <c r="X12" s="160" t="inlineStr">
        <is>
          <t>Own deliverables · accuracy, TAT</t>
        </is>
      </c>
      <c r="Y12" s="160" t="inlineStr">
        <is>
          <t>Not scored in Band A</t>
        </is>
      </c>
      <c r="Z12" s="160" t="inlineStr">
        <is>
          <t>0–2 yrs</t>
        </is>
      </c>
      <c r="AA12" s="160" t="inlineStr">
        <is>
          <t>Graduate · or diploma with experience</t>
        </is>
      </c>
      <c r="AB12" s="160" t="inlineStr">
        <is>
          <t>MOS Excel · optional; Lean / Six Sigma · optional</t>
        </is>
      </c>
      <c r="AC12" s="160" t="inlineStr">
        <is>
          <t>No direct reports</t>
        </is>
      </c>
      <c r="AD12" s="121" t="inlineStr">
        <is>
          <t>Core 2 · Future-ready 2 · Functional 2 · Leadership —</t>
        </is>
      </c>
      <c r="AE12" s="122" t="inlineStr">
        <is>
          <t>Advanced Excel &amp; Productivity Tools · Process Improvement &amp; Quality Mindset</t>
        </is>
      </c>
      <c r="AF12" s="122" t="inlineStr">
        <is>
          <t>Regulatory &amp; BFSI Domain · XBRL, iXBRL &amp; Taxonomy · AI, GenAI &amp; Prompt Engineering · Time, Priority &amp; Self-Management</t>
        </is>
      </c>
      <c r="AG12" s="168" t="inlineStr">
        <is>
          <t>P1–P2</t>
        </is>
      </c>
      <c r="AH12" s="128" t="inlineStr">
        <is>
          <t>2 Assist</t>
        </is>
      </c>
      <c r="AI12" s="169" t="inlineStr">
        <is>
          <r>
            <rPr>
              <rFont val="Calibri"/>
              <b val="1"/>
              <sz val="10"/>
            </rPr>
            <t>DataTracks:</t>
          </r>
          <r>
            <rPr>
              <rFont val="Calibri"/>
              <sz val="10"/>
            </rPr>
            <t xml:space="preserve"> Associate · Accenture Operations: L11 Analyst · IRIS Vs Competitor Benchmark — operations roles: Processor / Agent</t>
          </r>
        </is>
      </c>
      <c r="AJ12" s="169" t="inlineStr">
        <is>
          <t>COPC CX Standard · leadership &amp; planning, people, processes, performance; ISO 9001; Lean / Six Sigma</t>
        </is>
      </c>
      <c r="AK12" s="169" t="inlineStr">
        <is>
          <t>A3 · Senior Associate</t>
        </is>
      </c>
      <c r="AL12" s="129" t="inlineStr">
        <is>
          <t>Broader exposure &amp; ownership · Communication &amp; presentation · Project / programme management · Client, sales &amp; stakeholders · Product &amp; tool knowledge</t>
        </is>
      </c>
      <c r="AM12" s="130" t="inlineStr">
        <is>
          <t>—</t>
        </is>
      </c>
      <c r="AN12" s="130" t="inlineStr">
        <is>
          <t>On-the-job / hands-on · Formal / classroom training · Mentoring / guidance from seniors</t>
        </is>
      </c>
      <c r="AO12" s="130" t="inlineStr">
        <is>
          <t>changing · requirements · unclear · complex</t>
        </is>
      </c>
      <c r="AP12" s="130" t="inlineStr">
        <is>
          <t>clearer · templates · formatting · requirements · standardized</t>
        </is>
      </c>
      <c r="AQ12" s="130" t="inlineStr">
        <is>
          <t>1 of 4 say the role is changing because of AI / automation</t>
        </is>
      </c>
      <c r="AR12" s="131" t="inlineStr">
        <is>
          <t>Produce trustworthy structured content and data. Includes: Document production, financial-data sourcing, validation and stewardship. Excludes: Corporate reporting; BI insight; software data-pipeline engineering.</t>
        </is>
      </c>
      <c r="AS12" s="132" t="inlineStr">
        <is>
          <t>OPS01-1 · Associate Document Specialist</t>
        </is>
      </c>
      <c r="AT12" s="132" t="inlineStr">
        <is>
          <r>
            <rPr>
              <rFont val="Calibri"/>
              <b val="1"/>
              <sz val="10"/>
            </rPr>
            <t>Complete defined parts under review:</t>
          </r>
          <r>
            <rPr>
              <rFont val="Calibri"/>
              <sz val="10"/>
            </rPr>
            <t xml:space="preserve"> convert and publish documents with layout and source checks.</t>
          </r>
        </is>
      </c>
      <c r="AU12" s="132" t="inlineStr">
        <is>
          <t>Repeatable correct delivery, safe escalation and required entry eligibility.</t>
        </is>
      </c>
      <c r="AV12" s="132" t="inlineStr">
        <is>
          <t>A controlled conversion with source reconciliation, rendering checks and publishing approval</t>
        </is>
      </c>
      <c r="AW12" s="132" t="inlineStr">
        <is>
          <r>
            <rPr>
              <rFont val="Calibri"/>
              <b val="1"/>
              <sz val="10"/>
            </rPr>
            <t>DataTracks:</t>
          </r>
          <r>
            <rPr>
              <rFont val="Calibri"/>
              <sz val="10"/>
            </rPr>
            <t xml:space="preserve"> Published career openings · Two selected titles. Gap: Associate and Senior Associate Document Specialist directly inform naming</t>
          </r>
        </is>
      </c>
      <c r="AX12" s="170" t="inlineStr">
        <is>
          <t>Framework + role-holders' themes · 3+ answered</t>
        </is>
      </c>
      <c r="AY12" s="134" t="inlineStr">
        <is>
          <t>4 holders, 4 answered the survey; sub-family 30 answered</t>
        </is>
      </c>
    </row>
    <row r="13" ht="132" customHeight="1">
      <c r="A13" s="167" t="inlineStr">
        <is>
          <t>RC-047</t>
        </is>
      </c>
      <c r="B13" s="111" t="inlineStr">
        <is>
          <t>Data Operations &amp; Digitization</t>
        </is>
      </c>
      <c r="C13" s="111" t="inlineStr">
        <is>
          <t>Document Conversion, Formatting &amp; Web Publishing</t>
        </is>
      </c>
      <c r="D13" s="141" t="inlineStr">
        <is>
          <t>A3</t>
        </is>
      </c>
      <c r="E13" s="139" t="inlineStr">
        <is>
          <t>Senior Associate</t>
        </is>
      </c>
      <c r="F13" s="111" t="inlineStr">
        <is>
          <t>IC</t>
        </is>
      </c>
      <c r="G13" s="111" t="inlineStr">
        <is>
          <t>Senior Digitization Associate</t>
        </is>
      </c>
      <c r="H13" s="112" t="n">
        <v>20</v>
      </c>
      <c r="I13" s="111" t="inlineStr">
        <is>
          <t>CARBON 14 · Consume 6</t>
        </is>
      </c>
      <c r="J13" s="157" t="n">
        <v>6</v>
      </c>
      <c r="K13" s="115" t="inlineStr">
        <is>
          <t>Aniket Manval, Manish Paithankar, Manoj Ravidas, Manoj Tiwari, Saurav Kamtekar, Snehal Bhavesh Farad</t>
        </is>
      </c>
      <c r="L13" s="115" t="inlineStr">
        <is>
          <t>Digitizing</t>
        </is>
      </c>
      <c r="M13" s="118" t="inlineStr">
        <is>
          <r>
            <rPr>
              <rFont val="Calibri"/>
              <sz val="10"/>
            </rPr>
            <t xml:space="preserve">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t>
          </r>
        </is>
      </c>
      <c r="N13" s="159" t="inlineStr">
        <is>
          <r>
            <rPr>
              <rFont val="Calibri"/>
              <sz val="10"/>
            </rPr>
            <t xml:space="preserve">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t>
          </r>
        </is>
      </c>
      <c r="O13" s="159" t="inlineStr">
        <is>
          <r>
            <rPr>
              <rFont val="Calibri"/>
              <sz val="10"/>
            </rPr>
            <t xml:space="preserve">A module / process, or work with client or regulatory consequences
</t>
          </r>
          <r>
            <rPr>
              <rFont val="Calibri"/>
              <b val="1"/>
              <sz val="10"/>
            </rPr>
            <t>Common themes in role-holders' answers:</t>
          </r>
          <r>
            <rPr>
              <rFont val="Calibri"/>
              <sz val="10"/>
            </rPr>
            <t xml:space="preserve"> html · pdf · word · documents · deliver · formatted</t>
          </r>
        </is>
      </c>
      <c r="P13" s="15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am · accuracy · quality · timely · every</t>
          </r>
        </is>
      </c>
      <c r="Q13" s="159" t="inlineStr">
        <is>
          <r>
            <rPr>
              <rFont val="Calibri"/>
              <sz val="10"/>
            </rPr>
            <t xml:space="preserve">Technical / QC / client calls on own work
</t>
          </r>
          <r>
            <rPr>
              <rFont val="Calibri"/>
              <b val="1"/>
              <sz val="10"/>
            </rPr>
            <t>Common themes in role-holders' answers:</t>
          </r>
          <r>
            <rPr>
              <rFont val="Calibri"/>
              <sz val="10"/>
            </rPr>
            <t xml:space="preserve"> formatting · validate · check · handle · independently · html</t>
          </r>
        </is>
      </c>
      <c r="R13" s="159" t="inlineStr">
        <is>
          <t>—</t>
        </is>
      </c>
      <c r="S13" s="159" t="inlineStr">
        <is>
          <t>OCR/Image procesing · attention to detail · Excel · quality checking · HTML · timely delivery · OCR · Word</t>
        </is>
      </c>
      <c r="T13" s="159" t="inlineStr">
        <is>
          <t>Excel · Office 365 word · Abby FineReader · Carbon applications · DM · Web Expression HTML editor · Web Expression · HTML Editor</t>
        </is>
      </c>
      <c r="U13" s="119" t="inlineStr">
        <is>
          <t>Varied work; reviews juniors; go-to for a process</t>
        </is>
      </c>
      <c r="V13" s="160" t="inlineStr">
        <is>
          <t>Varied and non-standard work; handles exceptions</t>
        </is>
      </c>
      <c r="W13" s="160" t="inlineStr">
        <is>
          <t>Technical / QC / client calls on own work</t>
        </is>
      </c>
      <c r="X13" s="160" t="inlineStr">
        <is>
          <t>A module / process, or work with client or regulatory consequences</t>
        </is>
      </c>
      <c r="Y13" s="160" t="inlineStr">
        <is>
          <t>Not scored in Band A</t>
        </is>
      </c>
      <c r="Z13" s="160" t="inlineStr">
        <is>
          <t>2–4 yrs</t>
        </is>
      </c>
      <c r="AA13" s="160" t="inlineStr">
        <is>
          <t>Graduate; relevant certification preferred</t>
        </is>
      </c>
      <c r="AB13" s="160" t="inlineStr">
        <is>
          <t>MOS Excel · optional; Lean / Six Sigma · optional</t>
        </is>
      </c>
      <c r="AC13" s="160" t="inlineStr">
        <is>
          <t>None · guides 1–3 juniors informally</t>
        </is>
      </c>
      <c r="AD13" s="121" t="inlineStr">
        <is>
          <t>Core 2 · Future-ready 2 · Functional 3 · Leadership —</t>
        </is>
      </c>
      <c r="AE13" s="122" t="inlineStr">
        <is>
          <t>Advanced Excel &amp; Productivity Tools · Process Improvement &amp; Quality Mindset</t>
        </is>
      </c>
      <c r="AF13" s="122" t="inlineStr">
        <is>
          <t>Regulatory &amp; BFSI Domain · XBRL, iXBRL &amp; Taxonomy · AI, GenAI &amp; Prompt Engineering · Time, Priority &amp; Self-Management</t>
        </is>
      </c>
      <c r="AG13" s="168" t="inlineStr">
        <is>
          <t>P2</t>
        </is>
      </c>
      <c r="AH13" s="128" t="inlineStr">
        <is>
          <t>3 Apply</t>
        </is>
      </c>
      <c r="AI13" s="169" t="inlineStr">
        <is>
          <r>
            <rPr>
              <rFont val="Calibri"/>
              <b val="1"/>
              <sz val="10"/>
            </rPr>
            <t>DataTracks:</t>
          </r>
          <r>
            <rPr>
              <rFont val="Calibri"/>
              <sz val="10"/>
            </rPr>
            <t xml:space="preserve"> Senior Associate · 2–5 yrs · Accenture Operations: L10 Senior Analyst · IRIS Vs Competitor Benchmark — operations roles: Senior Processor / QC</t>
          </r>
        </is>
      </c>
      <c r="AJ13" s="169" t="inlineStr">
        <is>
          <t>COPC CX Standard · leadership &amp; planning, people, processes, performance; ISO 9001; Lean / Six Sigma</t>
        </is>
      </c>
      <c r="AK13" s="169" t="inlineStr">
        <is>
          <t>B1 · Specialist</t>
        </is>
      </c>
      <c r="AL13" s="129" t="inlineStr">
        <is>
          <t>Communication &amp; presentation · AI / automation · Broader exposure &amp; ownership · Domain, regulatory &amp; XBRL · Project / programme management</t>
        </is>
      </c>
      <c r="AM13" s="130" t="inlineStr">
        <is>
          <t>—</t>
        </is>
      </c>
      <c r="AN13" s="130" t="inlineStr">
        <is>
          <t>Mentoring / guidance from seniors · Formal / classroom training · On-the-job / hands-on</t>
        </is>
      </c>
      <c r="AO13" s="130" t="inlineStr">
        <is>
          <t>issues · server · requirements · changes · formatting</t>
        </is>
      </c>
      <c r="AP13" s="130" t="inlineStr">
        <is>
          <t>reduce · improve · better · efficiency · automation</t>
        </is>
      </c>
      <c r="AQ13" s="130" t="inlineStr">
        <is>
          <t>14 of 19 say the role is changing because of AI / automation</t>
        </is>
      </c>
      <c r="AR13" s="131" t="inlineStr">
        <is>
          <t>Produce trustworthy structured content and data. Includes: Document production, financial-data sourcing, validation and stewardship. Excludes: Corporate reporting; BI insight; software data-pipeline engineering.</t>
        </is>
      </c>
      <c r="AS13" s="132" t="inlineStr">
        <is>
          <t>OPS01-2 · Document Specialist</t>
        </is>
      </c>
      <c r="AT13" s="132" t="inlineStr">
        <is>
          <t>Convert and publish documents with layout and source checks.</t>
        </is>
      </c>
      <c r="AU13" s="132" t="inlineStr">
        <is>
          <t>Demonstrate routine delivery plus judgement in bounded exceptions.</t>
        </is>
      </c>
      <c r="AV13" s="132" t="inlineStr">
        <is>
          <t>A controlled conversion with source reconciliation, rendering checks and publishing approval</t>
        </is>
      </c>
      <c r="AW13" s="132" t="inlineStr">
        <is>
          <r>
            <rPr>
              <rFont val="Calibri"/>
              <b val="1"/>
              <sz val="10"/>
            </rPr>
            <t>DataTracks:</t>
          </r>
          <r>
            <rPr>
              <rFont val="Calibri"/>
              <sz val="10"/>
            </rPr>
            <t xml:space="preserve"> Published career openings · Two selected titles. Gap: Associate and Senior Associate Document Specialist directly inform naming</t>
          </r>
        </is>
      </c>
      <c r="AX13" s="170" t="inlineStr">
        <is>
          <t>Framework + role-holders' themes · 3+ answered</t>
        </is>
      </c>
      <c r="AY13" s="134" t="inlineStr">
        <is>
          <t>20 holders, 19 answered the survey; sub-family 30 answered</t>
        </is>
      </c>
    </row>
    <row r="14" ht="106" customHeight="1">
      <c r="A14" s="167" t="inlineStr">
        <is>
          <t>RC-048</t>
        </is>
      </c>
      <c r="B14" s="111" t="inlineStr">
        <is>
          <t>Data Operations &amp; Digitization</t>
        </is>
      </c>
      <c r="C14" s="111" t="inlineStr">
        <is>
          <t>Document Conversion, Formatting &amp; Web Publishing</t>
        </is>
      </c>
      <c r="D14" s="143" t="inlineStr">
        <is>
          <t>B1</t>
        </is>
      </c>
      <c r="E14" s="21" t="inlineStr">
        <is>
          <t>Specialist</t>
        </is>
      </c>
      <c r="F14" s="111" t="inlineStr">
        <is>
          <t>IC</t>
        </is>
      </c>
      <c r="G14" s="111" t="inlineStr">
        <is>
          <t>Digitization Specialist – POD Lead · Digitization Specialist</t>
        </is>
      </c>
      <c r="H14" s="112" t="n">
        <v>4</v>
      </c>
      <c r="I14" s="111" t="inlineStr">
        <is>
          <t>CARBON 3 · Consume 1</t>
        </is>
      </c>
      <c r="J14" s="157" t="n">
        <v>1</v>
      </c>
      <c r="K14" s="115" t="inlineStr">
        <is>
          <t>Nitin Bhoir</t>
        </is>
      </c>
      <c r="L14" s="115" t="inlineStr">
        <is>
          <t>Digitizing</t>
        </is>
      </c>
      <c r="M14" s="118"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t>
          </r>
        </is>
      </c>
      <c r="N14" s="159"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t>
          </r>
        </is>
      </c>
      <c r="O14" s="159" t="inlineStr">
        <is>
          <r>
            <rPr>
              <rFont val="Calibri"/>
              <sz val="10"/>
            </rPr>
            <t xml:space="preserve">A domain or a small team
</t>
          </r>
          <r>
            <rPr>
              <rFont val="Calibri"/>
              <b val="1"/>
              <sz val="10"/>
            </rPr>
            <t>Common themes in role-holders' answers:</t>
          </r>
          <r>
            <rPr>
              <rFont val="Calibri"/>
              <sz val="10"/>
            </rPr>
            <t xml:space="preserve"> word · pdf · html</t>
          </r>
        </is>
      </c>
      <c r="P14" s="159" t="inlineStr">
        <is>
          <r>
            <rPr>
              <rFont val="Calibri"/>
              <sz val="10"/>
            </rPr>
            <t xml:space="preserve">A domain or a small team
</t>
          </r>
          <r>
            <rPr>
              <rFont val="Calibri"/>
              <b val="1"/>
              <sz val="10"/>
            </rPr>
            <t>Common themes in role-holders' answers:</t>
          </r>
          <r>
            <rPr>
              <rFont val="Calibri"/>
              <sz val="10"/>
            </rPr>
            <t xml:space="preserve"> accountable · am · every</t>
          </r>
        </is>
      </c>
      <c r="Q14" s="159" t="inlineStr">
        <is>
          <t>Technical / QC / client calls for the domain</t>
        </is>
      </c>
      <c r="R14" s="159" t="inlineStr">
        <is>
          <t>—</t>
        </is>
      </c>
      <c r="S14" s="159" t="inlineStr">
        <is>
          <t>OCR/Image procesing</t>
        </is>
      </c>
      <c r="T14" s="159" t="inlineStr">
        <is>
          <t>Carbon applications · Office 365 word · Excel · Abby FineReader · Web Expression HTML Editor</t>
        </is>
      </c>
      <c r="U14" s="119" t="inlineStr">
        <is>
          <t>A domain / module, or a small team</t>
        </is>
      </c>
      <c r="V14" s="160" t="inlineStr">
        <is>
          <t>Domain specialist work</t>
        </is>
      </c>
      <c r="W14" s="160" t="inlineStr">
        <is>
          <t>Technical / QC / client calls for the domain</t>
        </is>
      </c>
      <c r="X14" s="160" t="inlineStr">
        <is>
          <t>A domain or a small team</t>
        </is>
      </c>
      <c r="Y14" s="160" t="inlineStr">
        <is>
          <r>
            <rPr>
              <rFont val="Calibri"/>
              <b val="1"/>
              <sz val="10"/>
            </rPr>
            <t>IC:</t>
          </r>
          <r>
            <rPr>
              <rFont val="Calibri"/>
              <sz val="10"/>
            </rPr>
            <t xml:space="preserve"> mentors and reviews · People: hands-on team lead of 3–5</t>
          </r>
        </is>
      </c>
      <c r="Z14" s="160" t="inlineStr">
        <is>
          <t>4–7 yrs</t>
        </is>
      </c>
      <c r="AA14" s="160" t="inlineStr">
        <is>
          <t>Graduate + relevant qualification or certification preferred</t>
        </is>
      </c>
      <c r="AB14" s="160" t="inlineStr">
        <is>
          <t>MOS Excel · optional; Lean / Six Sigma · optional</t>
        </is>
      </c>
      <c r="AC14" s="160" t="inlineStr">
        <is>
          <r>
            <rPr>
              <rFont val="Calibri"/>
              <b val="1"/>
              <sz val="10"/>
            </rPr>
            <t>IC:</t>
          </r>
          <r>
            <rPr>
              <rFont val="Calibri"/>
              <sz val="10"/>
            </rPr>
            <t xml:space="preserve"> none · Team Lead: 3–5</t>
          </r>
        </is>
      </c>
      <c r="AD14" s="121" t="inlineStr">
        <is>
          <t>Core 3 · Future-ready 3 · Functional 3 · Leadership 1</t>
        </is>
      </c>
      <c r="AE14" s="122" t="inlineStr">
        <is>
          <t>Advanced Excel &amp; Productivity Tools · Process Improvement &amp; Quality Mindset</t>
        </is>
      </c>
      <c r="AF14" s="122" t="inlineStr">
        <is>
          <t>Regulatory &amp; BFSI Domain · XBRL, iXBRL &amp; Taxonomy · AI, GenAI &amp; Prompt Engineering · Time, Priority &amp; Self-Management</t>
        </is>
      </c>
      <c r="AG14" s="168" t="inlineStr">
        <is>
          <t>P3 / M2</t>
        </is>
      </c>
      <c r="AH14" s="128" t="inlineStr">
        <is>
          <t>4 Enable</t>
        </is>
      </c>
      <c r="AI14" s="169" t="inlineStr">
        <is>
          <r>
            <rPr>
              <rFont val="Calibri"/>
              <b val="1"/>
              <sz val="10"/>
            </rPr>
            <t>Accenture Operations:</t>
          </r>
          <r>
            <rPr>
              <rFont val="Calibri"/>
              <sz val="10"/>
            </rPr>
            <t xml:space="preserve"> L9 Team Lead · IRIS Vs Competitor Benchmark — operations roles: Team Lead / Quality Lead</t>
          </r>
        </is>
      </c>
      <c r="AJ14" s="169" t="inlineStr">
        <is>
          <t>COPC CX Standard · leadership &amp; planning, people, processes, performance; ISO 9001; Lean / Six Sigma</t>
        </is>
      </c>
      <c r="AK14" s="169" t="inlineStr">
        <is>
          <t>B2 · Senior Specialist</t>
        </is>
      </c>
      <c r="AL14" s="129" t="inlineStr">
        <is>
          <t>Data, SQL &amp; analytics · Communication &amp; presentation · Product &amp; tool knowledge · Broader exposure &amp; ownership · Domain, regulatory &amp; XBRL</t>
        </is>
      </c>
      <c r="AM14" s="130" t="inlineStr">
        <is>
          <t>—</t>
        </is>
      </c>
      <c r="AN14" s="130" t="inlineStr">
        <is>
          <t>Mentoring / guidance from seniors · On-the-job / hands-on · Formal / classroom training</t>
        </is>
      </c>
      <c r="AO14" s="130" t="inlineStr">
        <is>
          <t>quality · server · issues</t>
        </is>
      </c>
      <c r="AP14" s="130" t="inlineStr">
        <is>
          <t>automation reduce · tat way · forward · reduce tat</t>
        </is>
      </c>
      <c r="AQ14" s="130" t="inlineStr">
        <is>
          <t>3 of 4 say the role is changing because of AI / automation</t>
        </is>
      </c>
      <c r="AR14" s="131" t="inlineStr">
        <is>
          <t>Produce trustworthy structured content and data. Includes: Document production, financial-data sourcing, validation and stewardship. Excludes: Corporate reporting; BI insight; software data-pipeline engineering.</t>
        </is>
      </c>
      <c r="AS14" s="132" t="inlineStr">
        <is>
          <t>OPS01-3 · Senior Associate Document Specialist</t>
        </is>
      </c>
      <c r="AT14" s="132" t="inlineStr">
        <is>
          <t>Resolve complex production defects and review critical releases.</t>
        </is>
      </c>
      <c r="AU14" s="132" t="inlineStr">
        <is>
          <t>Evidence of complex work, decisions and outcomes beyond routine delivery.</t>
        </is>
      </c>
      <c r="AV14" s="132" t="inlineStr">
        <is>
          <t>A controlled conversion with source reconciliation, rendering checks and publishing approval</t>
        </is>
      </c>
      <c r="AW14" s="132" t="inlineStr">
        <is>
          <r>
            <rPr>
              <rFont val="Calibri"/>
              <b val="1"/>
              <sz val="10"/>
            </rPr>
            <t>DataTracks:</t>
          </r>
          <r>
            <rPr>
              <rFont val="Calibri"/>
              <sz val="10"/>
            </rPr>
            <t xml:space="preserve"> Published career openings · Two selected titles. Gap: Associate and Senior Associate Document Specialist directly inform naming</t>
          </r>
        </is>
      </c>
      <c r="AX14" s="170" t="inlineStr">
        <is>
          <t>Framework + role-holders' themes · 3+ answered</t>
        </is>
      </c>
      <c r="AY14" s="134" t="inlineStr">
        <is>
          <t>4 holders, 4 answered the survey; sub-family 30 answered</t>
        </is>
      </c>
    </row>
    <row r="15" ht="119" customHeight="1">
      <c r="A15" s="167" t="inlineStr">
        <is>
          <t>RC-050</t>
        </is>
      </c>
      <c r="B15" s="111" t="inlineStr">
        <is>
          <t>Data Operations &amp; Digitization</t>
        </is>
      </c>
      <c r="C15" s="111" t="inlineStr">
        <is>
          <t>Document Conversion, Formatting &amp; Web Publishing</t>
        </is>
      </c>
      <c r="D15" s="143" t="inlineStr">
        <is>
          <t>B2</t>
        </is>
      </c>
      <c r="E15" s="21" t="inlineStr">
        <is>
          <t>Manager</t>
        </is>
      </c>
      <c r="F15" s="111" t="inlineStr">
        <is>
          <t>Manager</t>
        </is>
      </c>
      <c r="G15" s="111" t="inlineStr">
        <is>
          <t>Digitization Manager</t>
        </is>
      </c>
      <c r="H15" s="112" t="n">
        <v>2</v>
      </c>
      <c r="I15" s="111" t="inlineStr">
        <is>
          <t>CARBON 1 · Consume 1</t>
        </is>
      </c>
      <c r="J15" s="157" t="n">
        <v>1</v>
      </c>
      <c r="K15" s="115" t="inlineStr">
        <is>
          <t>Shraddha Patil</t>
        </is>
      </c>
      <c r="L15" s="115" t="inlineStr">
        <is>
          <t>Digitizing</t>
        </is>
      </c>
      <c r="M15" s="118" t="inlineStr">
        <is>
          <r>
            <rPr>
              <rFont val="Calibri"/>
              <sz val="10"/>
            </rPr>
            <t xml:space="preserve">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t>
          </r>
        </is>
      </c>
      <c r="N15" s="159" t="inlineStr">
        <is>
          <r>
            <rPr>
              <rFont val="Calibri"/>
              <sz val="10"/>
            </rPr>
            <t xml:space="preserve">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t>
          </r>
        </is>
      </c>
      <c r="O15" s="159" t="inlineStr">
        <is>
          <r>
            <rPr>
              <rFont val="Calibri"/>
              <sz val="10"/>
            </rPr>
            <t xml:space="preserve">One team or a client portfolio
</t>
          </r>
          <r>
            <rPr>
              <rFont val="Calibri"/>
              <b val="1"/>
              <sz val="10"/>
            </rPr>
            <t>Common themes in sub-family holders, all levels' answers:</t>
          </r>
          <r>
            <rPr>
              <rFont val="Calibri"/>
              <sz val="10"/>
            </rPr>
            <t xml:space="preserve"> html · pdf · word · deliver · formatted · documents</t>
          </r>
        </is>
      </c>
      <c r="P15" s="159" t="inlineStr">
        <is>
          <r>
            <rPr>
              <rFont val="Calibri"/>
              <sz val="10"/>
            </rPr>
            <t xml:space="preserve">One team or a client portfolio
</t>
          </r>
          <r>
            <rPr>
              <rFont val="Calibri"/>
              <b val="1"/>
              <sz val="10"/>
            </rPr>
            <t>Common themes in sub-family holders, all levels' answers:</t>
          </r>
          <r>
            <rPr>
              <rFont val="Calibri"/>
              <sz val="10"/>
            </rPr>
            <t xml:space="preserve"> am · accountable · accuracy · quality · every · formatting</t>
          </r>
        </is>
      </c>
      <c r="Q15" s="159" t="inlineStr">
        <is>
          <r>
            <rPr>
              <rFont val="Calibri"/>
              <sz val="10"/>
            </rPr>
            <t xml:space="preserve">Allocates people and sets team priorities
</t>
          </r>
          <r>
            <rPr>
              <rFont val="Calibri"/>
              <b val="1"/>
              <sz val="10"/>
            </rPr>
            <t>Common themes in sub-family holders, all levels' answers:</t>
          </r>
          <r>
            <rPr>
              <rFont val="Calibri"/>
              <sz val="10"/>
            </rPr>
            <t xml:space="preserve"> formatting · independently · html · validate · allocate · cipc</t>
          </r>
        </is>
      </c>
      <c r="R15" s="159" t="inlineStr">
        <is>
          <t>—</t>
        </is>
      </c>
      <c r="S15" s="159" t="inlineStr">
        <is>
          <t>OCR/Image procesing · attention to detail · quality checking · Excel · timely delivery · HTML · Word · ABYYY Fine Reader</t>
        </is>
      </c>
      <c r="T15" s="159" t="inlineStr">
        <is>
          <t>Excel · Office 365 word · Carbon applications · Abby FineReader · Web Expression HTML editor · DM · HTML Editor · US DM - Carbon</t>
        </is>
      </c>
      <c r="U15" s="119" t="inlineStr">
        <is>
          <t>Deep domain expertise, or one team</t>
        </is>
      </c>
      <c r="V15" s="160" t="inlineStr">
        <is>
          <t>Hardest problems in the domain</t>
        </is>
      </c>
      <c r="W15" s="160" t="inlineStr">
        <is>
          <t>Allocates people and sets team priorities</t>
        </is>
      </c>
      <c r="X15" s="160" t="inlineStr">
        <is>
          <t>One team or a client portfolio</t>
        </is>
      </c>
      <c r="Y15" s="160" t="inlineStr">
        <is>
          <r>
            <rPr>
              <rFont val="Calibri"/>
              <b val="1"/>
              <sz val="10"/>
            </rPr>
            <t>IC:</t>
          </r>
          <r>
            <rPr>
              <rFont val="Calibri"/>
              <sz val="10"/>
            </rPr>
            <t xml:space="preserve"> guides others in the domain · People: manages a team of 6+</t>
          </r>
        </is>
      </c>
      <c r="Z15" s="160" t="inlineStr">
        <is>
          <t>6–9 yrs</t>
        </is>
      </c>
      <c r="AA15" s="160" t="inlineStr">
        <is>
          <t>Graduate or postgraduate; professional qualification preferred</t>
        </is>
      </c>
      <c r="AB15" s="160" t="inlineStr">
        <is>
          <t>MOS Excel · optional; Lean / Six Sigma · optional</t>
        </is>
      </c>
      <c r="AC15" s="160" t="inlineStr">
        <is>
          <r>
            <rPr>
              <rFont val="Calibri"/>
              <b val="1"/>
              <sz val="10"/>
            </rPr>
            <t>IC:</t>
          </r>
          <r>
            <rPr>
              <rFont val="Calibri"/>
              <sz val="10"/>
            </rPr>
            <t xml:space="preserve"> none · People: 6–8 knowledge work, 8–12 standardised delivery</t>
          </r>
        </is>
      </c>
      <c r="AD15" s="121" t="inlineStr">
        <is>
          <t>Core 3 · Future-ready 3 · Functional 4 · Leadership 3</t>
        </is>
      </c>
      <c r="AE15" s="122" t="inlineStr">
        <is>
          <t>Advanced Excel &amp; Productivity Tools · Process Improvement &amp; Quality Mindset</t>
        </is>
      </c>
      <c r="AF15" s="122" t="inlineStr">
        <is>
          <t>Regulatory &amp; BFSI Domain · XBRL, iXBRL &amp; Taxonomy · AI, GenAI &amp; Prompt Engineering · Time, Priority &amp; Self-Management</t>
        </is>
      </c>
      <c r="AG15" s="168" t="inlineStr">
        <is>
          <t>P4 / M3</t>
        </is>
      </c>
      <c r="AH15" s="128" t="inlineStr">
        <is>
          <t>4–5</t>
        </is>
      </c>
      <c r="AI15" s="169" t="inlineStr">
        <is>
          <r>
            <rPr>
              <rFont val="Calibri"/>
              <b val="1"/>
              <sz val="10"/>
            </rPr>
            <t>Accenture Operations:</t>
          </r>
          <r>
            <rPr>
              <rFont val="Calibri"/>
              <sz val="10"/>
            </rPr>
            <t xml:space="preserve"> L8 Associate Manager · IRIS Vs Competitor Benchmark — operations roles: Operations Manager</t>
          </r>
        </is>
      </c>
      <c r="AJ15" s="169" t="inlineStr">
        <is>
          <t>COPC CX Standard · leadership &amp; planning, people, processes, performance; ISO 9001; Lean / Six Sigma</t>
        </is>
      </c>
      <c r="AK15" s="169" t="inlineStr">
        <is>
          <t>B3 · Lead Specialist</t>
        </is>
      </c>
      <c r="AL15" s="129" t="inlineStr">
        <is>
          <t>Product &amp; tool knowledge · Communication &amp; presentation · Certification / formal course · Strategy &amp; business acumen</t>
        </is>
      </c>
      <c r="AM15" s="130" t="inlineStr">
        <is>
          <t>—</t>
        </is>
      </c>
      <c r="AN15" s="130" t="inlineStr">
        <is>
          <t>Mentoring / guidance from seniors · Formal / classroom training · On-the-job / hands-on</t>
        </is>
      </c>
      <c r="AO15" s="130" t="inlineStr">
        <is>
          <t>issues · requirements · server · client · document</t>
        </is>
      </c>
      <c r="AP15" s="130" t="inlineStr">
        <is>
          <t>improve · reduce · efficiency · better · automation</t>
        </is>
      </c>
      <c r="AQ15" s="130" t="inlineStr">
        <is>
          <t>19 of 30 say the role is changing because of AI / automation</t>
        </is>
      </c>
      <c r="AR15" s="131" t="inlineStr">
        <is>
          <t>Produce trustworthy structured content and data. Includes: Document production, financial-data sourcing, validation and stewardship. Excludes: Corporate reporting; BI insight; software data-pipeline engineering.</t>
        </is>
      </c>
      <c r="AS15" s="132" t="inlineStr">
        <is>
          <t>LD08-1 · Data Operations Manager</t>
        </is>
      </c>
      <c r="AT15" s="132" t="inlineStr">
        <is>
          <t>Own staffing decisions, performance support, service quality and delegated team resources</t>
        </is>
      </c>
      <c r="AU15" s="132" t="inlineStr">
        <is>
          <t>Do not manufacture three reporting layers. Choose roles the organisation needs. A specialist may remain on an equally valued expert path.</t>
        </is>
      </c>
      <c r="AV15" s="132" t="inlineStr">
        <is>
          <t>—</t>
        </is>
      </c>
      <c r="AW15" s="132" t="inlineStr">
        <is>
          <t>—</t>
        </is>
      </c>
      <c r="AX15" s="171" t="inlineStr">
        <is>
          <t>Framework + sub-family themes · 3+ answered</t>
        </is>
      </c>
      <c r="AY15" s="134" t="inlineStr">
        <is>
          <t>2 holders, 2 answered the survey; sub-family 30 answered</t>
        </is>
      </c>
    </row>
    <row r="16">
      <c r="A16" s="155" t="inlineStr">
        <is>
          <t>Engineering &amp; Development</t>
        </is>
      </c>
    </row>
    <row r="17" ht="145" customHeight="1">
      <c r="A17" s="167" t="inlineStr">
        <is>
          <t>RC-062</t>
        </is>
      </c>
      <c r="B17" s="111" t="inlineStr">
        <is>
          <t>Engineering &amp; Development</t>
        </is>
      </c>
      <c r="C17" s="111" t="inlineStr">
        <is>
          <t>Application Maintenance &amp; Production Support</t>
        </is>
      </c>
      <c r="D17" s="141" t="inlineStr">
        <is>
          <t>A3</t>
        </is>
      </c>
      <c r="E17" s="139" t="inlineStr">
        <is>
          <t>Senior Associate</t>
        </is>
      </c>
      <c r="F17" s="111" t="inlineStr">
        <is>
          <t>IC</t>
        </is>
      </c>
      <c r="G17" s="111" t="inlineStr">
        <is>
          <t>Senior Software Engineer · Technical Specialist</t>
        </is>
      </c>
      <c r="H17" s="112" t="n">
        <v>4</v>
      </c>
      <c r="I17" s="111" t="inlineStr">
        <is>
          <t>CARBON 2 · Consume 2</t>
        </is>
      </c>
      <c r="J17" s="157" t="n">
        <v>2</v>
      </c>
      <c r="K17" s="115" t="inlineStr">
        <is>
          <t>Safal Gupta, Sharad Mane</t>
        </is>
      </c>
      <c r="L17" s="115" t="inlineStr">
        <is>
          <t>Technology</t>
        </is>
      </c>
      <c r="M17" s="118" t="inlineStr">
        <is>
          <r>
            <rPr>
              <rFont val="Calibri"/>
              <sz val="10"/>
            </rPr>
            <t xml:space="preserve">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t>
          </r>
        </is>
      </c>
      <c r="N17" s="159" t="inlineStr">
        <is>
          <r>
            <rPr>
              <rFont val="Calibri"/>
              <sz val="10"/>
            </rPr>
            <t xml:space="preserve">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t>
          </r>
        </is>
      </c>
      <c r="O17" s="159" t="inlineStr">
        <is>
          <t>A module / process, or work with client or regulatory consequences</t>
        </is>
      </c>
      <c r="P17" s="15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personally · testing · features · am · performance</t>
          </r>
        </is>
      </c>
      <c r="Q17" s="159" t="inlineStr">
        <is>
          <r>
            <rPr>
              <rFont val="Calibri"/>
              <sz val="10"/>
            </rPr>
            <t xml:space="preserve">Technical / QC / client calls on own work
</t>
          </r>
          <r>
            <rPr>
              <rFont val="Calibri"/>
              <b val="1"/>
              <sz val="10"/>
            </rPr>
            <t>Common themes in role-holders' answers:</t>
          </r>
          <r>
            <rPr>
              <rFont val="Calibri"/>
              <sz val="10"/>
            </rPr>
            <t xml:space="preserve"> code · fixes · implementation · technical</t>
          </r>
        </is>
      </c>
      <c r="R17" s="159" t="inlineStr">
        <is>
          <r>
            <rPr>
              <rFont val="Calibri"/>
              <b val="1"/>
              <sz val="10"/>
            </rPr>
            <t>Common themes in manager-set KRAs:</t>
          </r>
          <r>
            <rPr>
              <rFont val="Calibri"/>
              <sz val="10"/>
            </rPr>
            <t xml:space="preserve"> considering critical · stories considering · leakage qa/uat · production support · live production · responsibilities</t>
          </r>
        </is>
      </c>
      <c r="S17" s="159" t="inlineStr">
        <is>
          <t>NET MVC</t>
        </is>
      </c>
      <c r="T17" s="159" t="inlineStr">
        <is>
          <t>Postman · IIS</t>
        </is>
      </c>
      <c r="U17" s="119" t="inlineStr">
        <is>
          <t>Varied work; reviews juniors; go-to for a process</t>
        </is>
      </c>
      <c r="V17" s="160" t="inlineStr">
        <is>
          <t>Varied and non-standard work; handles exceptions</t>
        </is>
      </c>
      <c r="W17" s="160" t="inlineStr">
        <is>
          <t>Technical / QC / client calls on own work</t>
        </is>
      </c>
      <c r="X17" s="160" t="inlineStr">
        <is>
          <t>A module / process, or work with client or regulatory consequences</t>
        </is>
      </c>
      <c r="Y17" s="160" t="inlineStr">
        <is>
          <t>Not scored in Band A</t>
        </is>
      </c>
      <c r="Z17" s="160" t="inlineStr">
        <is>
          <t>2–4 yrs</t>
        </is>
      </c>
      <c r="AA17" s="160" t="inlineStr">
        <is>
          <t>Graduate; relevant certification preferred</t>
        </is>
      </c>
      <c r="AB17" s="160" t="inlineStr">
        <is>
          <t>Cloud / language certifications · optional; AWS / Azure architect · optional</t>
        </is>
      </c>
      <c r="AC17" s="160" t="inlineStr">
        <is>
          <t>None · guides 1–3 juniors informally</t>
        </is>
      </c>
      <c r="AD17" s="121" t="inlineStr">
        <is>
          <t>Core 2 · Future-ready 2 · Functional 3 · Leadership —</t>
        </is>
      </c>
      <c r="AE17" s="122" t="inlineStr">
        <is>
          <t>Programming &amp; Tech-Stack Depth · System Design &amp; Architecture</t>
        </is>
      </c>
      <c r="AF17" s="122" t="inlineStr">
        <is>
          <t>Database, SQL &amp; Data Engineering · Cloud, DevOps &amp; CI/CD · AI, GenAI &amp; Prompt Engineering · Product, Platform &amp; Domain Knowledge</t>
        </is>
      </c>
      <c r="AG17" s="168" t="inlineStr">
        <is>
          <t>P2</t>
        </is>
      </c>
      <c r="AH17" s="128" t="inlineStr">
        <is>
          <t>3 Apply</t>
        </is>
      </c>
      <c r="AI17" s="169" t="inlineStr">
        <is>
          <r>
            <rPr>
              <rFont val="Calibri"/>
              <b val="1"/>
              <sz val="10"/>
            </rPr>
            <t>Workiva:</t>
          </r>
          <r>
            <rPr>
              <rFont val="Calibri"/>
              <sz val="10"/>
            </rPr>
            <t xml:space="preserve"> SE · Broadridge India: SE · Nasdaq / AxiomSL: SE · Salesforce: MTS</t>
          </r>
        </is>
      </c>
      <c r="AJ17" s="169" t="inlineStr">
        <is>
          <t>SFIA 9 · software development, programming; OWASP secure coding; cloud vendor certifications</t>
        </is>
      </c>
      <c r="AK17" s="169" t="inlineStr">
        <is>
          <t>B1 · Specialist</t>
        </is>
      </c>
      <c r="AL17" s="129" t="inlineStr">
        <is>
          <t>Leadership &amp; people management · Technical depth &amp; architecture · Broader exposure &amp; ownership · Project / programme management · AI / automation</t>
        </is>
      </c>
      <c r="AM17" s="130"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17" s="130" t="inlineStr">
        <is>
          <t>Mentoring / guidance from seniors · On-the-job / hands-on · Online courses / self-learning · Formal / classroom training</t>
        </is>
      </c>
      <c r="AO17" s="130" t="inlineStr">
        <is>
          <t>changing · requirements · issues</t>
        </is>
      </c>
      <c r="AP17" s="130" t="inlineStr">
        <is>
          <t>clearer · requirements · documentation · better</t>
        </is>
      </c>
      <c r="AQ17" s="130" t="inlineStr">
        <is>
          <t>3 of 4 say the role is changing because of AI / automation</t>
        </is>
      </c>
      <c r="AR17" s="131" t="inlineStr">
        <is>
          <t>Build and operate software capabilities. Includes: Application code, data/ML engineering and product reliability. Excludes: Product investment decisions; internal IT service desk.</t>
        </is>
      </c>
      <c r="AS17" s="132" t="inlineStr">
        <is>
          <t>ENG06-2 · Application Maintenance Engineer</t>
        </is>
      </c>
      <c r="AT17" s="132" t="inlineStr">
        <is>
          <t>Resolve defects with regression evidence and controlled changes.</t>
        </is>
      </c>
      <c r="AU17" s="132" t="inlineStr">
        <is>
          <t>Demonstrate routine delivery plus judgement in bounded exceptions.</t>
        </is>
      </c>
      <c r="AV17" s="132" t="inlineStr">
        <is>
          <t>An incident diagnosis and permanent remediation with rollback and recurrence measures</t>
        </is>
      </c>
      <c r="AW17" s="132"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X17" s="170" t="inlineStr">
        <is>
          <t>Framework + role-holders' themes · 3+ answered</t>
        </is>
      </c>
      <c r="AY17" s="134" t="inlineStr">
        <is>
          <t>4 holders, 4 answered the survey; sub-family 6 answered</t>
        </is>
      </c>
    </row>
    <row r="18" ht="145" customHeight="1">
      <c r="A18" s="167" t="inlineStr">
        <is>
          <t>RC-063</t>
        </is>
      </c>
      <c r="B18" s="111" t="inlineStr">
        <is>
          <t>Engineering &amp; Development</t>
        </is>
      </c>
      <c r="C18" s="111" t="inlineStr">
        <is>
          <t>Application Maintenance &amp; Production Support</t>
        </is>
      </c>
      <c r="D18" s="143" t="inlineStr">
        <is>
          <t>B1</t>
        </is>
      </c>
      <c r="E18" s="21" t="inlineStr">
        <is>
          <t>Specialist</t>
        </is>
      </c>
      <c r="F18" s="111" t="inlineStr">
        <is>
          <t>IC</t>
        </is>
      </c>
      <c r="G18" s="111" t="inlineStr">
        <is>
          <t>Technical Specialist</t>
        </is>
      </c>
      <c r="H18" s="112" t="n">
        <v>1</v>
      </c>
      <c r="I18" s="111" t="inlineStr">
        <is>
          <t>Consume 1</t>
        </is>
      </c>
      <c r="J18" s="157" t="n">
        <v>1</v>
      </c>
      <c r="K18" s="115" t="inlineStr">
        <is>
          <t>Waqar Tarique</t>
        </is>
      </c>
      <c r="L18" s="115" t="inlineStr">
        <is>
          <t>Technology</t>
        </is>
      </c>
      <c r="M18" s="118" t="inlineStr">
        <is>
          <r>
            <rPr>
              <rFont val="Calibri"/>
              <sz val="10"/>
            </rPr>
            <t xml:space="preserve">Keeps live applications/portals running — production fixes, patches, small enhancements, CRs. At B1: a domain / module, or a small team.
</t>
          </r>
          <r>
            <rPr>
              <rFont val="Calibri"/>
              <b val="1"/>
              <sz val="10"/>
            </rPr>
            <t>Common themes in sub-family holders, all levels' answers:</t>
          </r>
          <r>
            <rPr>
              <rFont val="Calibri"/>
              <sz val="10"/>
            </rPr>
            <t xml:space="preserve"> maintain · reliable · business · requirements · developer · rbi</t>
          </r>
        </is>
      </c>
      <c r="N18" s="159" t="inlineStr">
        <is>
          <r>
            <rPr>
              <rFont val="Calibri"/>
              <sz val="10"/>
            </rPr>
            <t xml:space="preserve">Keeps live applications/portals running — production fixes, patches, small enhancements, CRs; Domain specialist work; A domain or a small team
</t>
          </r>
          <r>
            <rPr>
              <rFont val="Calibri"/>
              <b val="1"/>
              <sz val="10"/>
            </rPr>
            <t>Common themes in sub-family holders, all levels' answers:</t>
          </r>
          <r>
            <rPr>
              <rFont val="Calibri"/>
              <sz val="10"/>
            </rPr>
            <t xml:space="preserve"> development · support · maintenance · code · bug fixing · feature</t>
          </r>
        </is>
      </c>
      <c r="O18" s="159" t="inlineStr">
        <is>
          <r>
            <rPr>
              <rFont val="Calibri"/>
              <sz val="10"/>
            </rPr>
            <t xml:space="preserve">A domain or a small team
</t>
          </r>
          <r>
            <rPr>
              <rFont val="Calibri"/>
              <b val="1"/>
              <sz val="10"/>
            </rPr>
            <t>Common themes in sub-family holders, all levels' answers:</t>
          </r>
          <r>
            <rPr>
              <rFont val="Calibri"/>
              <sz val="10"/>
            </rPr>
            <t xml:space="preserve"> maintenance · rbi</t>
          </r>
        </is>
      </c>
      <c r="P18" s="159" t="inlineStr">
        <is>
          <r>
            <rPr>
              <rFont val="Calibri"/>
              <sz val="10"/>
            </rPr>
            <t xml:space="preserve">A domain or a small team
</t>
          </r>
          <r>
            <rPr>
              <rFont val="Calibri"/>
              <b val="1"/>
              <sz val="10"/>
            </rPr>
            <t>Common themes in sub-family holders, all levels' answers:</t>
          </r>
          <r>
            <rPr>
              <rFont val="Calibri"/>
              <sz val="10"/>
            </rPr>
            <t xml:space="preserve"> accountable · personally · testing · features · am · performance</t>
          </r>
        </is>
      </c>
      <c r="Q18" s="159" t="inlineStr">
        <is>
          <r>
            <rPr>
              <rFont val="Calibri"/>
              <sz val="10"/>
            </rPr>
            <t xml:space="preserve">Technical / QC / client calls for the domain
</t>
          </r>
          <r>
            <rPr>
              <rFont val="Calibri"/>
              <b val="1"/>
              <sz val="10"/>
            </rPr>
            <t>Common themes in sub-family holders, all levels' answers:</t>
          </r>
          <r>
            <rPr>
              <rFont val="Calibri"/>
              <sz val="10"/>
            </rPr>
            <t xml:space="preserve"> code · technical · fixes · implementation · issues</t>
          </r>
        </is>
      </c>
      <c r="R18" s="159" t="inlineStr">
        <is>
          <t>—</t>
        </is>
      </c>
      <c r="S18" s="159" t="inlineStr">
        <is>
          <t>NET MVC</t>
        </is>
      </c>
      <c r="T18" s="159" t="inlineStr">
        <is>
          <t>Postman · IIS</t>
        </is>
      </c>
      <c r="U18" s="119" t="inlineStr">
        <is>
          <t>A domain / module, or a small team</t>
        </is>
      </c>
      <c r="V18" s="160" t="inlineStr">
        <is>
          <t>Domain specialist work</t>
        </is>
      </c>
      <c r="W18" s="160" t="inlineStr">
        <is>
          <t>Technical / QC / client calls for the domain</t>
        </is>
      </c>
      <c r="X18" s="160" t="inlineStr">
        <is>
          <t>A domain or a small team</t>
        </is>
      </c>
      <c r="Y18" s="160" t="inlineStr">
        <is>
          <r>
            <rPr>
              <rFont val="Calibri"/>
              <b val="1"/>
              <sz val="10"/>
            </rPr>
            <t>IC:</t>
          </r>
          <r>
            <rPr>
              <rFont val="Calibri"/>
              <sz val="10"/>
            </rPr>
            <t xml:space="preserve"> mentors and reviews · People: hands-on team lead of 3–5</t>
          </r>
        </is>
      </c>
      <c r="Z18" s="160" t="inlineStr">
        <is>
          <t>4–7 yrs</t>
        </is>
      </c>
      <c r="AA18" s="160" t="inlineStr">
        <is>
          <t>Graduate + relevant qualification or certification preferred</t>
        </is>
      </c>
      <c r="AB18" s="160" t="inlineStr">
        <is>
          <t>Cloud / language certifications · optional; AWS / Azure architect · optional</t>
        </is>
      </c>
      <c r="AC18" s="160" t="inlineStr">
        <is>
          <r>
            <rPr>
              <rFont val="Calibri"/>
              <b val="1"/>
              <sz val="10"/>
            </rPr>
            <t>IC:</t>
          </r>
          <r>
            <rPr>
              <rFont val="Calibri"/>
              <sz val="10"/>
            </rPr>
            <t xml:space="preserve"> none · Team Lead: 3–5</t>
          </r>
        </is>
      </c>
      <c r="AD18" s="121" t="inlineStr">
        <is>
          <t>Core 3 · Future-ready 3 · Functional 3 · Leadership 1</t>
        </is>
      </c>
      <c r="AE18" s="122" t="inlineStr">
        <is>
          <t>Programming &amp; Tech-Stack Depth · System Design &amp; Architecture</t>
        </is>
      </c>
      <c r="AF18" s="122" t="inlineStr">
        <is>
          <t>Database, SQL &amp; Data Engineering · Cloud, DevOps &amp; CI/CD · AI, GenAI &amp; Prompt Engineering · Product, Platform &amp; Domain Knowledge</t>
        </is>
      </c>
      <c r="AG18" s="168" t="inlineStr">
        <is>
          <t>P3 / M2</t>
        </is>
      </c>
      <c r="AH18" s="128" t="inlineStr">
        <is>
          <t>4 Enable</t>
        </is>
      </c>
      <c r="AI18" s="169" t="inlineStr">
        <is>
          <r>
            <rPr>
              <rFont val="Calibri"/>
              <b val="1"/>
              <sz val="10"/>
            </rPr>
            <t>Workiva:</t>
          </r>
          <r>
            <rPr>
              <rFont val="Calibri"/>
              <sz val="10"/>
            </rPr>
            <t xml:space="preserve"> SE / Senior SE · Broadridge India: Senior SE · Nasdaq / AxiomSL: Senior SE · Salesforce: MTS</t>
          </r>
        </is>
      </c>
      <c r="AJ18" s="169" t="inlineStr">
        <is>
          <t>SFIA 9 · software development, programming; OWASP secure coding; cloud vendor certifications</t>
        </is>
      </c>
      <c r="AK18" s="169" t="inlineStr">
        <is>
          <t>B2 · Senior Specialist</t>
        </is>
      </c>
      <c r="AL18" s="129" t="inlineStr">
        <is>
          <t>Broader exposure &amp; ownership</t>
        </is>
      </c>
      <c r="AM18" s="130"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18" s="130" t="inlineStr">
        <is>
          <t>Mentoring / guidance from seniors · On-the-job / hands-on · Online courses / self-learning · Formal / classroom training</t>
        </is>
      </c>
      <c r="AO18" s="130" t="inlineStr">
        <is>
          <t>changing · requirements · issues · priorities</t>
        </is>
      </c>
      <c r="AP18" s="130" t="inlineStr">
        <is>
          <t>clearer · requirements · documentation · better · development</t>
        </is>
      </c>
      <c r="AQ18" s="130" t="inlineStr">
        <is>
          <t>4 of 6 say the role is changing because of AI / automation</t>
        </is>
      </c>
      <c r="AR18" s="131" t="inlineStr">
        <is>
          <t>Build and operate software capabilities. Includes: Application code, data/ML engineering and product reliability. Excludes: Product investment decisions; internal IT service desk.</t>
        </is>
      </c>
      <c r="AS18" s="132" t="inlineStr">
        <is>
          <t>ENG06-3 · Senior Application Maintenance Engineer</t>
        </is>
      </c>
      <c r="AT18" s="132" t="inlineStr">
        <is>
          <t>Own root-cause removal and safe modernisation of a legacy component.</t>
        </is>
      </c>
      <c r="AU18" s="132" t="inlineStr">
        <is>
          <t>Evidence of complex work, decisions and outcomes beyond routine delivery.</t>
        </is>
      </c>
      <c r="AV18" s="132" t="inlineStr">
        <is>
          <t>An incident diagnosis and permanent remediation with rollback and recurrence measures</t>
        </is>
      </c>
      <c r="AW18" s="132"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X18" s="171" t="inlineStr">
        <is>
          <t>Framework + sub-family themes · 3+ answered</t>
        </is>
      </c>
      <c r="AY18" s="134" t="inlineStr">
        <is>
          <t>1 holder, 1 answered the survey; sub-family 6 answered</t>
        </is>
      </c>
    </row>
    <row r="19" ht="145" customHeight="1">
      <c r="A19" s="167" t="inlineStr">
        <is>
          <t>RC-064</t>
        </is>
      </c>
      <c r="B19" s="111" t="inlineStr">
        <is>
          <t>Engineering &amp; Development</t>
        </is>
      </c>
      <c r="C19" s="111" t="inlineStr">
        <is>
          <t>Application Maintenance &amp; Production Support</t>
        </is>
      </c>
      <c r="D19" s="143" t="inlineStr">
        <is>
          <t>B3</t>
        </is>
      </c>
      <c r="E19" s="21" t="inlineStr">
        <is>
          <t>Lead Specialist</t>
        </is>
      </c>
      <c r="F19" s="111" t="inlineStr">
        <is>
          <t>IC</t>
        </is>
      </c>
      <c r="G19" s="111" t="inlineStr">
        <is>
          <t>Lead Software Engineer</t>
        </is>
      </c>
      <c r="H19" s="112" t="n">
        <v>1</v>
      </c>
      <c r="I19" s="111" t="inlineStr">
        <is>
          <t>Consume 1</t>
        </is>
      </c>
      <c r="J19" s="157" t="n">
        <v>1</v>
      </c>
      <c r="K19" s="115" t="inlineStr">
        <is>
          <t>Nishant Kohakade</t>
        </is>
      </c>
      <c r="L19" s="115" t="inlineStr">
        <is>
          <t>Technology</t>
        </is>
      </c>
      <c r="M19" s="118" t="inlineStr">
        <is>
          <r>
            <rPr>
              <rFont val="Calibri"/>
              <sz val="10"/>
            </rPr>
            <t xml:space="preserve">Keeps live applications/portals running — production fixes, patches, small enhancements, CRs. At B3: a practice, or several teams through team leads.
</t>
          </r>
          <r>
            <rPr>
              <rFont val="Calibri"/>
              <b val="1"/>
              <sz val="10"/>
            </rPr>
            <t>Common themes in sub-family holders, all levels' answers:</t>
          </r>
          <r>
            <rPr>
              <rFont val="Calibri"/>
              <sz val="10"/>
            </rPr>
            <t xml:space="preserve"> maintain · reliable · business · requirements · developer · rbi</t>
          </r>
        </is>
      </c>
      <c r="N19" s="159" t="inlineStr">
        <is>
          <r>
            <rPr>
              <rFont val="Calibri"/>
              <sz val="10"/>
            </rPr>
            <t xml:space="preserve">Keeps live applications/portals running — production fixes, patches, small enhancements, CRs; Sets standards for a practice; cross-team problems; Several teams or a practice
</t>
          </r>
          <r>
            <rPr>
              <rFont val="Calibri"/>
              <b val="1"/>
              <sz val="10"/>
            </rPr>
            <t>Common themes in sub-family holders, all levels' answers:</t>
          </r>
          <r>
            <rPr>
              <rFont val="Calibri"/>
              <sz val="10"/>
            </rPr>
            <t xml:space="preserve"> development · support · maintenance · code · bug fixing · feature</t>
          </r>
        </is>
      </c>
      <c r="O19" s="159" t="inlineStr">
        <is>
          <r>
            <rPr>
              <rFont val="Calibri"/>
              <sz val="10"/>
            </rPr>
            <t xml:space="preserve">Several teams or a practice
</t>
          </r>
          <r>
            <rPr>
              <rFont val="Calibri"/>
              <b val="1"/>
              <sz val="10"/>
            </rPr>
            <t>Common themes in sub-family holders, all levels' answers:</t>
          </r>
          <r>
            <rPr>
              <rFont val="Calibri"/>
              <sz val="10"/>
            </rPr>
            <t xml:space="preserve"> maintenance · rbi</t>
          </r>
        </is>
      </c>
      <c r="P19" s="159" t="inlineStr">
        <is>
          <r>
            <rPr>
              <rFont val="Calibri"/>
              <sz val="10"/>
            </rPr>
            <t xml:space="preserve">Several teams or a practice
</t>
          </r>
          <r>
            <rPr>
              <rFont val="Calibri"/>
              <b val="1"/>
              <sz val="10"/>
            </rPr>
            <t>Common themes in sub-family holders, all levels' answers:</t>
          </r>
          <r>
            <rPr>
              <rFont val="Calibri"/>
              <sz val="10"/>
            </rPr>
            <t xml:space="preserve"> accountable · personally · testing · features · am · performance</t>
          </r>
        </is>
      </c>
      <c r="Q19" s="159" t="inlineStr">
        <is>
          <r>
            <rPr>
              <rFont val="Calibri"/>
              <sz val="10"/>
            </rPr>
            <t xml:space="preserve">Commercial / strategic calls for the unit
</t>
          </r>
          <r>
            <rPr>
              <rFont val="Calibri"/>
              <b val="1"/>
              <sz val="10"/>
            </rPr>
            <t>Common themes in sub-family holders, all levels' answers:</t>
          </r>
          <r>
            <rPr>
              <rFont val="Calibri"/>
              <sz val="10"/>
            </rPr>
            <t xml:space="preserve"> code · technical · fixes · implementation · issues</t>
          </r>
        </is>
      </c>
      <c r="R19" s="159" t="inlineStr">
        <is>
          <t>—</t>
        </is>
      </c>
      <c r="S19" s="159" t="inlineStr">
        <is>
          <t>NET MVC</t>
        </is>
      </c>
      <c r="T19" s="159" t="inlineStr">
        <is>
          <t>Postman · IIS</t>
        </is>
      </c>
      <c r="U19" s="119" t="inlineStr">
        <is>
          <t>A practice, or several teams through team leads</t>
        </is>
      </c>
      <c r="V19" s="160" t="inlineStr">
        <is>
          <t>Sets standards for a practice; cross-team problems</t>
        </is>
      </c>
      <c r="W19" s="160" t="inlineStr">
        <is>
          <t>Commercial / strategic calls for the unit</t>
        </is>
      </c>
      <c r="X19" s="160" t="inlineStr">
        <is>
          <t>Several teams or a practice</t>
        </is>
      </c>
      <c r="Y19" s="160" t="inlineStr">
        <is>
          <r>
            <rPr>
              <rFont val="Calibri"/>
              <b val="1"/>
              <sz val="10"/>
            </rPr>
            <t>IC:</t>
          </r>
          <r>
            <rPr>
              <rFont val="Calibri"/>
              <sz val="10"/>
            </rPr>
            <t xml:space="preserve"> leads a practice · People: team leads / managers report in</t>
          </r>
        </is>
      </c>
      <c r="Z19" s="160" t="inlineStr">
        <is>
          <t>8–12 yrs</t>
        </is>
      </c>
      <c r="AA19" s="160" t="inlineStr">
        <is>
          <t>Postgraduate or professional qualification preferred</t>
        </is>
      </c>
      <c r="AB19" s="160" t="inlineStr">
        <is>
          <t>Cloud / language certifications · optional; AWS / Azure architect · optional</t>
        </is>
      </c>
      <c r="AC19" s="160" t="inlineStr">
        <is>
          <r>
            <rPr>
              <rFont val="Calibri"/>
              <b val="1"/>
              <sz val="10"/>
            </rPr>
            <t>IC:</t>
          </r>
          <r>
            <rPr>
              <rFont val="Calibri"/>
              <sz val="10"/>
            </rPr>
            <t xml:space="preserve"> none · People: 5–8 incl. team leads</t>
          </r>
        </is>
      </c>
      <c r="AD19" s="121" t="inlineStr">
        <is>
          <t>Core 4 · Future-ready 3 · Functional 4 · Leadership 3</t>
        </is>
      </c>
      <c r="AE19" s="122" t="inlineStr">
        <is>
          <t>Programming &amp; Tech-Stack Depth · System Design &amp; Architecture</t>
        </is>
      </c>
      <c r="AF19" s="122" t="inlineStr">
        <is>
          <t>Database, SQL &amp; Data Engineering · Cloud, DevOps &amp; CI/CD · AI, GenAI &amp; Prompt Engineering · Product, Platform &amp; Domain Knowledge</t>
        </is>
      </c>
      <c r="AG19" s="168" t="inlineStr">
        <is>
          <t>P5 / M4</t>
        </is>
      </c>
      <c r="AH19" s="128" t="inlineStr">
        <is>
          <t>5 Ensure, advise</t>
        </is>
      </c>
      <c r="AI19" s="169" t="inlineStr">
        <is>
          <r>
            <rPr>
              <rFont val="Calibri"/>
              <b val="1"/>
              <sz val="10"/>
            </rPr>
            <t>Workiva:</t>
          </r>
          <r>
            <rPr>
              <rFont val="Calibri"/>
              <sz val="10"/>
            </rPr>
            <t xml:space="preserve"> Staff SE · Broadridge India: Senior Lead SE · Nasdaq / AxiomSL: Lead SE · Salesforce: LMTS</t>
          </r>
        </is>
      </c>
      <c r="AJ19" s="169" t="inlineStr">
        <is>
          <t>SFIA 9 · software development, programming; OWASP secure coding; cloud vendor certifications</t>
        </is>
      </c>
      <c r="AK19" s="169" t="inlineStr">
        <is>
          <t>C1 · Principal · or B+ · Player-Coach transition step if leading people hands-on</t>
        </is>
      </c>
      <c r="AL19" s="129" t="inlineStr">
        <is>
          <t>Leadership &amp; people management · Client, sales &amp; stakeholders</t>
        </is>
      </c>
      <c r="AM19" s="130"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19" s="130" t="inlineStr">
        <is>
          <t>Mentoring / guidance from seniors · On-the-job / hands-on · Online courses / self-learning · Formal / classroom training</t>
        </is>
      </c>
      <c r="AO19" s="130" t="inlineStr">
        <is>
          <t>changing · requirements · issues · priorities</t>
        </is>
      </c>
      <c r="AP19" s="130" t="inlineStr">
        <is>
          <t>clearer · requirements · documentation · better · development</t>
        </is>
      </c>
      <c r="AQ19" s="130" t="inlineStr">
        <is>
          <t>4 of 6 say the role is changing because of AI / automation</t>
        </is>
      </c>
      <c r="AR19" s="131" t="inlineStr">
        <is>
          <t>Build and operate software capabilities. Includes: Application code, data/ML engineering and product reliability. Excludes: Product investment decisions; internal IT service desk.</t>
        </is>
      </c>
      <c r="AS19" s="132" t="inlineStr">
        <is>
          <t>ENG06-4 · Application Modernisation Lead</t>
        </is>
      </c>
      <c r="AT19" s="132" t="inlineStr">
        <is>
          <t>Plan a multi-system modernisation path balancing compatibility and risk.</t>
        </is>
      </c>
      <c r="AU19" s="132" t="inlineStr">
        <is>
          <t>Adoption beyond own work; recurring authority and measurable wider outcomes.</t>
        </is>
      </c>
      <c r="AV19" s="132" t="inlineStr">
        <is>
          <t>An incident diagnosis and permanent remediation with rollback and recurrence measures</t>
        </is>
      </c>
      <c r="AW19" s="132"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X19" s="171" t="inlineStr">
        <is>
          <t>Framework + sub-family themes · 3+ answered</t>
        </is>
      </c>
      <c r="AY19" s="134" t="inlineStr">
        <is>
          <t>1 holder, 1 answered the survey; sub-family 6 answered</t>
        </is>
      </c>
    </row>
    <row r="20">
      <c r="A20" s="155" t="inlineStr">
        <is>
          <t>Project &amp; Program Management</t>
        </is>
      </c>
    </row>
    <row r="21" ht="93" customHeight="1">
      <c r="A21" s="167" t="inlineStr">
        <is>
          <t>RC-136</t>
        </is>
      </c>
      <c r="B21" s="111" t="inlineStr">
        <is>
          <t>Project &amp; Program Management</t>
        </is>
      </c>
      <c r="C21" s="111" t="inlineStr">
        <is>
          <t>Project &amp; Program Delivery</t>
        </is>
      </c>
      <c r="D21" s="143" t="inlineStr">
        <is>
          <t>B2</t>
        </is>
      </c>
      <c r="E21" s="21" t="inlineStr">
        <is>
          <t>Manager</t>
        </is>
      </c>
      <c r="F21" s="111" t="inlineStr">
        <is>
          <t>Manager</t>
        </is>
      </c>
      <c r="G21" s="111" t="inlineStr">
        <is>
          <t>Delivery Manager · Project Manager</t>
        </is>
      </c>
      <c r="H21" s="112" t="n">
        <v>7</v>
      </c>
      <c r="I21" s="111" t="inlineStr">
        <is>
          <t>iFile 6 · Consume 1</t>
        </is>
      </c>
      <c r="J21" s="157" t="n">
        <v>1</v>
      </c>
      <c r="K21" s="115" t="inlineStr">
        <is>
          <t>Zakiruddin Shaikh</t>
        </is>
      </c>
      <c r="L21" s="115" t="inlineStr">
        <is>
          <t>Technology</t>
        </is>
      </c>
      <c r="M21" s="118" t="inlineStr">
        <is>
          <r>
            <rPr>
              <rFont val="Calibri"/>
              <sz val="10"/>
            </rPr>
            <t xml:space="preserve">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t>
          </r>
        </is>
      </c>
      <c r="N21" s="159"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t>
          </r>
        </is>
      </c>
      <c r="O21" s="159" t="inlineStr">
        <is>
          <r>
            <rPr>
              <rFont val="Calibri"/>
              <sz val="10"/>
            </rPr>
            <t xml:space="preserve">One team or a client portfolio
</t>
          </r>
          <r>
            <rPr>
              <rFont val="Calibri"/>
              <b val="1"/>
              <sz val="10"/>
            </rPr>
            <t>Common themes in role-holders' answers:</t>
          </r>
          <r>
            <rPr>
              <rFont val="Calibri"/>
              <sz val="10"/>
            </rPr>
            <t xml:space="preserve"> project</t>
          </r>
        </is>
      </c>
      <c r="P21" s="159" t="inlineStr">
        <is>
          <r>
            <rPr>
              <rFont val="Calibri"/>
              <sz val="10"/>
            </rPr>
            <t xml:space="preserve">One team or a client portfolio
</t>
          </r>
          <r>
            <rPr>
              <rFont val="Calibri"/>
              <b val="1"/>
              <sz val="10"/>
            </rPr>
            <t>Common themes in role-holders' answers:</t>
          </r>
          <r>
            <rPr>
              <rFont val="Calibri"/>
              <sz val="10"/>
            </rPr>
            <t xml:space="preserve"> project · delivery · accountable · deliverables · timelines · scope quality</t>
          </r>
        </is>
      </c>
      <c r="Q21" s="159" t="inlineStr">
        <is>
          <r>
            <rPr>
              <rFont val="Calibri"/>
              <sz val="10"/>
            </rPr>
            <t xml:space="preserve">Allocates people and sets team priorities
</t>
          </r>
          <r>
            <rPr>
              <rFont val="Calibri"/>
              <b val="1"/>
              <sz val="10"/>
            </rPr>
            <t>Common themes in role-holders' answers:</t>
          </r>
          <r>
            <rPr>
              <rFont val="Calibri"/>
              <sz val="10"/>
            </rPr>
            <t xml:space="preserve"> project · issue</t>
          </r>
        </is>
      </c>
      <c r="R21" s="159" t="inlineStr">
        <is>
          <r>
            <rPr>
              <rFont val="Calibri"/>
              <b val="1"/>
              <sz val="10"/>
            </rPr>
            <t>Common themes in manager-set KRAs:</t>
          </r>
          <r>
            <rPr>
              <rFont val="Calibri"/>
              <sz val="10"/>
            </rPr>
            <t xml:space="preserve"> project · management · level · support · scope · client</t>
          </r>
        </is>
      </c>
      <c r="S21" s="159" t="inlineStr">
        <is>
          <t>Project Management · Stakeholder management</t>
        </is>
      </c>
      <c r="T21" s="159" t="inlineStr">
        <is>
          <t>Claude</t>
        </is>
      </c>
      <c r="U21" s="119" t="inlineStr">
        <is>
          <t>Deep domain expertise, or one team</t>
        </is>
      </c>
      <c r="V21" s="160" t="inlineStr">
        <is>
          <t>Hardest problems in the domain</t>
        </is>
      </c>
      <c r="W21" s="160" t="inlineStr">
        <is>
          <t>Allocates people and sets team priorities</t>
        </is>
      </c>
      <c r="X21" s="160" t="inlineStr">
        <is>
          <t>One team or a client portfolio</t>
        </is>
      </c>
      <c r="Y21" s="160" t="inlineStr">
        <is>
          <r>
            <rPr>
              <rFont val="Calibri"/>
              <b val="1"/>
              <sz val="10"/>
            </rPr>
            <t>IC:</t>
          </r>
          <r>
            <rPr>
              <rFont val="Calibri"/>
              <sz val="10"/>
            </rPr>
            <t xml:space="preserve"> guides others in the domain · People: manages a team of 6+</t>
          </r>
        </is>
      </c>
      <c r="Z21" s="160" t="inlineStr">
        <is>
          <t>6–9 yrs</t>
        </is>
      </c>
      <c r="AA21" s="160" t="inlineStr">
        <is>
          <t>Graduate or postgraduate; professional qualification preferred</t>
        </is>
      </c>
      <c r="AB21" s="160" t="inlineStr">
        <is>
          <t>PMP / PRINCE2 / CSM / SAFe</t>
        </is>
      </c>
      <c r="AC21" s="160" t="inlineStr">
        <is>
          <r>
            <rPr>
              <rFont val="Calibri"/>
              <b val="1"/>
              <sz val="10"/>
            </rPr>
            <t>IC:</t>
          </r>
          <r>
            <rPr>
              <rFont val="Calibri"/>
              <sz val="10"/>
            </rPr>
            <t xml:space="preserve"> none · People: 6–8 knowledge work, 8–12 standardised delivery</t>
          </r>
        </is>
      </c>
      <c r="AD21" s="121" t="inlineStr">
        <is>
          <t>Core 3 · Future-ready 3 · Functional 4 · Leadership 3</t>
        </is>
      </c>
      <c r="AE21" s="122" t="inlineStr">
        <is>
          <t>Project, Program &amp; Agile Management · Stakeholder &amp; Client Management</t>
        </is>
      </c>
      <c r="AF21" s="122" t="inlineStr">
        <is>
          <t>Communication &amp; Presentation · Process Improvement &amp; Quality Mindset · Strategic Thinking &amp; Business Acumen · Product, Platform &amp; Domain Knowledge</t>
        </is>
      </c>
      <c r="AG21" s="168" t="inlineStr">
        <is>
          <t>P4 / M3</t>
        </is>
      </c>
      <c r="AH21" s="128" t="inlineStr">
        <is>
          <t>4–5</t>
        </is>
      </c>
      <c r="AI21" s="169" t="inlineStr">
        <is>
          <t>IRIS Vs Competitor Benchmark — PMI pathway + SaaS delivery ladder: Senior PM</t>
        </is>
      </c>
      <c r="AJ21" s="169" t="inlineStr">
        <is>
          <t>PMI PMBOK and Talent Triangle; CAPM · entry → PMP → PgMP; Scrum / SAFe</t>
        </is>
      </c>
      <c r="AK21" s="169" t="inlineStr">
        <is>
          <t>B3 · Lead Specialist</t>
        </is>
      </c>
      <c r="AL21" s="129" t="inlineStr">
        <is>
          <t>Domain, regulatory &amp; XBRL · Product &amp; tool knowledge · Broader exposure &amp; ownership · Project / programme management · Certification / formal course</t>
        </is>
      </c>
      <c r="AM21" s="130" t="inlineStr">
        <is>
          <t>goal-setting · pmp fundamentals · estimation reporting/governance · stakeholder management · succession</t>
        </is>
      </c>
      <c r="AN21" s="130" t="inlineStr">
        <is>
          <t>Formal / classroom training · Mentoring / guidance from seniors</t>
        </is>
      </c>
      <c r="AO21" s="130" t="inlineStr">
        <is>
          <t>client</t>
        </is>
      </c>
      <c r="AP21" s="130" t="inlineStr">
        <is>
          <t>responsibilities · clarity · reduce · support · improve</t>
        </is>
      </c>
      <c r="AQ21" s="130" t="inlineStr">
        <is>
          <t>4 of 7 say the role is changing because of AI / automation</t>
        </is>
      </c>
      <c r="AR21" s="131" t="inlineStr">
        <is>
          <t>Deliver change and govern investment execution. Includes: Project, programme, portfolio and PMO work with distinct mandates. Excludes: Ongoing product strategy; routine service operations.</t>
        </is>
      </c>
      <c r="AS21" s="132" t="inlineStr">
        <is>
          <t>LD11-1 · Delivery / PMO Manager</t>
        </is>
      </c>
      <c r="AT21" s="132" t="inlineStr">
        <is>
          <t>Own staffing decisions, performance support, service quality and delegated team resources</t>
        </is>
      </c>
      <c r="AU21" s="132" t="inlineStr">
        <is>
          <t>Do not manufacture three reporting layers. Choose roles the organisation needs. A specialist may remain on an equally valued expert path.</t>
        </is>
      </c>
      <c r="AV21" s="132" t="inlineStr">
        <is>
          <t>—</t>
        </is>
      </c>
      <c r="AW21" s="132" t="inlineStr">
        <is>
          <t>—</t>
        </is>
      </c>
      <c r="AX21" s="170" t="inlineStr">
        <is>
          <t>Framework + role-holders' themes · 3+ answered</t>
        </is>
      </c>
      <c r="AY21" s="134" t="inlineStr">
        <is>
          <t>7 holders, 7 answered the survey; sub-family 14 answered</t>
        </is>
      </c>
    </row>
  </sheetData>
  <autoFilter ref="A6:AY21"/>
  <mergeCells count="17">
    <mergeCell ref="A2:AY2"/>
    <mergeCell ref="A11:AY11"/>
    <mergeCell ref="J5:L5"/>
    <mergeCell ref="A16:AY16"/>
    <mergeCell ref="AD5:AF5"/>
    <mergeCell ref="U5:AC5"/>
    <mergeCell ref="A5:I5"/>
    <mergeCell ref="A4:D4"/>
    <mergeCell ref="A1:AY1"/>
    <mergeCell ref="AL5:AQ5"/>
    <mergeCell ref="AR5:AW5"/>
    <mergeCell ref="AG5:AK5"/>
    <mergeCell ref="M5:T5"/>
    <mergeCell ref="AX5:AY5"/>
    <mergeCell ref="A20:AY20"/>
    <mergeCell ref="A7:AY7"/>
    <mergeCell ref="A3:AY3"/>
  </mergeCells>
  <hyperlinks>
    <hyperlink xmlns:r="http://schemas.openxmlformats.org/officeDocument/2006/relationships" ref="AZ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AR23"/>
  <sheetViews>
    <sheetView showGridLines="0" zoomScale="90"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7" customWidth="1" min="2" max="2"/>
    <col width="22" customWidth="1" min="3" max="3"/>
    <col width="24" customWidth="1" min="4" max="4"/>
    <col width="6" customWidth="1" min="5" max="5"/>
    <col width="13" customWidth="1" min="6" max="6"/>
    <col width="10" customWidth="1" min="7" max="7"/>
    <col width="6" customWidth="1" min="8" max="8"/>
    <col width="24" customWidth="1" min="9" max="9"/>
    <col width="22" customWidth="1" min="10" max="10"/>
    <col width="20" customWidth="1" min="11" max="11"/>
    <col width="20" customWidth="1" min="12" max="12"/>
    <col width="20" customWidth="1" min="13" max="13"/>
    <col width="9" customWidth="1" min="14" max="14"/>
    <col width="24" customWidth="1" min="15" max="15"/>
    <col width="20" customWidth="1" min="16" max="16"/>
    <col width="20" customWidth="1" min="17" max="17"/>
    <col width="8" customWidth="1" min="18" max="18"/>
    <col width="7" customWidth="1" min="19" max="19"/>
    <col width="7" customWidth="1" min="20" max="20"/>
    <col width="8" customWidth="1" min="21" max="21"/>
    <col width="7" customWidth="1" min="22" max="22"/>
    <col width="7" customWidth="1" min="23" max="23"/>
    <col width="7" customWidth="1" min="24" max="24"/>
    <col width="30" customWidth="1" min="25" max="25"/>
    <col width="30" customWidth="1" min="26" max="26"/>
    <col width="26" customWidth="1" min="27" max="27"/>
    <col width="22" customWidth="1" min="28" max="28"/>
    <col width="16" customWidth="1" min="29" max="29"/>
    <col width="8" customWidth="1" min="30" max="30"/>
    <col width="11" customWidth="1" min="31" max="31"/>
    <col width="9" customWidth="1" min="32" max="32"/>
    <col width="22" customWidth="1" min="33" max="33"/>
    <col width="22" customWidth="1" min="34" max="34"/>
    <col width="26" customWidth="1" min="35" max="35"/>
    <col width="22" customWidth="1" min="36" max="36"/>
    <col width="14" customWidth="1" min="37" max="37"/>
    <col width="34" customWidth="1" min="38" max="38"/>
    <col width="26" customWidth="1" min="39" max="39"/>
    <col width="18" customWidth="1" min="40" max="40"/>
    <col width="16" customWidth="1" min="41" max="41"/>
    <col width="16" customWidth="1" min="42" max="42"/>
    <col width="24" customWidth="1" min="43" max="43"/>
    <col width="13" customWidth="1" min="44" max="44"/>
  </cols>
  <sheetData>
    <row r="1" ht="34" customHeight="1">
      <c r="A1" s="1" t="inlineStr">
        <is>
          <t>Role Requirements &amp; Market Benchmarks — department → band → role · bottom to top</t>
        </is>
      </c>
      <c r="AR1" s="232" t="inlineStr">
        <is>
          <t>◂ Contents</t>
        </is>
      </c>
    </row>
    <row r="2" ht="30" customHeight="1">
      <c r="A2" s="3" t="inlineStr">
        <is>
          <t>Sheet 7 · One row per role · designation × level × track inside each department, lowest level first. Columns follow the Master steps: what the level expects, entry requirements, the weight set used, required capability, structure, the market crosswalk and progression.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D4" s="68" t="inlineStr">
        <is>
          <t>Player-Coach · B+ · C+</t>
        </is>
      </c>
    </row>
    <row r="5" ht="30" customHeight="1">
      <c r="A5" s="73" t="inlineStr">
        <is>
          <t>ROLE</t>
        </is>
      </c>
      <c r="I5" s="74" t="inlineStr">
        <is>
          <t>STEP 4 · WHAT THE LEVEL EXPECTS</t>
        </is>
      </c>
      <c r="N5" s="76" t="inlineStr">
        <is>
          <t>ENTRY REQUIREMENTS</t>
        </is>
      </c>
      <c r="R5" s="77" t="inlineStr">
        <is>
          <t>STEP 5 · WEIGHTS</t>
        </is>
      </c>
      <c r="Y5" s="79" t="inlineStr">
        <is>
          <t>STEP 10 · CAPABILITY REQUIRED</t>
        </is>
      </c>
      <c r="AC5" s="81" t="inlineStr">
        <is>
          <t>STEP 3 · STRUCTURE</t>
        </is>
      </c>
      <c r="AD5" s="83" t="inlineStr">
        <is>
          <t>STEP 9 · MARKET BENCHMARK</t>
        </is>
      </c>
      <c r="AN5" s="85" t="inlineStr">
        <is>
          <t>STEP 11 · PROGRESSION</t>
        </is>
      </c>
    </row>
    <row r="6" ht="48" customHeight="1">
      <c r="A6" s="91" t="inlineStr">
        <is>
          <t>Department</t>
        </is>
      </c>
      <c r="B6" s="92" t="inlineStr">
        <is>
          <t>Job family</t>
        </is>
      </c>
      <c r="C6" s="92" t="inlineStr">
        <is>
          <t>Sub-family · ies</t>
        </is>
      </c>
      <c r="D6" s="92" t="inlineStr">
        <is>
          <t>Role · designation</t>
        </is>
      </c>
      <c r="E6" s="92" t="inlineStr">
        <is>
          <t>Level</t>
        </is>
      </c>
      <c r="F6" s="92" t="inlineStr">
        <is>
          <t>Level title</t>
        </is>
      </c>
      <c r="G6" s="92" t="inlineStr">
        <is>
          <t>Track</t>
        </is>
      </c>
      <c r="H6" s="92" t="inlineStr">
        <is>
          <t>People</t>
        </is>
      </c>
      <c r="I6" s="93" t="inlineStr">
        <is>
          <t>What the role owns</t>
        </is>
      </c>
      <c r="J6" s="12" t="inlineStr">
        <is>
          <t>Complexity &amp; expertise</t>
        </is>
      </c>
      <c r="K6" s="12" t="inlineStr">
        <is>
          <t>Autonomy &amp; decisions</t>
        </is>
      </c>
      <c r="L6" s="12" t="inlineStr">
        <is>
          <t>Accountability &amp; impact</t>
        </is>
      </c>
      <c r="M6" s="12" t="inlineStr">
        <is>
          <t>Leadership</t>
        </is>
      </c>
      <c r="N6" s="94" t="inlineStr">
        <is>
          <t>Experience · yrs, guide</t>
        </is>
      </c>
      <c r="O6" s="151" t="inlineStr">
        <is>
          <t>Education &amp; qualification</t>
        </is>
      </c>
      <c r="P6" s="151" t="inlineStr">
        <is>
          <t>Credentials</t>
        </is>
      </c>
      <c r="Q6" s="151" t="inlineStr">
        <is>
          <t>Gate requirements</t>
        </is>
      </c>
      <c r="R6" s="95" t="inlineStr">
        <is>
          <t>Set ID</t>
        </is>
      </c>
      <c r="S6" s="96" t="inlineStr">
        <is>
          <t>Complexity %</t>
        </is>
      </c>
      <c r="T6" s="96" t="inlineStr">
        <is>
          <t>Autonomy %</t>
        </is>
      </c>
      <c r="U6" s="96" t="inlineStr">
        <is>
          <t>Accountability %</t>
        </is>
      </c>
      <c r="V6" s="96" t="inlineStr">
        <is>
          <t>Leadership %</t>
        </is>
      </c>
      <c r="W6" s="96" t="inlineStr">
        <is>
          <t>Exp. &amp; Qual. %</t>
        </is>
      </c>
      <c r="X6" s="96" t="inlineStr">
        <is>
          <t>Bus. Impact %</t>
        </is>
      </c>
      <c r="Y6" s="97" t="inlineStr">
        <is>
          <t>Must-have competencies · proficiency 1–5</t>
        </is>
      </c>
      <c r="Z6" s="98" t="inlineStr">
        <is>
          <t>Other functional competencies</t>
        </is>
      </c>
      <c r="AA6" s="98" t="inlineStr">
        <is>
          <t>Department technical competencies</t>
        </is>
      </c>
      <c r="AB6" s="98" t="inlineStr">
        <is>
          <t>Proficiency by cluster</t>
        </is>
      </c>
      <c r="AC6" s="99" t="inlineStr">
        <is>
          <t>Span of control</t>
        </is>
      </c>
      <c r="AD6" s="101" t="inlineStr">
        <is>
          <t>Radford / Mercer</t>
        </is>
      </c>
      <c r="AE6" s="102" t="inlineStr">
        <is>
          <t>Pave level</t>
        </is>
      </c>
      <c r="AF6" s="102" t="inlineStr">
        <is>
          <t>SFIA 9</t>
        </is>
      </c>
      <c r="AG6" s="102" t="inlineStr">
        <is>
          <t>Typical market title based on competitor/market benchmark</t>
        </is>
      </c>
      <c r="AH6" s="102" t="inlineStr">
        <is>
          <t>Product companies · Google · MS · Workiva</t>
        </is>
      </c>
      <c r="AI6" s="102" t="inlineStr">
        <is>
          <t>Indian IT services · Infosys · TCS · Accenture</t>
        </is>
      </c>
      <c r="AJ6" s="102" t="inlineStr">
        <is>
          <t>Consulting &amp; XBRL services · Big Four · DataTracks</t>
        </is>
      </c>
      <c r="AK6" s="102" t="inlineStr">
        <is>
          <t>Reference</t>
        </is>
      </c>
      <c r="AL6" s="102" t="inlineStr">
        <is>
          <t>Competitors, regtech &amp; SaaS leaders — this family at this level</t>
        </is>
      </c>
      <c r="AM6" s="102" t="inlineStr">
        <is>
          <t>Professional standard · best standard</t>
        </is>
      </c>
      <c r="AN6" s="103" t="inlineStr">
        <is>
          <t>Hiring route</t>
        </is>
      </c>
      <c r="AO6" s="104" t="inlineStr">
        <is>
          <t>Next step — IC</t>
        </is>
      </c>
      <c r="AP6" s="104" t="inlineStr">
        <is>
          <t>Next step — Manager</t>
        </is>
      </c>
      <c r="AQ6" s="104" t="inlineStr">
        <is>
          <t>Future skills</t>
        </is>
      </c>
    </row>
    <row r="7" ht="20" customHeight="1">
      <c r="A7" s="155" t="inlineStr">
        <is>
          <t>Digitizing — 9 people · 4 roles · Service delivery &amp; data operations · levels A2–B2</t>
        </is>
      </c>
    </row>
    <row r="8" ht="67" customHeight="1">
      <c r="A8" s="109" t="inlineStr">
        <is>
          <t>Digitizing</t>
        </is>
      </c>
      <c r="B8" s="111" t="inlineStr">
        <is>
          <t>Data Operations &amp; Digitization</t>
        </is>
      </c>
      <c r="C8" s="111" t="inlineStr">
        <is>
          <t>Document Conversion, Formatting &amp; Web Publishing</t>
        </is>
      </c>
      <c r="D8" s="111" t="inlineStr">
        <is>
          <t>Digitization Associate</t>
        </is>
      </c>
      <c r="E8" s="26" t="inlineStr">
        <is>
          <t>A2</t>
        </is>
      </c>
      <c r="F8" s="139" t="inlineStr">
        <is>
          <t>Associate</t>
        </is>
      </c>
      <c r="G8" s="111" t="inlineStr">
        <is>
          <t>IC</t>
        </is>
      </c>
      <c r="H8" s="112" t="n">
        <v>1</v>
      </c>
      <c r="I8" s="146" t="inlineStr">
        <is>
          <t>Standard work delivered independently</t>
        </is>
      </c>
      <c r="J8" s="115" t="inlineStr">
        <is>
          <t>Standard work of the discipline</t>
        </is>
      </c>
      <c r="K8" s="115" t="inlineStr">
        <is>
          <t>Chooses own approach within standards</t>
        </is>
      </c>
      <c r="L8" s="115" t="inlineStr">
        <is>
          <t>Own deliverables · accuracy, TAT</t>
        </is>
      </c>
      <c r="M8" s="115" t="inlineStr">
        <is>
          <t>Not scored in Band A</t>
        </is>
      </c>
      <c r="N8" s="172" t="inlineStr">
        <is>
          <t>0–2 yrs</t>
        </is>
      </c>
      <c r="O8" s="159" t="inlineStr">
        <is>
          <r>
            <rPr>
              <rFont val="Calibri"/>
              <sz val="10"/>
            </rPr>
            <t xml:space="preserve">Graduate · or diploma with experience
</t>
          </r>
          <r>
            <rPr>
              <rFont val="Calibri"/>
              <b val="1"/>
              <sz val="10"/>
            </rPr>
            <t>Family:</t>
          </r>
          <r>
            <rPr>
              <rFont val="Calibri"/>
              <sz val="10"/>
            </rPr>
            <t xml:space="preserve"> Graduate · commerce preferred</t>
          </r>
        </is>
      </c>
      <c r="P8" s="159" t="inlineStr">
        <is>
          <t>MOS Excel · optional; Lean / Six Sigma · optional</t>
        </is>
      </c>
      <c r="Q8" s="159" t="inlineStr">
        <is>
          <t>Accuracy and SLA discipline; data confidentiality</t>
        </is>
      </c>
      <c r="R8" s="173" t="inlineStr">
        <is>
          <t>SD-A</t>
        </is>
      </c>
      <c r="S8" s="174" t="n">
        <v>0.54</v>
      </c>
      <c r="T8" s="174" t="n">
        <v>0.16</v>
      </c>
      <c r="U8" s="174" t="n">
        <v>0.14</v>
      </c>
      <c r="V8" s="174" t="n">
        <v>0</v>
      </c>
      <c r="W8" s="174" t="n">
        <v>0.1</v>
      </c>
      <c r="X8" s="174" t="n">
        <v>0.06</v>
      </c>
      <c r="Y8" s="121" t="inlineStr">
        <is>
          <t>★ Advanced Excel &amp; Productivity Tools · ★ Process Improvement &amp; Quality Mindset</t>
        </is>
      </c>
      <c r="Z8" s="122" t="inlineStr">
        <is>
          <t>Regulatory &amp; BFSI Domain · XBRL, iXBRL &amp; Taxonomy · AI, GenAI &amp; Prompt Engineering · Time, Priority &amp; Self-Management</t>
        </is>
      </c>
      <c r="AA8" s="122" t="inlineStr">
        <is>
          <t>—</t>
        </is>
      </c>
      <c r="AB8" s="122" t="inlineStr">
        <is>
          <t>Core 2 · Future-ready 2 · Functional 2 · Leadership —</t>
        </is>
      </c>
      <c r="AC8" s="123" t="inlineStr">
        <is>
          <t>No direct reports</t>
        </is>
      </c>
      <c r="AD8" s="175" t="inlineStr">
        <is>
          <t>P1–P2</t>
        </is>
      </c>
      <c r="AE8" s="130" t="inlineStr">
        <is>
          <t>Entry / Developing</t>
        </is>
      </c>
      <c r="AF8" s="176" t="inlineStr">
        <is>
          <t>2 Assist</t>
        </is>
      </c>
      <c r="AG8" s="130" t="inlineStr">
        <is>
          <t>Associate / Processor / Senior Associate</t>
        </is>
      </c>
      <c r="AH8" s="130" t="inlineStr">
        <is>
          <t>L3 · MS 59–60 · —</t>
        </is>
      </c>
      <c r="AI8" s="130" t="inlineStr">
        <is>
          <t>JL3B · C1 · L11 Analyst</t>
        </is>
      </c>
      <c r="AJ8" s="130" t="inlineStr">
        <is>
          <t>Analyst · DataTracks Associate</t>
        </is>
      </c>
      <c r="AK8" s="130" t="inlineStr">
        <is>
          <t>DataTracks</t>
        </is>
      </c>
      <c r="AL8" s="130" t="inlineStr">
        <is>
          <r>
            <rPr>
              <rFont val="Calibri"/>
              <b val="1"/>
              <sz val="10"/>
            </rPr>
            <t>DataTracks:</t>
          </r>
          <r>
            <rPr>
              <rFont val="Calibri"/>
              <sz val="10"/>
            </rPr>
            <t xml:space="preserve"> Associate · Accenture Operations: L11 Analyst · IRIS Vs Competitor Benchmark — operations roles: Processor / Agent</t>
          </r>
        </is>
      </c>
      <c r="AM8" s="130" t="inlineStr">
        <is>
          <t>COPC CX Standard · leadership &amp; planning, people, processes, performance; ISO 9001; Lean / Six Sigma</t>
        </is>
      </c>
      <c r="AN8" s="131" t="inlineStr">
        <is>
          <t>Lateral or campus · CT1 on confirmation; CT2 on joining</t>
        </is>
      </c>
      <c r="AO8" s="132" t="inlineStr">
        <is>
          <t>A3 · Senior Associate</t>
        </is>
      </c>
      <c r="AP8" s="132" t="inlineStr">
        <is>
          <t>A3 · common path</t>
        </is>
      </c>
      <c r="AQ8" s="132" t="inlineStr">
        <is>
          <t>AI-assisted conversion &amp; OCR, automation of formatting, quality analytics</t>
        </is>
      </c>
    </row>
    <row r="9" ht="67" customHeight="1">
      <c r="A9" s="109" t="inlineStr">
        <is>
          <t>Digitizing</t>
        </is>
      </c>
      <c r="B9" s="111" t="inlineStr">
        <is>
          <t>Data Operations &amp; Digitization</t>
        </is>
      </c>
      <c r="C9" s="111" t="inlineStr">
        <is>
          <t>Document Conversion, Formatting &amp; Web Publishing</t>
        </is>
      </c>
      <c r="D9" s="111" t="inlineStr">
        <is>
          <t>Senior Digitization Associate</t>
        </is>
      </c>
      <c r="E9" s="26" t="inlineStr">
        <is>
          <t>A3</t>
        </is>
      </c>
      <c r="F9" s="139" t="inlineStr">
        <is>
          <t>Senior Associate</t>
        </is>
      </c>
      <c r="G9" s="111" t="inlineStr">
        <is>
          <t>IC</t>
        </is>
      </c>
      <c r="H9" s="112" t="n">
        <v>6</v>
      </c>
      <c r="I9" s="146" t="inlineStr">
        <is>
          <t>Varied work; reviews juniors; go-to for a process</t>
        </is>
      </c>
      <c r="J9" s="115" t="inlineStr">
        <is>
          <t>Varied and non-standard work; handles exceptions</t>
        </is>
      </c>
      <c r="K9" s="115" t="inlineStr">
        <is>
          <t>Technical / QC / client calls on own work</t>
        </is>
      </c>
      <c r="L9" s="115" t="inlineStr">
        <is>
          <t>A module / process, or work with client or regulatory consequences</t>
        </is>
      </c>
      <c r="M9" s="115" t="inlineStr">
        <is>
          <t>Not scored in Band A</t>
        </is>
      </c>
      <c r="N9" s="172" t="inlineStr">
        <is>
          <t>2–4 yrs</t>
        </is>
      </c>
      <c r="O9" s="159" t="inlineStr">
        <is>
          <r>
            <rPr>
              <rFont val="Calibri"/>
              <sz val="10"/>
            </rPr>
            <t xml:space="preserve">Graduate; relevant certification preferred
</t>
          </r>
          <r>
            <rPr>
              <rFont val="Calibri"/>
              <b val="1"/>
              <sz val="10"/>
            </rPr>
            <t>Family:</t>
          </r>
          <r>
            <rPr>
              <rFont val="Calibri"/>
              <sz val="10"/>
            </rPr>
            <t xml:space="preserve"> Graduate · commerce preferred</t>
          </r>
        </is>
      </c>
      <c r="P9" s="159" t="inlineStr">
        <is>
          <t>MOS Excel · optional; Lean / Six Sigma · optional</t>
        </is>
      </c>
      <c r="Q9" s="159" t="inlineStr">
        <is>
          <t>Accuracy and SLA discipline; data confidentiality</t>
        </is>
      </c>
      <c r="R9" s="173" t="inlineStr">
        <is>
          <t>SD-A</t>
        </is>
      </c>
      <c r="S9" s="174" t="n">
        <v>0.54</v>
      </c>
      <c r="T9" s="174" t="n">
        <v>0.16</v>
      </c>
      <c r="U9" s="174" t="n">
        <v>0.14</v>
      </c>
      <c r="V9" s="174" t="n">
        <v>0</v>
      </c>
      <c r="W9" s="174" t="n">
        <v>0.1</v>
      </c>
      <c r="X9" s="174" t="n">
        <v>0.06</v>
      </c>
      <c r="Y9" s="121" t="inlineStr">
        <is>
          <t>★ Advanced Excel &amp; Productivity Tools · ★ Process Improvement &amp; Quality Mindset</t>
        </is>
      </c>
      <c r="Z9" s="122" t="inlineStr">
        <is>
          <t>Regulatory &amp; BFSI Domain · XBRL, iXBRL &amp; Taxonomy · AI, GenAI &amp; Prompt Engineering · Time, Priority &amp; Self-Management</t>
        </is>
      </c>
      <c r="AA9" s="122" t="inlineStr">
        <is>
          <t>—</t>
        </is>
      </c>
      <c r="AB9" s="122" t="inlineStr">
        <is>
          <t>Core 2 · Future-ready 2 · Functional 3 · Leadership —</t>
        </is>
      </c>
      <c r="AC9" s="123" t="inlineStr">
        <is>
          <t>None · guides 1–3 juniors informally</t>
        </is>
      </c>
      <c r="AD9" s="175" t="inlineStr">
        <is>
          <t>P2</t>
        </is>
      </c>
      <c r="AE9" s="130" t="inlineStr">
        <is>
          <t>Developing</t>
        </is>
      </c>
      <c r="AF9" s="176" t="inlineStr">
        <is>
          <t>3 Apply</t>
        </is>
      </c>
      <c r="AG9" s="130" t="inlineStr">
        <is>
          <t>Senior Associate</t>
        </is>
      </c>
      <c r="AH9" s="130" t="inlineStr">
        <is>
          <t>L3–L4 · MS 61–62 · —</t>
        </is>
      </c>
      <c r="AI9" s="130" t="inlineStr">
        <is>
          <t>JL3A · C1 · L11–L10 · Senior Analyst</t>
        </is>
      </c>
      <c r="AJ9" s="130" t="inlineStr">
        <is>
          <t>Consultant · DataTracks Senior Associate · 2–5 yrs</t>
        </is>
      </c>
      <c r="AK9" s="130" t="inlineStr">
        <is>
          <t>DataTracks</t>
        </is>
      </c>
      <c r="AL9" s="130" t="inlineStr">
        <is>
          <r>
            <rPr>
              <rFont val="Calibri"/>
              <b val="1"/>
              <sz val="10"/>
            </rPr>
            <t>DataTracks:</t>
          </r>
          <r>
            <rPr>
              <rFont val="Calibri"/>
              <sz val="10"/>
            </rPr>
            <t xml:space="preserve"> Senior Associate · 2–5 yrs · Accenture Operations: L10 Senior Analyst · IRIS Vs Competitor Benchmark — operations roles: Senior Processor / QC</t>
          </r>
        </is>
      </c>
      <c r="AM9" s="130" t="inlineStr">
        <is>
          <t>COPC CX Standard · leadership &amp; planning, people, processes, performance; ISO 9001; Lean / Six Sigma</t>
        </is>
      </c>
      <c r="AN9" s="131" t="inlineStr">
        <is>
          <t>Lateral or campus · CT2 at 12 months; CT3 in programme</t>
        </is>
      </c>
      <c r="AO9" s="132" t="inlineStr">
        <is>
          <t>B1 · Specialist</t>
        </is>
      </c>
      <c r="AP9" s="132" t="inlineStr">
        <is>
          <t>B1 · Team Lead</t>
        </is>
      </c>
      <c r="AQ9" s="132" t="inlineStr">
        <is>
          <t>AI-assisted conversion &amp; OCR, automation of formatting, quality analytics</t>
        </is>
      </c>
    </row>
    <row r="10" ht="67" customHeight="1">
      <c r="A10" s="109" t="inlineStr">
        <is>
          <t>Digitizing</t>
        </is>
      </c>
      <c r="B10" s="111" t="inlineStr">
        <is>
          <t>Data Operations &amp; Digitization</t>
        </is>
      </c>
      <c r="C10" s="111" t="inlineStr">
        <is>
          <t>Document Conversion, Formatting &amp; Web Publishing</t>
        </is>
      </c>
      <c r="D10" s="111" t="inlineStr">
        <is>
          <t>Digitization Specialist</t>
        </is>
      </c>
      <c r="E10" s="23" t="inlineStr">
        <is>
          <t>B1</t>
        </is>
      </c>
      <c r="F10" s="21" t="inlineStr">
        <is>
          <t>Specialist</t>
        </is>
      </c>
      <c r="G10" s="111" t="inlineStr">
        <is>
          <t>IC</t>
        </is>
      </c>
      <c r="H10" s="112" t="n">
        <v>1</v>
      </c>
      <c r="I10" s="146" t="inlineStr">
        <is>
          <t>A domain / module, or a small team</t>
        </is>
      </c>
      <c r="J10" s="115" t="inlineStr">
        <is>
          <t>Domain specialist work</t>
        </is>
      </c>
      <c r="K10" s="115" t="inlineStr">
        <is>
          <t>Technical / QC / client calls for the domain</t>
        </is>
      </c>
      <c r="L10" s="115" t="inlineStr">
        <is>
          <t>A domain or a small team</t>
        </is>
      </c>
      <c r="M10" s="115" t="inlineStr">
        <is>
          <r>
            <rPr>
              <rFont val="Calibri"/>
              <b val="1"/>
              <sz val="10"/>
            </rPr>
            <t>IC:</t>
          </r>
          <r>
            <rPr>
              <rFont val="Calibri"/>
              <sz val="10"/>
            </rPr>
            <t xml:space="preserve"> mentors and reviews · People: hands-on team lead of 3–5</t>
          </r>
        </is>
      </c>
      <c r="N10" s="172" t="inlineStr">
        <is>
          <t>4–7 yrs</t>
        </is>
      </c>
      <c r="O10" s="159" t="inlineStr">
        <is>
          <r>
            <rPr>
              <rFont val="Calibri"/>
              <sz val="10"/>
            </rPr>
            <t xml:space="preserve">Graduate + relevant qualification or certification preferred
</t>
          </r>
          <r>
            <rPr>
              <rFont val="Calibri"/>
              <b val="1"/>
              <sz val="10"/>
            </rPr>
            <t>Family:</t>
          </r>
          <r>
            <rPr>
              <rFont val="Calibri"/>
              <sz val="10"/>
            </rPr>
            <t xml:space="preserve"> Graduate · commerce preferred</t>
          </r>
        </is>
      </c>
      <c r="P10" s="159" t="inlineStr">
        <is>
          <t>MOS Excel · optional; Lean / Six Sigma · optional</t>
        </is>
      </c>
      <c r="Q10" s="159" t="inlineStr">
        <is>
          <t>Accuracy and SLA discipline; data confidentiality</t>
        </is>
      </c>
      <c r="R10" s="173" t="inlineStr">
        <is>
          <t>SD-B-IC</t>
        </is>
      </c>
      <c r="S10" s="174" t="n">
        <v>0.46</v>
      </c>
      <c r="T10" s="174" t="n">
        <v>0.17</v>
      </c>
      <c r="U10" s="174" t="n">
        <v>0.15</v>
      </c>
      <c r="V10" s="174" t="n">
        <v>0.05</v>
      </c>
      <c r="W10" s="174" t="n">
        <v>0.1</v>
      </c>
      <c r="X10" s="174" t="n">
        <v>0.07000000000000001</v>
      </c>
      <c r="Y10" s="121" t="inlineStr">
        <is>
          <t>★ Advanced Excel &amp; Productivity Tools · ★ Process Improvement &amp; Quality Mindset</t>
        </is>
      </c>
      <c r="Z10" s="122" t="inlineStr">
        <is>
          <t>Regulatory &amp; BFSI Domain · XBRL, iXBRL &amp; Taxonomy · AI, GenAI &amp; Prompt Engineering · Time, Priority &amp; Self-Management</t>
        </is>
      </c>
      <c r="AA10" s="122" t="inlineStr">
        <is>
          <t>—</t>
        </is>
      </c>
      <c r="AB10" s="122" t="inlineStr">
        <is>
          <t>Core 3 · Future-ready 3 · Functional 3 · Leadership 1</t>
        </is>
      </c>
      <c r="AC10" s="123" t="inlineStr">
        <is>
          <r>
            <rPr>
              <rFont val="Calibri"/>
              <b val="1"/>
              <sz val="10"/>
            </rPr>
            <t>IC:</t>
          </r>
          <r>
            <rPr>
              <rFont val="Calibri"/>
              <sz val="10"/>
            </rPr>
            <t xml:space="preserve"> none · Team Lead: 3–5</t>
          </r>
        </is>
      </c>
      <c r="AD10" s="175" t="inlineStr">
        <is>
          <t>P3</t>
        </is>
      </c>
      <c r="AE10" s="130" t="inlineStr">
        <is>
          <t>Career / · Team Lead</t>
        </is>
      </c>
      <c r="AF10" s="176" t="inlineStr">
        <is>
          <t>4 Enable</t>
        </is>
      </c>
      <c r="AG10" s="130" t="inlineStr">
        <is>
          <t>Specialist / QC Analyst</t>
        </is>
      </c>
      <c r="AH10" s="130" t="inlineStr">
        <is>
          <t>L4 · MS 62 · —</t>
        </is>
      </c>
      <c r="AI10" s="130" t="inlineStr">
        <is>
          <t>JL4 · C2 · L9 Team Lead / Consultant</t>
        </is>
      </c>
      <c r="AJ10" s="130" t="inlineStr">
        <is>
          <t>Senior Consultant / Assistant Manager</t>
        </is>
      </c>
      <c r="AK10" s="130" t="inlineStr">
        <is>
          <t>DataTracks</t>
        </is>
      </c>
      <c r="AL10" s="130" t="inlineStr">
        <is>
          <r>
            <rPr>
              <rFont val="Calibri"/>
              <b val="1"/>
              <sz val="10"/>
            </rPr>
            <t>Accenture Operations:</t>
          </r>
          <r>
            <rPr>
              <rFont val="Calibri"/>
              <sz val="10"/>
            </rPr>
            <t xml:space="preserve"> L9 Team Lead · IRIS Vs Competitor Benchmark — operations roles: Team Lead / Quality Lead</t>
          </r>
        </is>
      </c>
      <c r="AM10" s="130" t="inlineStr">
        <is>
          <t>COPC CX Standard · leadership &amp; planning, people, processes, performance; ISO 9001; Lean / Six Sigma</t>
        </is>
      </c>
      <c r="AN10" s="131" t="inlineStr">
        <is>
          <t>Lateral; Management Trainees graduate here</t>
        </is>
      </c>
      <c r="AO10" s="132" t="inlineStr">
        <is>
          <t>B2 · Senior Specialist</t>
        </is>
      </c>
      <c r="AP10" s="132" t="inlineStr">
        <is>
          <t>B2 · Manager</t>
        </is>
      </c>
      <c r="AQ10" s="132" t="inlineStr">
        <is>
          <t>AI-assisted conversion &amp; OCR, automation of formatting, quality analytics</t>
        </is>
      </c>
    </row>
    <row r="11" ht="67" customHeight="1">
      <c r="A11" s="109" t="inlineStr">
        <is>
          <t>Digitizing</t>
        </is>
      </c>
      <c r="B11" s="111" t="inlineStr">
        <is>
          <t>Data Operations &amp; Digitization</t>
        </is>
      </c>
      <c r="C11" s="111" t="inlineStr">
        <is>
          <t>Document Conversion, Formatting &amp; Web Publishing</t>
        </is>
      </c>
      <c r="D11" s="111" t="inlineStr">
        <is>
          <t>Digitization Manager</t>
        </is>
      </c>
      <c r="E11" s="23" t="inlineStr">
        <is>
          <t>B2</t>
        </is>
      </c>
      <c r="F11" s="21" t="inlineStr">
        <is>
          <t>Manager</t>
        </is>
      </c>
      <c r="G11" s="111" t="inlineStr">
        <is>
          <t>People Manager</t>
        </is>
      </c>
      <c r="H11" s="112" t="n">
        <v>1</v>
      </c>
      <c r="I11" s="146" t="inlineStr">
        <is>
          <t>Deep domain expertise, or one team</t>
        </is>
      </c>
      <c r="J11" s="115" t="inlineStr">
        <is>
          <t>Hardest problems in the domain</t>
        </is>
      </c>
      <c r="K11" s="115" t="inlineStr">
        <is>
          <t>Allocates people and sets team priorities</t>
        </is>
      </c>
      <c r="L11" s="115" t="inlineStr">
        <is>
          <t>One team or a client portfolio</t>
        </is>
      </c>
      <c r="M11" s="115" t="inlineStr">
        <is>
          <r>
            <rPr>
              <rFont val="Calibri"/>
              <b val="1"/>
              <sz val="10"/>
            </rPr>
            <t>IC:</t>
          </r>
          <r>
            <rPr>
              <rFont val="Calibri"/>
              <sz val="10"/>
            </rPr>
            <t xml:space="preserve"> guides others in the domain · People: manages a team of 6+</t>
          </r>
        </is>
      </c>
      <c r="N11" s="172" t="inlineStr">
        <is>
          <t>6–9 yrs</t>
        </is>
      </c>
      <c r="O11" s="159" t="inlineStr">
        <is>
          <r>
            <rPr>
              <rFont val="Calibri"/>
              <sz val="10"/>
            </rPr>
            <t xml:space="preserve">Graduate or postgraduate; professional qualification preferred
</t>
          </r>
          <r>
            <rPr>
              <rFont val="Calibri"/>
              <b val="1"/>
              <sz val="10"/>
            </rPr>
            <t>Family:</t>
          </r>
          <r>
            <rPr>
              <rFont val="Calibri"/>
              <sz val="10"/>
            </rPr>
            <t xml:space="preserve"> Graduate · commerce preferred</t>
          </r>
        </is>
      </c>
      <c r="P11" s="159" t="inlineStr">
        <is>
          <t>MOS Excel · optional; Lean / Six Sigma · optional</t>
        </is>
      </c>
      <c r="Q11" s="159" t="inlineStr">
        <is>
          <t>Accuracy and SLA discipline; data confidentiality</t>
        </is>
      </c>
      <c r="R11" s="173" t="inlineStr">
        <is>
          <t>SD-B-M</t>
        </is>
      </c>
      <c r="S11" s="174" t="n">
        <v>0.32</v>
      </c>
      <c r="T11" s="174" t="n">
        <v>0.18</v>
      </c>
      <c r="U11" s="174" t="n">
        <v>0.16</v>
      </c>
      <c r="V11" s="174" t="n">
        <v>0.15</v>
      </c>
      <c r="W11" s="174" t="n">
        <v>0.1</v>
      </c>
      <c r="X11" s="174" t="n">
        <v>0.09</v>
      </c>
      <c r="Y11" s="121" t="inlineStr">
        <is>
          <t>★ Advanced Excel &amp; Productivity Tools · ★ Process Improvement &amp; Quality Mindset</t>
        </is>
      </c>
      <c r="Z11" s="122" t="inlineStr">
        <is>
          <t>Regulatory &amp; BFSI Domain · XBRL, iXBRL &amp; Taxonomy · AI, GenAI &amp; Prompt Engineering · Time, Priority &amp; Self-Management</t>
        </is>
      </c>
      <c r="AA11" s="122" t="inlineStr">
        <is>
          <t>—</t>
        </is>
      </c>
      <c r="AB11" s="122" t="inlineStr">
        <is>
          <t>Core 3 · Future-ready 3 · Functional 4 · Leadership 3</t>
        </is>
      </c>
      <c r="AC11" s="123" t="inlineStr">
        <is>
          <r>
            <rPr>
              <rFont val="Calibri"/>
              <b val="1"/>
              <sz val="10"/>
            </rPr>
            <t>IC:</t>
          </r>
          <r>
            <rPr>
              <rFont val="Calibri"/>
              <sz val="10"/>
            </rPr>
            <t xml:space="preserve"> none · People: 6–8 knowledge work, 8–12 standardised delivery</t>
          </r>
        </is>
      </c>
      <c r="AD11" s="175" t="inlineStr">
        <is>
          <t>M3</t>
        </is>
      </c>
      <c r="AE11" s="130" t="inlineStr">
        <is>
          <t>Senior / Manager</t>
        </is>
      </c>
      <c r="AF11" s="176" t="inlineStr">
        <is>
          <t>4–5</t>
        </is>
      </c>
      <c r="AG11" s="130" t="inlineStr">
        <is>
          <t>Manager</t>
        </is>
      </c>
      <c r="AH11" s="130" t="inlineStr">
        <is>
          <t>L5 · MS 63 · —</t>
        </is>
      </c>
      <c r="AI11" s="130" t="inlineStr">
        <is>
          <t>JL5 · C3A · L8 Associate Manager</t>
        </is>
      </c>
      <c r="AJ11" s="130" t="inlineStr">
        <is>
          <t>Manager</t>
        </is>
      </c>
      <c r="AK11" s="130" t="inlineStr">
        <is>
          <t>DataTracks</t>
        </is>
      </c>
      <c r="AL11" s="130" t="inlineStr">
        <is>
          <r>
            <rPr>
              <rFont val="Calibri"/>
              <b val="1"/>
              <sz val="10"/>
            </rPr>
            <t>Accenture Operations:</t>
          </r>
          <r>
            <rPr>
              <rFont val="Calibri"/>
              <sz val="10"/>
            </rPr>
            <t xml:space="preserve"> L8 Associate Manager · IRIS Vs Competitor Benchmark — operations roles: Operations Manager</t>
          </r>
        </is>
      </c>
      <c r="AM11" s="130" t="inlineStr">
        <is>
          <t>COPC CX Standard · leadership &amp; planning, people, processes, performance; ISO 9001; Lean / Six Sigma</t>
        </is>
      </c>
      <c r="AN11" s="131" t="inlineStr">
        <is>
          <t>Lateral</t>
        </is>
      </c>
      <c r="AO11" s="132" t="inlineStr">
        <is>
          <t>B3 · Lead Specialist</t>
        </is>
      </c>
      <c r="AP11" s="132" t="inlineStr">
        <is>
          <t>B3 · Senior Manager</t>
        </is>
      </c>
      <c r="AQ11" s="132" t="inlineStr">
        <is>
          <t>AI-assisted conversion &amp; OCR, automation of formatting, quality analytics</t>
        </is>
      </c>
    </row>
    <row r="12">
      <c r="A12" s="177" t="n"/>
      <c r="B12" s="178" t="n"/>
      <c r="C12" s="178" t="n"/>
      <c r="D12" s="178" t="n"/>
      <c r="E12" s="178" t="n"/>
      <c r="F12" s="178" t="n"/>
      <c r="G12" s="178" t="n"/>
      <c r="H12" s="178" t="n"/>
      <c r="I12" s="179" t="n"/>
      <c r="J12" s="180" t="n"/>
      <c r="K12" s="180" t="n"/>
      <c r="L12" s="180" t="n"/>
      <c r="M12" s="180" t="n"/>
      <c r="N12" s="181" t="n"/>
      <c r="O12" s="182" t="n"/>
      <c r="P12" s="182" t="n"/>
      <c r="Q12" s="182" t="n"/>
      <c r="R12" s="183" t="n"/>
      <c r="S12" s="184" t="n"/>
      <c r="T12" s="184" t="n"/>
      <c r="U12" s="184" t="n"/>
      <c r="V12" s="184" t="n"/>
      <c r="W12" s="184" t="n"/>
      <c r="X12" s="184" t="n"/>
      <c r="Y12" s="185" t="n"/>
      <c r="Z12" s="186" t="n"/>
      <c r="AA12" s="186" t="n"/>
      <c r="AB12" s="186" t="n"/>
      <c r="AC12" s="187" t="n"/>
      <c r="AD12" s="188" t="n"/>
      <c r="AE12" s="189" t="n"/>
      <c r="AF12" s="189" t="n"/>
      <c r="AG12" s="189" t="n"/>
      <c r="AH12" s="189" t="n"/>
      <c r="AI12" s="189" t="n"/>
      <c r="AJ12" s="189" t="n"/>
      <c r="AK12" s="189" t="n"/>
      <c r="AL12" s="189" t="n"/>
      <c r="AM12" s="189" t="n"/>
      <c r="AN12" s="190" t="n"/>
      <c r="AO12" s="191" t="n"/>
      <c r="AP12" s="191" t="n"/>
      <c r="AQ12" s="191" t="n"/>
    </row>
    <row r="13" ht="20" customHeight="1">
      <c r="A13" s="155" t="inlineStr">
        <is>
          <t>India Content — 9 people · 3 roles · Service delivery &amp; data operations · levels A3–B2</t>
        </is>
      </c>
    </row>
    <row r="14" ht="80" customHeight="1">
      <c r="A14" s="109" t="inlineStr">
        <is>
          <t>India Content</t>
        </is>
      </c>
      <c r="B14" s="111" t="inlineStr">
        <is>
          <t>Data &amp; Analytics</t>
        </is>
      </c>
      <c r="C14" s="111" t="inlineStr">
        <is>
          <t>Financial Data Processing</t>
        </is>
      </c>
      <c r="D14" s="111" t="inlineStr">
        <is>
          <t>Senior Data Analyst</t>
        </is>
      </c>
      <c r="E14" s="26" t="inlineStr">
        <is>
          <t>A3</t>
        </is>
      </c>
      <c r="F14" s="139" t="inlineStr">
        <is>
          <t>Senior Associate</t>
        </is>
      </c>
      <c r="G14" s="111" t="inlineStr">
        <is>
          <t>IC</t>
        </is>
      </c>
      <c r="H14" s="112" t="n">
        <v>7</v>
      </c>
      <c r="I14" s="146" t="inlineStr">
        <is>
          <t>Varied work; reviews juniors; go-to for a process</t>
        </is>
      </c>
      <c r="J14" s="115" t="inlineStr">
        <is>
          <t>Varied and non-standard work; handles exceptions</t>
        </is>
      </c>
      <c r="K14" s="115" t="inlineStr">
        <is>
          <t>Technical / QC / client calls on own work</t>
        </is>
      </c>
      <c r="L14" s="115" t="inlineStr">
        <is>
          <t>A module / process, or work with client or regulatory consequences</t>
        </is>
      </c>
      <c r="M14" s="115" t="inlineStr">
        <is>
          <t>Not scored in Band A</t>
        </is>
      </c>
      <c r="N14" s="172" t="inlineStr">
        <is>
          <t>2–4 yrs</t>
        </is>
      </c>
      <c r="O14" s="159" t="inlineStr">
        <is>
          <r>
            <rPr>
              <rFont val="Calibri"/>
              <sz val="10"/>
            </rPr>
            <t xml:space="preserve">Graduate; relevant certification preferred
</t>
          </r>
          <r>
            <rPr>
              <rFont val="Calibri"/>
              <b val="1"/>
              <sz val="10"/>
            </rPr>
            <t>Family:</t>
          </r>
          <r>
            <rPr>
              <rFont val="Calibri"/>
              <sz val="10"/>
            </rPr>
            <t xml:space="preserve"> Graduate in commerce / statistics / engineering</t>
          </r>
        </is>
      </c>
      <c r="P14" s="159" t="inlineStr">
        <is>
          <t>Power BI / Tableau · optional; Database certifications · optional</t>
        </is>
      </c>
      <c r="Q14" s="159" t="inlineStr">
        <is>
          <t>Data quality and confidentiality</t>
        </is>
      </c>
      <c r="R14" s="173" t="inlineStr">
        <is>
          <t>SD-A</t>
        </is>
      </c>
      <c r="S14" s="174" t="n">
        <v>0.54</v>
      </c>
      <c r="T14" s="174" t="n">
        <v>0.16</v>
      </c>
      <c r="U14" s="174" t="n">
        <v>0.14</v>
      </c>
      <c r="V14" s="174" t="n">
        <v>0</v>
      </c>
      <c r="W14" s="174" t="n">
        <v>0.1</v>
      </c>
      <c r="X14" s="174" t="n">
        <v>0.06</v>
      </c>
      <c r="Y14" s="121" t="inlineStr">
        <is>
          <t>★ Data Analytics, BI &amp; Visualisation · ★ Database, SQL &amp; Data Engineering</t>
        </is>
      </c>
      <c r="Z14" s="122" t="inlineStr">
        <is>
          <t>Advanced Excel &amp; Productivity Tools · Regulatory &amp; BFSI Domain · Process Improvement &amp; Quality Mindset · Accounting &amp; Reporting Standards · IFRS/US GAAP</t>
        </is>
      </c>
      <c r="AA14" s="122" t="inlineStr">
        <is>
          <t>—</t>
        </is>
      </c>
      <c r="AB14" s="122" t="inlineStr">
        <is>
          <t>Core 2 · Future-ready 2 · Functional 3 · Leadership —</t>
        </is>
      </c>
      <c r="AC14" s="123" t="inlineStr">
        <is>
          <t>None · guides 1–3 juniors informally</t>
        </is>
      </c>
      <c r="AD14" s="175" t="inlineStr">
        <is>
          <t>P2</t>
        </is>
      </c>
      <c r="AE14" s="130" t="inlineStr">
        <is>
          <t>Developing</t>
        </is>
      </c>
      <c r="AF14" s="176" t="inlineStr">
        <is>
          <t>3 Apply</t>
        </is>
      </c>
      <c r="AG14" s="130" t="inlineStr">
        <is>
          <t>Data Analyst</t>
        </is>
      </c>
      <c r="AH14" s="130" t="inlineStr">
        <is>
          <t>L3–L4 · MS 61–62 · Software Engineer</t>
        </is>
      </c>
      <c r="AI14" s="130" t="inlineStr">
        <is>
          <t>JL3A Senior Systems Engineer · C1 System Engineer · L11–L10 · Senior Analyst</t>
        </is>
      </c>
      <c r="AJ14" s="130" t="inlineStr">
        <is>
          <t>Consultant · DataTracks Senior Associate · 2–5 yrs</t>
        </is>
      </c>
      <c r="AK14" s="130" t="inlineStr">
        <is>
          <t>Radford / Pave</t>
        </is>
      </c>
      <c r="AL14" s="130" t="inlineStr">
        <is>
          <r>
            <rPr>
              <rFont val="Calibri"/>
              <b val="1"/>
              <sz val="10"/>
            </rPr>
            <t>Atlassian company-wide P-levels:</t>
          </r>
          <r>
            <rPr>
              <rFont val="Calibri"/>
              <sz val="10"/>
            </rPr>
            <t xml:space="preserve"> P40 Analyst · IRIS Vs Competitor Benchmark — data analyst ladder: Data Analyst II</t>
          </r>
        </is>
      </c>
      <c r="AM14" s="130" t="inlineStr">
        <is>
          <t>DAMA-DMBOK · 11 knowledge areas around data governance</t>
        </is>
      </c>
      <c r="AN14" s="131" t="inlineStr">
        <is>
          <t>Lateral or campus · CT2 at 12 months; CT3 in programme</t>
        </is>
      </c>
      <c r="AO14" s="132" t="inlineStr">
        <is>
          <t>B1 · Specialist</t>
        </is>
      </c>
      <c r="AP14" s="132" t="inlineStr">
        <is>
          <t>B1 · Team Lead</t>
        </is>
      </c>
      <c r="AQ14" s="132" t="inlineStr">
        <is>
          <t>AI &amp; big data, Python / SQL analytics, self-service BI</t>
        </is>
      </c>
    </row>
    <row r="15" ht="80" customHeight="1">
      <c r="A15" s="109" t="inlineStr">
        <is>
          <t>India Content</t>
        </is>
      </c>
      <c r="B15" s="111" t="inlineStr">
        <is>
          <t>Data &amp; Analytics</t>
        </is>
      </c>
      <c r="C15" s="111" t="inlineStr">
        <is>
          <t>Financial Data Processing</t>
        </is>
      </c>
      <c r="D15" s="111" t="inlineStr">
        <is>
          <t>Data Specialist</t>
        </is>
      </c>
      <c r="E15" s="23" t="inlineStr">
        <is>
          <t>B1</t>
        </is>
      </c>
      <c r="F15" s="21" t="inlineStr">
        <is>
          <t>Specialist</t>
        </is>
      </c>
      <c r="G15" s="111" t="inlineStr">
        <is>
          <t>IC</t>
        </is>
      </c>
      <c r="H15" s="112" t="n">
        <v>1</v>
      </c>
      <c r="I15" s="146" t="inlineStr">
        <is>
          <t>A domain / module, or a small team</t>
        </is>
      </c>
      <c r="J15" s="115" t="inlineStr">
        <is>
          <t>Domain specialist work</t>
        </is>
      </c>
      <c r="K15" s="115" t="inlineStr">
        <is>
          <t>Technical / QC / client calls for the domain</t>
        </is>
      </c>
      <c r="L15" s="115" t="inlineStr">
        <is>
          <t>A domain or a small team</t>
        </is>
      </c>
      <c r="M15" s="115" t="inlineStr">
        <is>
          <r>
            <rPr>
              <rFont val="Calibri"/>
              <b val="1"/>
              <sz val="10"/>
            </rPr>
            <t>IC:</t>
          </r>
          <r>
            <rPr>
              <rFont val="Calibri"/>
              <sz val="10"/>
            </rPr>
            <t xml:space="preserve"> mentors and reviews · People: hands-on team lead of 3–5</t>
          </r>
        </is>
      </c>
      <c r="N15" s="172" t="inlineStr">
        <is>
          <t>4–7 yrs</t>
        </is>
      </c>
      <c r="O15" s="159" t="inlineStr">
        <is>
          <r>
            <rPr>
              <rFont val="Calibri"/>
              <sz val="10"/>
            </rPr>
            <t xml:space="preserve">Graduate + relevant qualification or certification preferred
</t>
          </r>
          <r>
            <rPr>
              <rFont val="Calibri"/>
              <b val="1"/>
              <sz val="10"/>
            </rPr>
            <t>Family:</t>
          </r>
          <r>
            <rPr>
              <rFont val="Calibri"/>
              <sz val="10"/>
            </rPr>
            <t xml:space="preserve"> Graduate in commerce / statistics / engineering</t>
          </r>
        </is>
      </c>
      <c r="P15" s="159" t="inlineStr">
        <is>
          <t>Power BI / Tableau · optional; Database certifications · optional</t>
        </is>
      </c>
      <c r="Q15" s="159" t="inlineStr">
        <is>
          <t>Data quality and confidentiality</t>
        </is>
      </c>
      <c r="R15" s="173" t="inlineStr">
        <is>
          <t>SD-B-IC</t>
        </is>
      </c>
      <c r="S15" s="174" t="n">
        <v>0.46</v>
      </c>
      <c r="T15" s="174" t="n">
        <v>0.17</v>
      </c>
      <c r="U15" s="174" t="n">
        <v>0.15</v>
      </c>
      <c r="V15" s="174" t="n">
        <v>0.05</v>
      </c>
      <c r="W15" s="174" t="n">
        <v>0.1</v>
      </c>
      <c r="X15" s="174" t="n">
        <v>0.07000000000000001</v>
      </c>
      <c r="Y15" s="121" t="inlineStr">
        <is>
          <t>★ Data Analytics, BI &amp; Visualisation · ★ Database, SQL &amp; Data Engineering</t>
        </is>
      </c>
      <c r="Z15" s="122" t="inlineStr">
        <is>
          <t>Advanced Excel &amp; Productivity Tools · Regulatory &amp; BFSI Domain · Process Improvement &amp; Quality Mindset · Accounting &amp; Reporting Standards · IFRS/US GAAP</t>
        </is>
      </c>
      <c r="AA15" s="122" t="inlineStr">
        <is>
          <t>—</t>
        </is>
      </c>
      <c r="AB15" s="122" t="inlineStr">
        <is>
          <t>Core 3 · Future-ready 3 · Functional 3 · Leadership 1</t>
        </is>
      </c>
      <c r="AC15" s="123" t="inlineStr">
        <is>
          <r>
            <rPr>
              <rFont val="Calibri"/>
              <b val="1"/>
              <sz val="10"/>
            </rPr>
            <t>IC:</t>
          </r>
          <r>
            <rPr>
              <rFont val="Calibri"/>
              <sz val="10"/>
            </rPr>
            <t xml:space="preserve"> none · Team Lead: 3–5</t>
          </r>
        </is>
      </c>
      <c r="AD15" s="175" t="inlineStr">
        <is>
          <t>P3</t>
        </is>
      </c>
      <c r="AE15" s="130" t="inlineStr">
        <is>
          <t>Career / · Team Lead</t>
        </is>
      </c>
      <c r="AF15" s="176" t="inlineStr">
        <is>
          <t>4 Enable</t>
        </is>
      </c>
      <c r="AG15" s="130" t="inlineStr">
        <is>
          <t>Senior Data Analyst</t>
        </is>
      </c>
      <c r="AH15" s="130" t="inlineStr">
        <is>
          <t>L4 · MS 62 · Software Engineer – Senior SE</t>
        </is>
      </c>
      <c r="AI15" s="130" t="inlineStr">
        <is>
          <t>JL4 Technology Analyst · C2 IT Analyst · L9 Team Lead / Consultant</t>
        </is>
      </c>
      <c r="AJ15" s="130" t="inlineStr">
        <is>
          <t>Senior Consultant / Assistant Manager</t>
        </is>
      </c>
      <c r="AK15" s="130" t="inlineStr">
        <is>
          <t>Radford / Pave</t>
        </is>
      </c>
      <c r="AL15" s="130" t="inlineStr">
        <is>
          <r>
            <rPr>
              <rFont val="Calibri"/>
              <b val="1"/>
              <sz val="10"/>
            </rPr>
            <t>Atlassian company-wide P-levels:</t>
          </r>
          <r>
            <rPr>
              <rFont val="Calibri"/>
              <sz val="10"/>
            </rPr>
            <t xml:space="preserve"> P40 · IRIS Vs Competitor Benchmark — data analyst ladder: Senior Data Analyst</t>
          </r>
        </is>
      </c>
      <c r="AM15" s="130" t="inlineStr">
        <is>
          <t>DAMA-DMBOK · 11 knowledge areas around data governance</t>
        </is>
      </c>
      <c r="AN15" s="131" t="inlineStr">
        <is>
          <t>Lateral; Management Trainees graduate here</t>
        </is>
      </c>
      <c r="AO15" s="132" t="inlineStr">
        <is>
          <t>B2 · Senior Specialist</t>
        </is>
      </c>
      <c r="AP15" s="132" t="inlineStr">
        <is>
          <t>B2 · Manager</t>
        </is>
      </c>
      <c r="AQ15" s="132" t="inlineStr">
        <is>
          <t>AI &amp; big data, Python / SQL analytics, self-service BI</t>
        </is>
      </c>
    </row>
    <row r="16" ht="80" customHeight="1">
      <c r="A16" s="109" t="inlineStr">
        <is>
          <t>India Content</t>
        </is>
      </c>
      <c r="B16" s="111" t="inlineStr">
        <is>
          <t>Data &amp; Analytics</t>
        </is>
      </c>
      <c r="C16" s="111" t="inlineStr">
        <is>
          <t>Financial Data Processing</t>
        </is>
      </c>
      <c r="D16" s="111" t="inlineStr">
        <is>
          <t>Data Operations Manager</t>
        </is>
      </c>
      <c r="E16" s="23" t="inlineStr">
        <is>
          <t>B2</t>
        </is>
      </c>
      <c r="F16" s="21" t="inlineStr">
        <is>
          <t>Manager</t>
        </is>
      </c>
      <c r="G16" s="111" t="inlineStr">
        <is>
          <t>People Manager</t>
        </is>
      </c>
      <c r="H16" s="112" t="n">
        <v>1</v>
      </c>
      <c r="I16" s="146" t="inlineStr">
        <is>
          <t>Deep domain expertise, or one team</t>
        </is>
      </c>
      <c r="J16" s="115" t="inlineStr">
        <is>
          <t>Hardest problems in the domain</t>
        </is>
      </c>
      <c r="K16" s="115" t="inlineStr">
        <is>
          <t>Allocates people and sets team priorities</t>
        </is>
      </c>
      <c r="L16" s="115" t="inlineStr">
        <is>
          <t>One team or a client portfolio</t>
        </is>
      </c>
      <c r="M16" s="115" t="inlineStr">
        <is>
          <r>
            <rPr>
              <rFont val="Calibri"/>
              <b val="1"/>
              <sz val="10"/>
            </rPr>
            <t>IC:</t>
          </r>
          <r>
            <rPr>
              <rFont val="Calibri"/>
              <sz val="10"/>
            </rPr>
            <t xml:space="preserve"> guides others in the domain · People: manages a team of 6+</t>
          </r>
        </is>
      </c>
      <c r="N16" s="172" t="inlineStr">
        <is>
          <t>6–9 yrs</t>
        </is>
      </c>
      <c r="O16" s="159" t="inlineStr">
        <is>
          <r>
            <rPr>
              <rFont val="Calibri"/>
              <sz val="10"/>
            </rPr>
            <t xml:space="preserve">Graduate or postgraduate; professional qualification preferred
</t>
          </r>
          <r>
            <rPr>
              <rFont val="Calibri"/>
              <b val="1"/>
              <sz val="10"/>
            </rPr>
            <t>Family:</t>
          </r>
          <r>
            <rPr>
              <rFont val="Calibri"/>
              <sz val="10"/>
            </rPr>
            <t xml:space="preserve"> Graduate in commerce / statistics / engineering</t>
          </r>
        </is>
      </c>
      <c r="P16" s="159" t="inlineStr">
        <is>
          <t>Power BI / Tableau · optional; Database certifications · optional</t>
        </is>
      </c>
      <c r="Q16" s="159" t="inlineStr">
        <is>
          <t>Data quality and confidentiality</t>
        </is>
      </c>
      <c r="R16" s="173" t="inlineStr">
        <is>
          <t>SD-B-M</t>
        </is>
      </c>
      <c r="S16" s="174" t="n">
        <v>0.32</v>
      </c>
      <c r="T16" s="174" t="n">
        <v>0.18</v>
      </c>
      <c r="U16" s="174" t="n">
        <v>0.16</v>
      </c>
      <c r="V16" s="174" t="n">
        <v>0.15</v>
      </c>
      <c r="W16" s="174" t="n">
        <v>0.1</v>
      </c>
      <c r="X16" s="174" t="n">
        <v>0.09</v>
      </c>
      <c r="Y16" s="121" t="inlineStr">
        <is>
          <t>★ Data Analytics, BI &amp; Visualisation · ★ Database, SQL &amp; Data Engineering</t>
        </is>
      </c>
      <c r="Z16" s="122" t="inlineStr">
        <is>
          <t>Advanced Excel &amp; Productivity Tools · Regulatory &amp; BFSI Domain · Process Improvement &amp; Quality Mindset · Accounting &amp; Reporting Standards · IFRS/US GAAP</t>
        </is>
      </c>
      <c r="AA16" s="122" t="inlineStr">
        <is>
          <t>—</t>
        </is>
      </c>
      <c r="AB16" s="122" t="inlineStr">
        <is>
          <t>Core 3 · Future-ready 3 · Functional 4 · Leadership 3</t>
        </is>
      </c>
      <c r="AC16" s="123" t="inlineStr">
        <is>
          <r>
            <rPr>
              <rFont val="Calibri"/>
              <b val="1"/>
              <sz val="10"/>
            </rPr>
            <t>IC:</t>
          </r>
          <r>
            <rPr>
              <rFont val="Calibri"/>
              <sz val="10"/>
            </rPr>
            <t xml:space="preserve"> none · People: 6–8 knowledge work, 8–12 standardised delivery</t>
          </r>
        </is>
      </c>
      <c r="AD16" s="175" t="inlineStr">
        <is>
          <t>M3</t>
        </is>
      </c>
      <c r="AE16" s="130" t="inlineStr">
        <is>
          <t>Senior / Manager</t>
        </is>
      </c>
      <c r="AF16" s="176" t="inlineStr">
        <is>
          <t>4–5</t>
        </is>
      </c>
      <c r="AG16" s="130" t="inlineStr">
        <is>
          <t>Manager</t>
        </is>
      </c>
      <c r="AH16" s="130" t="inlineStr">
        <is>
          <t>L5 · Senior · MS 63 · Senior SE</t>
        </is>
      </c>
      <c r="AI16" s="130" t="inlineStr">
        <is>
          <t>JL5 Technology Lead · C3A Assistant Consultant · L8 Associate Manager</t>
        </is>
      </c>
      <c r="AJ16" s="130" t="inlineStr">
        <is>
          <t>Manager</t>
        </is>
      </c>
      <c r="AK16" s="130" t="inlineStr">
        <is>
          <t>Radford / Pave</t>
        </is>
      </c>
      <c r="AL16" s="130" t="inlineStr">
        <is>
          <r>
            <rPr>
              <rFont val="Calibri"/>
              <b val="1"/>
              <sz val="10"/>
            </rPr>
            <t>Atlassian company-wide P-levels:</t>
          </r>
          <r>
            <rPr>
              <rFont val="Calibri"/>
              <sz val="10"/>
            </rPr>
            <t xml:space="preserve"> P50 Senior Analyst · IRIS Vs Competitor Benchmark — data analyst ladder: Lead Data Analyst</t>
          </r>
        </is>
      </c>
      <c r="AM16" s="130" t="inlineStr">
        <is>
          <t>DAMA-DMBOK · 11 knowledge areas around data governance</t>
        </is>
      </c>
      <c r="AN16" s="131" t="inlineStr">
        <is>
          <t>Lateral</t>
        </is>
      </c>
      <c r="AO16" s="132" t="inlineStr">
        <is>
          <t>B3 · Lead Specialist</t>
        </is>
      </c>
      <c r="AP16" s="132" t="inlineStr">
        <is>
          <t>B3 · Senior Manager</t>
        </is>
      </c>
      <c r="AQ16" s="132" t="inlineStr">
        <is>
          <t>AI &amp; big data, Python / SQL analytics, self-service BI</t>
        </is>
      </c>
    </row>
    <row r="17">
      <c r="A17" s="177" t="n"/>
      <c r="B17" s="178" t="n"/>
      <c r="C17" s="178" t="n"/>
      <c r="D17" s="178" t="n"/>
      <c r="E17" s="178" t="n"/>
      <c r="F17" s="178" t="n"/>
      <c r="G17" s="178" t="n"/>
      <c r="H17" s="178" t="n"/>
      <c r="I17" s="179" t="n"/>
      <c r="J17" s="180" t="n"/>
      <c r="K17" s="180" t="n"/>
      <c r="L17" s="180" t="n"/>
      <c r="M17" s="180" t="n"/>
      <c r="N17" s="181" t="n"/>
      <c r="O17" s="182" t="n"/>
      <c r="P17" s="182" t="n"/>
      <c r="Q17" s="182" t="n"/>
      <c r="R17" s="183" t="n"/>
      <c r="S17" s="184" t="n"/>
      <c r="T17" s="184" t="n"/>
      <c r="U17" s="184" t="n"/>
      <c r="V17" s="184" t="n"/>
      <c r="W17" s="184" t="n"/>
      <c r="X17" s="184" t="n"/>
      <c r="Y17" s="185" t="n"/>
      <c r="Z17" s="186" t="n"/>
      <c r="AA17" s="186" t="n"/>
      <c r="AB17" s="186" t="n"/>
      <c r="AC17" s="187" t="n"/>
      <c r="AD17" s="188" t="n"/>
      <c r="AE17" s="189" t="n"/>
      <c r="AF17" s="189" t="n"/>
      <c r="AG17" s="189" t="n"/>
      <c r="AH17" s="189" t="n"/>
      <c r="AI17" s="189" t="n"/>
      <c r="AJ17" s="189" t="n"/>
      <c r="AK17" s="189" t="n"/>
      <c r="AL17" s="189" t="n"/>
      <c r="AM17" s="189" t="n"/>
      <c r="AN17" s="190" t="n"/>
      <c r="AO17" s="191" t="n"/>
      <c r="AP17" s="191" t="n"/>
      <c r="AQ17" s="191" t="n"/>
    </row>
    <row r="18" ht="20" customHeight="1">
      <c r="A18" s="155" t="inlineStr">
        <is>
          <t>Technology — 5 people · 5 roles · Technology &amp; engineering · levels A3–B3</t>
        </is>
      </c>
    </row>
    <row r="19" ht="67" customHeight="1">
      <c r="A19" s="109" t="inlineStr">
        <is>
          <t>Technology</t>
        </is>
      </c>
      <c r="B19" s="111" t="inlineStr">
        <is>
          <t>Engineering &amp; Development</t>
        </is>
      </c>
      <c r="C19" s="111" t="inlineStr">
        <is>
          <t>Application Maintenance &amp; Production Support</t>
        </is>
      </c>
      <c r="D19" s="111" t="inlineStr">
        <is>
          <t>Senior Software Engineer</t>
        </is>
      </c>
      <c r="E19" s="26" t="inlineStr">
        <is>
          <t>A3</t>
        </is>
      </c>
      <c r="F19" s="139" t="inlineStr">
        <is>
          <t>Senior Associate</t>
        </is>
      </c>
      <c r="G19" s="111" t="inlineStr">
        <is>
          <t>IC</t>
        </is>
      </c>
      <c r="H19" s="112" t="n">
        <v>1</v>
      </c>
      <c r="I19" s="146" t="inlineStr">
        <is>
          <t>Varied work; reviews juniors; go-to for a process</t>
        </is>
      </c>
      <c r="J19" s="115" t="inlineStr">
        <is>
          <t>Varied and non-standard work; handles exceptions</t>
        </is>
      </c>
      <c r="K19" s="115" t="inlineStr">
        <is>
          <t>Technical / QC / client calls on own work</t>
        </is>
      </c>
      <c r="L19" s="115" t="inlineStr">
        <is>
          <t>A module / process, or work with client or regulatory consequences</t>
        </is>
      </c>
      <c r="M19" s="115" t="inlineStr">
        <is>
          <t>Not scored in Band A</t>
        </is>
      </c>
      <c r="N19" s="172" t="inlineStr">
        <is>
          <t>2–4 yrs</t>
        </is>
      </c>
      <c r="O19" s="159" t="inlineStr">
        <is>
          <r>
            <rPr>
              <rFont val="Calibri"/>
              <sz val="10"/>
            </rPr>
            <t xml:space="preserve">Graduate; relevant certification preferred
</t>
          </r>
          <r>
            <rPr>
              <rFont val="Calibri"/>
              <b val="1"/>
              <sz val="10"/>
            </rPr>
            <t>Family:</t>
          </r>
          <r>
            <rPr>
              <rFont val="Calibri"/>
              <sz val="10"/>
            </rPr>
            <t xml:space="preserve"> BE / B.Tech / MCA / M.Tech / B.Sc · CS</t>
          </r>
        </is>
      </c>
      <c r="P19" s="159" t="inlineStr">
        <is>
          <t>Cloud / language certifications · optional; AWS / Azure architect · optional</t>
        </is>
      </c>
      <c r="Q19" s="159" t="inlineStr">
        <is>
          <t>Secure coding · OWASP, code review, unit testing</t>
        </is>
      </c>
      <c r="R19" s="173" t="inlineStr">
        <is>
          <t>TE-A</t>
        </is>
      </c>
      <c r="S19" s="174" t="n">
        <v>0.64</v>
      </c>
      <c r="T19" s="174" t="n">
        <v>0.16</v>
      </c>
      <c r="U19" s="174" t="n">
        <v>0.04</v>
      </c>
      <c r="V19" s="174" t="n">
        <v>0</v>
      </c>
      <c r="W19" s="174" t="n">
        <v>0.1</v>
      </c>
      <c r="X19" s="174" t="n">
        <v>0.06</v>
      </c>
      <c r="Y19" s="121" t="inlineStr">
        <is>
          <t>★ Programming &amp; Tech-Stack Depth · ★ System Design &amp; Architecture</t>
        </is>
      </c>
      <c r="Z19" s="122" t="inlineStr">
        <is>
          <t>Database, SQL &amp; Data Engineering · Cloud, DevOps &amp; CI/CD · AI, GenAI &amp; Prompt Engineering · Product, Platform &amp; Domain Knowledge</t>
        </is>
      </c>
      <c r="AA19" s="122" t="inlineStr">
        <is>
          <t>—</t>
        </is>
      </c>
      <c r="AB19" s="122" t="inlineStr">
        <is>
          <t>Core 2 · Future-ready 2 · Functional 3 · Leadership —</t>
        </is>
      </c>
      <c r="AC19" s="123" t="inlineStr">
        <is>
          <t>None · guides 1–3 juniors informally</t>
        </is>
      </c>
      <c r="AD19" s="175" t="inlineStr">
        <is>
          <t>P2</t>
        </is>
      </c>
      <c r="AE19" s="130" t="inlineStr">
        <is>
          <t>Developing</t>
        </is>
      </c>
      <c r="AF19" s="176" t="inlineStr">
        <is>
          <t>3 Apply</t>
        </is>
      </c>
      <c r="AG19" s="130" t="inlineStr">
        <is>
          <t>Software Engineer</t>
        </is>
      </c>
      <c r="AH19" s="130" t="inlineStr">
        <is>
          <t>L3–L4 · MS 61–62 · Software Engineer</t>
        </is>
      </c>
      <c r="AI19" s="130" t="inlineStr">
        <is>
          <t>JL3A Senior Systems Engineer · C1 System Engineer · L11–L10 · Senior Analyst</t>
        </is>
      </c>
      <c r="AJ19" s="130" t="inlineStr">
        <is>
          <t>Consultant · DataTracks Senior Associate · 2–5 yrs</t>
        </is>
      </c>
      <c r="AK19" s="130" t="inlineStr">
        <is>
          <t>Workiva · Levels.fyi, Radford / Pave</t>
        </is>
      </c>
      <c r="AL19" s="130" t="inlineStr">
        <is>
          <r>
            <rPr>
              <rFont val="Calibri"/>
              <b val="1"/>
              <sz val="10"/>
            </rPr>
            <t>Workiva:</t>
          </r>
          <r>
            <rPr>
              <rFont val="Calibri"/>
              <sz val="10"/>
            </rPr>
            <t xml:space="preserve"> SE · Broadridge India: SE · Nasdaq / AxiomSL: SE · Salesforce: MTS · Atlassian: P40 · 3–7 yrs · Freshworks: Senior SE · Clear: SDE2</t>
          </r>
        </is>
      </c>
      <c r="AM19" s="130" t="inlineStr">
        <is>
          <t>SFIA 9 · software development, programming; OWASP secure coding; cloud vendor certifications</t>
        </is>
      </c>
      <c r="AN19" s="131" t="inlineStr">
        <is>
          <t>Lateral or campus · CT2 at 12 months; CT3 in programme</t>
        </is>
      </c>
      <c r="AO19" s="132" t="inlineStr">
        <is>
          <t>B1 · Specialist</t>
        </is>
      </c>
      <c r="AP19" s="132" t="inlineStr">
        <is>
          <t>B1 · Team Lead</t>
        </is>
      </c>
      <c r="AQ19" s="132" t="inlineStr">
        <is>
          <t>AI-assisted coding, cloud-native &amp; API-first design, LLM integration</t>
        </is>
      </c>
    </row>
    <row r="20" ht="67" customHeight="1">
      <c r="A20" s="109" t="inlineStr">
        <is>
          <t>Technology</t>
        </is>
      </c>
      <c r="B20" s="111" t="inlineStr">
        <is>
          <t>Engineering &amp; Development</t>
        </is>
      </c>
      <c r="C20" s="111" t="inlineStr">
        <is>
          <t>Application Maintenance &amp; Production Support</t>
        </is>
      </c>
      <c r="D20" s="111" t="inlineStr">
        <is>
          <t>Technical Specialist</t>
        </is>
      </c>
      <c r="E20" s="26" t="inlineStr">
        <is>
          <t>A3</t>
        </is>
      </c>
      <c r="F20" s="139" t="inlineStr">
        <is>
          <t>Senior Associate</t>
        </is>
      </c>
      <c r="G20" s="111" t="inlineStr">
        <is>
          <t>IC</t>
        </is>
      </c>
      <c r="H20" s="112" t="n">
        <v>1</v>
      </c>
      <c r="I20" s="146" t="inlineStr">
        <is>
          <t>Varied work; reviews juniors; go-to for a process</t>
        </is>
      </c>
      <c r="J20" s="115" t="inlineStr">
        <is>
          <t>Varied and non-standard work; handles exceptions</t>
        </is>
      </c>
      <c r="K20" s="115" t="inlineStr">
        <is>
          <t>Technical / QC / client calls on own work</t>
        </is>
      </c>
      <c r="L20" s="115" t="inlineStr">
        <is>
          <t>A module / process, or work with client or regulatory consequences</t>
        </is>
      </c>
      <c r="M20" s="115" t="inlineStr">
        <is>
          <t>Not scored in Band A</t>
        </is>
      </c>
      <c r="N20" s="172" t="inlineStr">
        <is>
          <t>2–4 yrs</t>
        </is>
      </c>
      <c r="O20" s="159" t="inlineStr">
        <is>
          <r>
            <rPr>
              <rFont val="Calibri"/>
              <sz val="10"/>
            </rPr>
            <t xml:space="preserve">Graduate; relevant certification preferred
</t>
          </r>
          <r>
            <rPr>
              <rFont val="Calibri"/>
              <b val="1"/>
              <sz val="10"/>
            </rPr>
            <t>Family:</t>
          </r>
          <r>
            <rPr>
              <rFont val="Calibri"/>
              <sz val="10"/>
            </rPr>
            <t xml:space="preserve"> BE / B.Tech / MCA / M.Tech / B.Sc · CS</t>
          </r>
        </is>
      </c>
      <c r="P20" s="159" t="inlineStr">
        <is>
          <t>Cloud / language certifications · optional; AWS / Azure architect · optional</t>
        </is>
      </c>
      <c r="Q20" s="159" t="inlineStr">
        <is>
          <t>Secure coding · OWASP, code review, unit testing</t>
        </is>
      </c>
      <c r="R20" s="173" t="inlineStr">
        <is>
          <t>TE-A</t>
        </is>
      </c>
      <c r="S20" s="174" t="n">
        <v>0.64</v>
      </c>
      <c r="T20" s="174" t="n">
        <v>0.16</v>
      </c>
      <c r="U20" s="174" t="n">
        <v>0.04</v>
      </c>
      <c r="V20" s="174" t="n">
        <v>0</v>
      </c>
      <c r="W20" s="174" t="n">
        <v>0.1</v>
      </c>
      <c r="X20" s="174" t="n">
        <v>0.06</v>
      </c>
      <c r="Y20" s="121" t="inlineStr">
        <is>
          <t>★ Programming &amp; Tech-Stack Depth · ★ System Design &amp; Architecture</t>
        </is>
      </c>
      <c r="Z20" s="122" t="inlineStr">
        <is>
          <t>Database, SQL &amp; Data Engineering · Cloud, DevOps &amp; CI/CD · AI, GenAI &amp; Prompt Engineering · Product, Platform &amp; Domain Knowledge</t>
        </is>
      </c>
      <c r="AA20" s="122" t="inlineStr">
        <is>
          <t>—</t>
        </is>
      </c>
      <c r="AB20" s="122" t="inlineStr">
        <is>
          <t>Core 2 · Future-ready 2 · Functional 3 · Leadership —</t>
        </is>
      </c>
      <c r="AC20" s="123" t="inlineStr">
        <is>
          <t>None · guides 1–3 juniors informally</t>
        </is>
      </c>
      <c r="AD20" s="175" t="inlineStr">
        <is>
          <t>P3</t>
        </is>
      </c>
      <c r="AE20" s="130" t="inlineStr">
        <is>
          <t>Developing</t>
        </is>
      </c>
      <c r="AF20" s="176" t="inlineStr">
        <is>
          <t>3 Apply</t>
        </is>
      </c>
      <c r="AG20" s="130" t="inlineStr">
        <is>
          <t>Senior Software Engineer</t>
        </is>
      </c>
      <c r="AH20" s="130" t="inlineStr">
        <is>
          <t>L3–L4 · MS 61–62 · Software Engineer</t>
        </is>
      </c>
      <c r="AI20" s="130" t="inlineStr">
        <is>
          <t>JL3A Senior Systems Engineer · C1 System Engineer · L11–L10 · Senior Analyst</t>
        </is>
      </c>
      <c r="AJ20" s="130" t="inlineStr">
        <is>
          <t>Consultant · DataTracks Senior Associate · 2–5 yrs</t>
        </is>
      </c>
      <c r="AK20" s="130" t="inlineStr">
        <is>
          <t>Workiva · Levels.fyi, Radford / Pave</t>
        </is>
      </c>
      <c r="AL20" s="130" t="inlineStr">
        <is>
          <r>
            <rPr>
              <rFont val="Calibri"/>
              <b val="1"/>
              <sz val="10"/>
            </rPr>
            <t>Workiva:</t>
          </r>
          <r>
            <rPr>
              <rFont val="Calibri"/>
              <sz val="10"/>
            </rPr>
            <t xml:space="preserve"> SE · Broadridge India: SE · Nasdaq / AxiomSL: SE · Salesforce: MTS · Atlassian: P40 · 3–7 yrs · Freshworks: Senior SE · Clear: SDE2</t>
          </r>
        </is>
      </c>
      <c r="AM20" s="130" t="inlineStr">
        <is>
          <t>SFIA 9 · software development, programming; OWASP secure coding; cloud vendor certifications</t>
        </is>
      </c>
      <c r="AN20" s="131" t="inlineStr">
        <is>
          <t>Lateral or campus · CT2 at 12 months; CT3 in programme</t>
        </is>
      </c>
      <c r="AO20" s="132" t="inlineStr">
        <is>
          <t>B1 · Specialist</t>
        </is>
      </c>
      <c r="AP20" s="132" t="inlineStr">
        <is>
          <t>B1 · Team Lead</t>
        </is>
      </c>
      <c r="AQ20" s="132" t="inlineStr">
        <is>
          <t>AI-assisted coding, cloud-native &amp; API-first design, LLM integration</t>
        </is>
      </c>
    </row>
    <row r="21" ht="67" customHeight="1">
      <c r="A21" s="109" t="inlineStr">
        <is>
          <t>Technology</t>
        </is>
      </c>
      <c r="B21" s="111" t="inlineStr">
        <is>
          <t>Engineering &amp; Development</t>
        </is>
      </c>
      <c r="C21" s="111" t="inlineStr">
        <is>
          <t>Application Maintenance &amp; Production Support</t>
        </is>
      </c>
      <c r="D21" s="111" t="inlineStr">
        <is>
          <t>Technical Specialist</t>
        </is>
      </c>
      <c r="E21" s="23" t="inlineStr">
        <is>
          <t>B1</t>
        </is>
      </c>
      <c r="F21" s="21" t="inlineStr">
        <is>
          <t>Specialist</t>
        </is>
      </c>
      <c r="G21" s="111" t="inlineStr">
        <is>
          <t>IC</t>
        </is>
      </c>
      <c r="H21" s="112" t="n">
        <v>1</v>
      </c>
      <c r="I21" s="146" t="inlineStr">
        <is>
          <t>A domain / module, or a small team</t>
        </is>
      </c>
      <c r="J21" s="115" t="inlineStr">
        <is>
          <t>Domain specialist work</t>
        </is>
      </c>
      <c r="K21" s="115" t="inlineStr">
        <is>
          <t>Technical / QC / client calls for the domain</t>
        </is>
      </c>
      <c r="L21" s="115" t="inlineStr">
        <is>
          <t>A domain or a small team</t>
        </is>
      </c>
      <c r="M21" s="115" t="inlineStr">
        <is>
          <r>
            <rPr>
              <rFont val="Calibri"/>
              <b val="1"/>
              <sz val="10"/>
            </rPr>
            <t>IC:</t>
          </r>
          <r>
            <rPr>
              <rFont val="Calibri"/>
              <sz val="10"/>
            </rPr>
            <t xml:space="preserve"> mentors and reviews · People: hands-on team lead of 3–5</t>
          </r>
        </is>
      </c>
      <c r="N21" s="172" t="inlineStr">
        <is>
          <t>4–7 yrs</t>
        </is>
      </c>
      <c r="O21" s="159"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21" s="159" t="inlineStr">
        <is>
          <t>Cloud / language certifications · optional; AWS / Azure architect · optional</t>
        </is>
      </c>
      <c r="Q21" s="159" t="inlineStr">
        <is>
          <t>Secure coding · OWASP, code review, unit testing</t>
        </is>
      </c>
      <c r="R21" s="173" t="inlineStr">
        <is>
          <t>TE-B-IC</t>
        </is>
      </c>
      <c r="S21" s="174" t="n">
        <v>0.5600000000000001</v>
      </c>
      <c r="T21" s="174" t="n">
        <v>0.17</v>
      </c>
      <c r="U21" s="174" t="n">
        <v>0.05</v>
      </c>
      <c r="V21" s="174" t="n">
        <v>0.05</v>
      </c>
      <c r="W21" s="174" t="n">
        <v>0.1</v>
      </c>
      <c r="X21" s="174" t="n">
        <v>0.07000000000000001</v>
      </c>
      <c r="Y21" s="121" t="inlineStr">
        <is>
          <t>★ Programming &amp; Tech-Stack Depth · ★ System Design &amp; Architecture</t>
        </is>
      </c>
      <c r="Z21" s="122" t="inlineStr">
        <is>
          <t>Database, SQL &amp; Data Engineering · Cloud, DevOps &amp; CI/CD · AI, GenAI &amp; Prompt Engineering · Product, Platform &amp; Domain Knowledge</t>
        </is>
      </c>
      <c r="AA21" s="122" t="inlineStr">
        <is>
          <t>—</t>
        </is>
      </c>
      <c r="AB21" s="122" t="inlineStr">
        <is>
          <t>Core 3 · Future-ready 3 · Functional 3 · Leadership 1</t>
        </is>
      </c>
      <c r="AC21" s="123" t="inlineStr">
        <is>
          <r>
            <rPr>
              <rFont val="Calibri"/>
              <b val="1"/>
              <sz val="10"/>
            </rPr>
            <t>IC:</t>
          </r>
          <r>
            <rPr>
              <rFont val="Calibri"/>
              <sz val="10"/>
            </rPr>
            <t xml:space="preserve"> none · Team Lead: 3–5</t>
          </r>
        </is>
      </c>
      <c r="AD21" s="175" t="inlineStr">
        <is>
          <t>P3</t>
        </is>
      </c>
      <c r="AE21" s="130" t="inlineStr">
        <is>
          <t>Career / · Team Lead</t>
        </is>
      </c>
      <c r="AF21" s="176" t="inlineStr">
        <is>
          <t>4 Enable</t>
        </is>
      </c>
      <c r="AG21" s="130" t="inlineStr">
        <is>
          <t>Senior Software Engineer</t>
        </is>
      </c>
      <c r="AH21" s="130" t="inlineStr">
        <is>
          <t>L4 · MS 62 · Software Engineer – Senior SE</t>
        </is>
      </c>
      <c r="AI21" s="130" t="inlineStr">
        <is>
          <t>JL4 Technology Analyst · C2 IT Analyst · L9 Team Lead / Consultant</t>
        </is>
      </c>
      <c r="AJ21" s="130" t="inlineStr">
        <is>
          <t>Senior Consultant / Assistant Manager</t>
        </is>
      </c>
      <c r="AK21" s="130" t="inlineStr">
        <is>
          <t>Workiva · Levels.fyi, Radford / Pave</t>
        </is>
      </c>
      <c r="AL21" s="130" t="inlineStr">
        <is>
          <r>
            <rPr>
              <rFont val="Calibri"/>
              <b val="1"/>
              <sz val="10"/>
            </rPr>
            <t>Workiva:</t>
          </r>
          <r>
            <rPr>
              <rFont val="Calibri"/>
              <sz val="10"/>
            </rPr>
            <t xml:space="preserve"> SE / Senior SE · Broadridge India: Senior SE · Nasdaq / AxiomSL: Senior SE · Salesforce: MTS · Atlassian: P40 · Freshworks: Senior SE · Clear: SDE2</t>
          </r>
        </is>
      </c>
      <c r="AM21" s="130" t="inlineStr">
        <is>
          <t>SFIA 9 · software development, programming; OWASP secure coding; cloud vendor certifications</t>
        </is>
      </c>
      <c r="AN21" s="131" t="inlineStr">
        <is>
          <t>Lateral; Management Trainees graduate here</t>
        </is>
      </c>
      <c r="AO21" s="132" t="inlineStr">
        <is>
          <t>B2 · Senior Specialist</t>
        </is>
      </c>
      <c r="AP21" s="132" t="inlineStr">
        <is>
          <t>B2 · Manager</t>
        </is>
      </c>
      <c r="AQ21" s="132" t="inlineStr">
        <is>
          <t>AI-assisted coding, cloud-native &amp; API-first design, LLM integration</t>
        </is>
      </c>
    </row>
    <row r="22" ht="80" customHeight="1">
      <c r="A22" s="109" t="inlineStr">
        <is>
          <t>Technology</t>
        </is>
      </c>
      <c r="B22" s="111" t="inlineStr">
        <is>
          <t>Project &amp; Program Management</t>
        </is>
      </c>
      <c r="C22" s="111" t="inlineStr">
        <is>
          <t>Project &amp; Program Delivery</t>
        </is>
      </c>
      <c r="D22" s="111" t="inlineStr">
        <is>
          <t>Project Manager</t>
        </is>
      </c>
      <c r="E22" s="23" t="inlineStr">
        <is>
          <t>B2</t>
        </is>
      </c>
      <c r="F22" s="21" t="inlineStr">
        <is>
          <t>Manager</t>
        </is>
      </c>
      <c r="G22" s="111" t="inlineStr">
        <is>
          <t>People Manager</t>
        </is>
      </c>
      <c r="H22" s="112" t="n">
        <v>1</v>
      </c>
      <c r="I22" s="146" t="inlineStr">
        <is>
          <t>Deep domain expertise, or one team</t>
        </is>
      </c>
      <c r="J22" s="115" t="inlineStr">
        <is>
          <t>Hardest problems in the domain</t>
        </is>
      </c>
      <c r="K22" s="115" t="inlineStr">
        <is>
          <t>Allocates people and sets team priorities</t>
        </is>
      </c>
      <c r="L22" s="115" t="inlineStr">
        <is>
          <t>One team or a client portfolio</t>
        </is>
      </c>
      <c r="M22" s="115" t="inlineStr">
        <is>
          <r>
            <rPr>
              <rFont val="Calibri"/>
              <b val="1"/>
              <sz val="10"/>
            </rPr>
            <t>IC:</t>
          </r>
          <r>
            <rPr>
              <rFont val="Calibri"/>
              <sz val="10"/>
            </rPr>
            <t xml:space="preserve"> guides others in the domain · People: manages a team of 6+</t>
          </r>
        </is>
      </c>
      <c r="N22" s="172" t="inlineStr">
        <is>
          <t>6–9 yrs</t>
        </is>
      </c>
      <c r="O22" s="159" t="inlineStr">
        <is>
          <r>
            <rPr>
              <rFont val="Calibri"/>
              <sz val="10"/>
            </rPr>
            <t xml:space="preserve">Graduate or postgraduate; professional qualification preferred
</t>
          </r>
          <r>
            <rPr>
              <rFont val="Calibri"/>
              <b val="1"/>
              <sz val="10"/>
            </rPr>
            <t>Family:</t>
          </r>
          <r>
            <rPr>
              <rFont val="Calibri"/>
              <sz val="10"/>
            </rPr>
            <t xml:space="preserve"> Graduate; PMP / PRINCE2 / CSM preferred from B2</t>
          </r>
        </is>
      </c>
      <c r="P22" s="159" t="inlineStr">
        <is>
          <t>PMP / PRINCE2 / CSM / SAFe</t>
        </is>
      </c>
      <c r="Q22" s="159" t="inlineStr">
        <is>
          <t>Hybrid delivery governance</t>
        </is>
      </c>
      <c r="R22" s="173" t="inlineStr">
        <is>
          <t>TE-B-M</t>
        </is>
      </c>
      <c r="S22" s="174" t="n">
        <v>0.42</v>
      </c>
      <c r="T22" s="174" t="n">
        <v>0.18</v>
      </c>
      <c r="U22" s="174" t="n">
        <v>0.06</v>
      </c>
      <c r="V22" s="174" t="n">
        <v>0.15</v>
      </c>
      <c r="W22" s="174" t="n">
        <v>0.1</v>
      </c>
      <c r="X22" s="174" t="n">
        <v>0.09</v>
      </c>
      <c r="Y22" s="121" t="inlineStr">
        <is>
          <t>★ Project, Program &amp; Agile Management · ★ Stakeholder &amp; Client Management</t>
        </is>
      </c>
      <c r="Z22" s="122" t="inlineStr">
        <is>
          <t>Communication &amp; Presentation · Process Improvement &amp; Quality Mindset · Strategic Thinking &amp; Business Acumen · Product, Platform &amp; Domain Knowledge</t>
        </is>
      </c>
      <c r="AA22" s="122" t="inlineStr">
        <is>
          <t>—</t>
        </is>
      </c>
      <c r="AB22" s="122" t="inlineStr">
        <is>
          <t>Core 3 · Future-ready 3 · Functional 4 · Leadership 3</t>
        </is>
      </c>
      <c r="AC22" s="123" t="inlineStr">
        <is>
          <r>
            <rPr>
              <rFont val="Calibri"/>
              <b val="1"/>
              <sz val="10"/>
            </rPr>
            <t>IC:</t>
          </r>
          <r>
            <rPr>
              <rFont val="Calibri"/>
              <sz val="10"/>
            </rPr>
            <t xml:space="preserve"> none · People: 6–8 knowledge work, 8–12 standardised delivery</t>
          </r>
        </is>
      </c>
      <c r="AD22" s="175" t="inlineStr">
        <is>
          <t>M3</t>
        </is>
      </c>
      <c r="AE22" s="130" t="inlineStr">
        <is>
          <t>Senior / Manager</t>
        </is>
      </c>
      <c r="AF22" s="176" t="inlineStr">
        <is>
          <t>4–5</t>
        </is>
      </c>
      <c r="AG22" s="130" t="inlineStr">
        <is>
          <t>Manager</t>
        </is>
      </c>
      <c r="AH22" s="130" t="inlineStr">
        <is>
          <t>L5 · MS 63 · —</t>
        </is>
      </c>
      <c r="AI22" s="130" t="inlineStr">
        <is>
          <t>JL5 · C3A · L8 Associate Manager</t>
        </is>
      </c>
      <c r="AJ22" s="130" t="inlineStr">
        <is>
          <t>Manager</t>
        </is>
      </c>
      <c r="AK22" s="130" t="inlineStr">
        <is>
          <t>Radford / Pave</t>
        </is>
      </c>
      <c r="AL22" s="130" t="inlineStr">
        <is>
          <t>IRIS Vs Competitor Benchmark — PMI pathway + SaaS delivery ladder: Senior PM</t>
        </is>
      </c>
      <c r="AM22" s="130" t="inlineStr">
        <is>
          <t>PMI PMBOK and Talent Triangle; CAPM · entry → PMP → PgMP; Scrum / SAFe</t>
        </is>
      </c>
      <c r="AN22" s="131" t="inlineStr">
        <is>
          <t>Lateral</t>
        </is>
      </c>
      <c r="AO22" s="132" t="inlineStr">
        <is>
          <t>B3 · Lead Specialist</t>
        </is>
      </c>
      <c r="AP22" s="132" t="inlineStr">
        <is>
          <t>B3 · Senior Manager</t>
        </is>
      </c>
      <c r="AQ22" s="132" t="inlineStr">
        <is>
          <t>AI-assisted planning, value / outcome-based delivery</t>
        </is>
      </c>
    </row>
    <row r="23" ht="80" customHeight="1">
      <c r="A23" s="109" t="inlineStr">
        <is>
          <t>Technology</t>
        </is>
      </c>
      <c r="B23" s="111" t="inlineStr">
        <is>
          <t>Engineering &amp; Development</t>
        </is>
      </c>
      <c r="C23" s="111" t="inlineStr">
        <is>
          <t>Application Maintenance &amp; Production Support</t>
        </is>
      </c>
      <c r="D23" s="111" t="inlineStr">
        <is>
          <t>Lead Software Engineer</t>
        </is>
      </c>
      <c r="E23" s="23" t="inlineStr">
        <is>
          <t>B3</t>
        </is>
      </c>
      <c r="F23" s="21" t="inlineStr">
        <is>
          <t>Lead Specialist</t>
        </is>
      </c>
      <c r="G23" s="111" t="inlineStr">
        <is>
          <t>IC</t>
        </is>
      </c>
      <c r="H23" s="112" t="n">
        <v>1</v>
      </c>
      <c r="I23" s="146" t="inlineStr">
        <is>
          <t>A practice, or several teams through team leads</t>
        </is>
      </c>
      <c r="J23" s="115" t="inlineStr">
        <is>
          <t>Sets standards for a practice; cross-team problems</t>
        </is>
      </c>
      <c r="K23" s="115" t="inlineStr">
        <is>
          <t>Commercial / strategic calls for the unit</t>
        </is>
      </c>
      <c r="L23" s="115" t="inlineStr">
        <is>
          <t>Several teams or a practice</t>
        </is>
      </c>
      <c r="M23" s="115" t="inlineStr">
        <is>
          <r>
            <rPr>
              <rFont val="Calibri"/>
              <b val="1"/>
              <sz val="10"/>
            </rPr>
            <t>IC:</t>
          </r>
          <r>
            <rPr>
              <rFont val="Calibri"/>
              <sz val="10"/>
            </rPr>
            <t xml:space="preserve"> leads a practice · People: team leads / managers report in</t>
          </r>
        </is>
      </c>
      <c r="N23" s="172" t="inlineStr">
        <is>
          <t>8–12 yrs</t>
        </is>
      </c>
      <c r="O23" s="159" t="inlineStr">
        <is>
          <r>
            <rPr>
              <rFont val="Calibri"/>
              <sz val="10"/>
            </rPr>
            <t xml:space="preserve">Postgraduate or professional qualification preferred
</t>
          </r>
          <r>
            <rPr>
              <rFont val="Calibri"/>
              <b val="1"/>
              <sz val="10"/>
            </rPr>
            <t>Family:</t>
          </r>
          <r>
            <rPr>
              <rFont val="Calibri"/>
              <sz val="10"/>
            </rPr>
            <t xml:space="preserve"> BE / B.Tech / MCA / M.Tech / B.Sc · CS</t>
          </r>
        </is>
      </c>
      <c r="P23" s="159" t="inlineStr">
        <is>
          <t>Cloud / language certifications · optional; AWS / Azure architect · optional</t>
        </is>
      </c>
      <c r="Q23" s="159" t="inlineStr">
        <is>
          <t>Secure coding · OWASP, code review, unit testing</t>
        </is>
      </c>
      <c r="R23" s="173" t="inlineStr">
        <is>
          <t>TE-B-IC</t>
        </is>
      </c>
      <c r="S23" s="174" t="n">
        <v>0.5600000000000001</v>
      </c>
      <c r="T23" s="174" t="n">
        <v>0.17</v>
      </c>
      <c r="U23" s="174" t="n">
        <v>0.05</v>
      </c>
      <c r="V23" s="174" t="n">
        <v>0.05</v>
      </c>
      <c r="W23" s="174" t="n">
        <v>0.1</v>
      </c>
      <c r="X23" s="174" t="n">
        <v>0.07000000000000001</v>
      </c>
      <c r="Y23" s="121" t="inlineStr">
        <is>
          <t>★ Programming &amp; Tech-Stack Depth · ★ System Design &amp; Architecture</t>
        </is>
      </c>
      <c r="Z23" s="122" t="inlineStr">
        <is>
          <t>Database, SQL &amp; Data Engineering · Cloud, DevOps &amp; CI/CD · AI, GenAI &amp; Prompt Engineering · Product, Platform &amp; Domain Knowledge</t>
        </is>
      </c>
      <c r="AA23" s="122" t="inlineStr">
        <is>
          <t>—</t>
        </is>
      </c>
      <c r="AB23" s="122" t="inlineStr">
        <is>
          <t>Core 4 · Future-ready 3 · Functional 4 · Leadership 3</t>
        </is>
      </c>
      <c r="AC23" s="123" t="inlineStr">
        <is>
          <r>
            <rPr>
              <rFont val="Calibri"/>
              <b val="1"/>
              <sz val="10"/>
            </rPr>
            <t>IC:</t>
          </r>
          <r>
            <rPr>
              <rFont val="Calibri"/>
              <sz val="10"/>
            </rPr>
            <t xml:space="preserve"> none · People: 5–8 incl. team leads</t>
          </r>
        </is>
      </c>
      <c r="AD23" s="175" t="inlineStr">
        <is>
          <t>P5</t>
        </is>
      </c>
      <c r="AE23" s="130" t="inlineStr">
        <is>
          <t>Expert / Senior Manager</t>
        </is>
      </c>
      <c r="AF23" s="176" t="inlineStr">
        <is>
          <t>5 Ensure, advise</t>
        </is>
      </c>
      <c r="AG23" s="130" t="inlineStr">
        <is>
          <t>Principal Engineer</t>
        </is>
      </c>
      <c r="AH23" s="130" t="inlineStr">
        <is>
          <t>L5 · Senior · MS 63–64 · Senior SE</t>
        </is>
      </c>
      <c r="AI23" s="130" t="inlineStr">
        <is>
          <t>JL5–JL6B · C3B Associate Consultant · L7 Manager</t>
        </is>
      </c>
      <c r="AJ23" s="130" t="inlineStr">
        <is>
          <t>Senior Manager</t>
        </is>
      </c>
      <c r="AK23" s="130" t="inlineStr">
        <is>
          <t>Workiva · Levels.fyi, Radford / Pave</t>
        </is>
      </c>
      <c r="AL23" s="130"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23" s="130" t="inlineStr">
        <is>
          <t>SFIA 9 · software development, programming; OWASP secure coding; cloud vendor certifications</t>
        </is>
      </c>
      <c r="AN23" s="131" t="inlineStr">
        <is>
          <t>Lateral; internal posting first</t>
        </is>
      </c>
      <c r="AO23" s="132" t="inlineStr">
        <is>
          <t>C1 · Principal · or B+ · Practice Lead · Player-Coach if leading people hands-on</t>
        </is>
      </c>
      <c r="AP23" s="132" t="inlineStr">
        <is>
          <t>C1 · Associate Head · or B+ · Practice Lead · Player-Coach if leading people hands-on</t>
        </is>
      </c>
      <c r="AQ23" s="132" t="inlineStr">
        <is>
          <t>AI-assisted coding, cloud-native &amp; API-first design, LLM integration</t>
        </is>
      </c>
    </row>
  </sheetData>
  <mergeCells count="15">
    <mergeCell ref="AD5:AM5"/>
    <mergeCell ref="A18:AQ18"/>
    <mergeCell ref="N5:Q5"/>
    <mergeCell ref="A4:C4"/>
    <mergeCell ref="A3:AQ3"/>
    <mergeCell ref="AN5:AQ5"/>
    <mergeCell ref="A5:H5"/>
    <mergeCell ref="R5:X5"/>
    <mergeCell ref="A7:AQ7"/>
    <mergeCell ref="A2:AQ2"/>
    <mergeCell ref="I5:M5"/>
    <mergeCell ref="A1:AQ1"/>
    <mergeCell ref="Y5:AB5"/>
    <mergeCell ref="AC5"/>
    <mergeCell ref="A13:AQ13"/>
  </mergeCells>
  <conditionalFormatting sqref="S7:S25">
    <cfRule type="colorScale" priority="1">
      <colorScale>
        <cfvo type="num" val="0"/>
        <cfvo type="num" val="0.4"/>
        <color rgb="00FFFFFF"/>
        <color rgb="00A9D08E"/>
      </colorScale>
    </cfRule>
  </conditionalFormatting>
  <conditionalFormatting sqref="T7:T25">
    <cfRule type="colorScale" priority="2">
      <colorScale>
        <cfvo type="num" val="0"/>
        <cfvo type="num" val="0.4"/>
        <color rgb="00FFFFFF"/>
        <color rgb="00A9D08E"/>
      </colorScale>
    </cfRule>
  </conditionalFormatting>
  <conditionalFormatting sqref="U7:U25">
    <cfRule type="colorScale" priority="3">
      <colorScale>
        <cfvo type="num" val="0"/>
        <cfvo type="num" val="0.4"/>
        <color rgb="00FFFFFF"/>
        <color rgb="00A9D08E"/>
      </colorScale>
    </cfRule>
  </conditionalFormatting>
  <conditionalFormatting sqref="V7:V25">
    <cfRule type="colorScale" priority="4">
      <colorScale>
        <cfvo type="num" val="0"/>
        <cfvo type="num" val="0.4"/>
        <color rgb="00FFFFFF"/>
        <color rgb="00A9D08E"/>
      </colorScale>
    </cfRule>
  </conditionalFormatting>
  <conditionalFormatting sqref="W7:W25">
    <cfRule type="colorScale" priority="5">
      <colorScale>
        <cfvo type="num" val="0"/>
        <cfvo type="num" val="0.4"/>
        <color rgb="00FFFFFF"/>
        <color rgb="00A9D08E"/>
      </colorScale>
    </cfRule>
  </conditionalFormatting>
  <conditionalFormatting sqref="X7:X25">
    <cfRule type="colorScale" priority="6">
      <colorScale>
        <cfvo type="num" val="0"/>
        <cfvo type="num" val="0.4"/>
        <color rgb="00FFFFFF"/>
        <color rgb="00A9D08E"/>
      </colorScale>
    </cfRule>
  </conditionalFormatting>
  <hyperlinks>
    <hyperlink xmlns:r="http://schemas.openxmlformats.org/officeDocument/2006/relationships" ref="A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548235"/>
    <outlinePr summaryBelow="1" summaryRight="1"/>
    <pageSetUpPr fitToPage="1"/>
  </sheetPr>
  <dimension ref="A1:AJ29"/>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1" customWidth="1" min="9" max="9"/>
    <col width="7" customWidth="1" min="10" max="10"/>
    <col width="9" customWidth="1" min="11" max="11"/>
    <col width="17" customWidth="1" min="12" max="12"/>
    <col width="13" customWidth="1" min="13" max="13"/>
    <col width="7" customWidth="1" min="14" max="14"/>
    <col width="8" customWidth="1" min="15" max="15"/>
    <col width="16" customWidth="1" min="16" max="16"/>
    <col width="8" customWidth="1" min="17" max="17"/>
    <col width="13" customWidth="1" min="18" max="18"/>
    <col width="7" customWidth="1" min="19" max="19"/>
    <col width="7" customWidth="1" min="20" max="20"/>
    <col width="12" customWidth="1" min="21" max="21"/>
    <col width="7" customWidth="1" min="22" max="22"/>
    <col width="22" customWidth="1" min="23" max="23"/>
    <col width="22" customWidth="1" min="24" max="24"/>
    <col width="40" customWidth="1" min="25" max="25"/>
    <col width="32" customWidth="1" min="26" max="26"/>
    <col width="28" customWidth="1" min="27" max="27"/>
    <col width="26" customWidth="1" min="28" max="28"/>
    <col width="28" customWidth="1" min="29" max="29"/>
    <col width="22" customWidth="1" min="30" max="30"/>
    <col width="24" customWidth="1" min="31" max="31"/>
    <col width="32" customWidth="1" min="32" max="32"/>
    <col width="28" customWidth="1" min="33" max="33"/>
    <col width="7" customWidth="1" min="34" max="34"/>
    <col width="12" customWidth="1" min="35" max="35"/>
    <col width="20" customWidth="1" min="36" max="36"/>
  </cols>
  <sheetData>
    <row r="1" ht="34" customHeight="1">
      <c r="A1" s="1" t="inlineStr">
        <is>
          <t>Talent, Learning &amp; Mobility — per person</t>
        </is>
      </c>
      <c r="U1" s="232" t="inlineStr">
        <is>
          <t>◂ Contents</t>
        </is>
      </c>
    </row>
    <row r="2" ht="30" customHeight="1">
      <c r="A2" s="3" t="inlineStr">
        <is>
          <t>Sheet 8 · Manager talent data, competency results against the role's profile, learning needs from three angles · self, manager, role, and mobility signals · lateral options, duplicated work, similar talent elsewhere in IRIS, span.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L4" s="67" t="inlineStr">
        <is>
          <t>Newly mapped</t>
        </is>
      </c>
      <c r="N4" s="68" t="inlineStr">
        <is>
          <t>Player-Coach · B+ · C+</t>
        </is>
      </c>
      <c r="Q4" s="69" t="inlineStr">
        <is>
          <t>RED = critical input needed · could change or confirm the level</t>
        </is>
      </c>
      <c r="V4" s="71" t="inlineStr">
        <is>
          <t>YELLOW = to complete in validation</t>
        </is>
      </c>
    </row>
    <row r="5" ht="32" customHeight="1">
      <c r="A5" s="73" t="inlineStr">
        <is>
          <t>PERSON</t>
        </is>
      </c>
      <c r="J5" s="74" t="inlineStr">
        <is>
          <t>TALENT · manager mapping</t>
        </is>
      </c>
      <c r="Q5" s="76" t="inlineStr">
        <is>
          <t>COMPETENCY RESULT</t>
        </is>
      </c>
      <c r="Z5" s="77" t="inlineStr">
        <is>
          <t>LEARNING NEEDS</t>
        </is>
      </c>
      <c r="AE5" s="79" t="inlineStr">
        <is>
          <t>MOBILITY, OVERLAP &amp; STRUCTURE</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Track</t>
        </is>
      </c>
      <c r="J6" s="93" t="inlineStr">
        <is>
          <t>Latest rating</t>
        </is>
      </c>
      <c r="K6" s="12" t="inlineStr">
        <is>
          <t>Potential</t>
        </is>
      </c>
      <c r="L6" s="12" t="inlineStr">
        <is>
          <t>9-box</t>
        </is>
      </c>
      <c r="M6" s="12" t="inlineStr">
        <is>
          <t>Readiness</t>
        </is>
      </c>
      <c r="N6" s="12" t="inlineStr">
        <is>
          <t>Top performer</t>
        </is>
      </c>
      <c r="O6" s="12" t="inlineStr">
        <is>
          <t>Critical role · Y/N</t>
        </is>
      </c>
      <c r="P6" s="12" t="inlineStr">
        <is>
          <t>Successor named</t>
        </is>
      </c>
      <c r="Q6" s="94" t="inlineStr">
        <is>
          <t>Competency index %</t>
        </is>
      </c>
      <c r="R6" s="151" t="inlineStr">
        <is>
          <t>Fit</t>
        </is>
      </c>
      <c r="S6" s="151" t="inlineStr">
        <is>
          <t>Core %</t>
        </is>
      </c>
      <c r="T6" s="151" t="inlineStr">
        <is>
          <t>Future-ready %</t>
        </is>
      </c>
      <c r="U6" s="151" t="inlineStr">
        <is>
          <t>Functional %</t>
        </is>
      </c>
      <c r="V6" s="151" t="inlineStr">
        <is>
          <t>Leadership %</t>
        </is>
      </c>
      <c r="W6" s="151" t="inlineStr">
        <is>
          <t>Top gaps</t>
        </is>
      </c>
      <c r="X6" s="151" t="inlineStr">
        <is>
          <t>Readiness for next level</t>
        </is>
      </c>
      <c r="Y6" s="151" t="inlineStr">
        <is>
          <t>Ratings by competency · rating / required</t>
        </is>
      </c>
      <c r="Z6" s="95" t="inlineStr">
        <is>
          <t>Self-identified — topics · survey; not quoted</t>
        </is>
      </c>
      <c r="AA6" s="96" t="inlineStr">
        <is>
          <t>Manager-identified</t>
        </is>
      </c>
      <c r="AB6" s="96" t="inlineStr">
        <is>
          <t>Role-based priorities</t>
        </is>
      </c>
      <c r="AC6" s="96" t="inlineStr">
        <is>
          <t>To move to the next role — topics · survey; not quoted</t>
        </is>
      </c>
      <c r="AD6" s="96" t="inlineStr">
        <is>
          <t>Training for next role</t>
        </is>
      </c>
      <c r="AE6" s="97" t="inlineStr">
        <is>
          <t>Lateral move options</t>
        </is>
      </c>
      <c r="AF6" s="98" t="inlineStr">
        <is>
          <t>Duplication — same business</t>
        </is>
      </c>
      <c r="AG6" s="98" t="inlineStr">
        <is>
          <t>Alternate talent pool — other businesses</t>
        </is>
      </c>
      <c r="AH6" s="98" t="inlineStr">
        <is>
          <t>Direct reports</t>
        </is>
      </c>
      <c r="AI6" s="98" t="inlineStr">
        <is>
          <t>Span status</t>
        </is>
      </c>
      <c r="AJ6" s="98" t="inlineStr">
        <is>
          <t>Span action</t>
        </is>
      </c>
    </row>
    <row r="7" ht="171" customHeight="1">
      <c r="A7" s="109" t="inlineStr">
        <is>
          <t>IRIS0114</t>
        </is>
      </c>
      <c r="B7" s="111" t="inlineStr">
        <is>
          <t>Shraddha Patil</t>
        </is>
      </c>
      <c r="C7" s="111" t="inlineStr">
        <is>
          <t>Digitizing</t>
        </is>
      </c>
      <c r="D7" s="114" t="inlineStr">
        <is>
          <t>Image Processing Specialist</t>
        </is>
      </c>
      <c r="E7" s="114" t="inlineStr">
        <is>
          <t>Digitization Manager</t>
        </is>
      </c>
      <c r="F7" s="114" t="inlineStr">
        <is>
          <t>L3 – Professional / Associate</t>
        </is>
      </c>
      <c r="G7" s="116" t="inlineStr">
        <is>
          <t>B2</t>
        </is>
      </c>
      <c r="H7" s="117" t="inlineStr">
        <is>
          <t>▲ Up</t>
        </is>
      </c>
      <c r="I7" s="111" t="inlineStr">
        <is>
          <t>People Manager</t>
        </is>
      </c>
      <c r="J7" s="146" t="n">
        <v>5</v>
      </c>
      <c r="K7" s="115" t="inlineStr">
        <is>
          <t>High</t>
        </is>
      </c>
      <c r="L7" s="115" t="inlineStr">
        <is>
          <t>Core Contributor</t>
        </is>
      </c>
      <c r="M7" s="115" t="inlineStr">
        <is>
          <t>Ready now</t>
        </is>
      </c>
      <c r="N7" s="115" t="inlineStr">
        <is>
          <t>Yes</t>
        </is>
      </c>
      <c r="O7" s="115" t="inlineStr">
        <is>
          <t>Yes</t>
        </is>
      </c>
      <c r="P7" s="115" t="inlineStr"/>
      <c r="Q7" s="118" t="n">
        <v>97</v>
      </c>
      <c r="R7" s="159" t="inlineStr">
        <is>
          <t>Meets the level</t>
        </is>
      </c>
      <c r="S7" s="159" t="n">
        <v>104</v>
      </c>
      <c r="T7" s="159" t="n">
        <v>83</v>
      </c>
      <c r="U7" s="159" t="n">
        <v>103</v>
      </c>
      <c r="V7" s="159" t="n">
        <v>92</v>
      </c>
      <c r="W7" s="159" t="inlineStr">
        <is>
          <t>XBRL &amp; taxonomy, Learning agility, Digital fluency</t>
        </is>
      </c>
      <c r="X7" s="159" t="inlineStr">
        <is>
          <r>
            <rPr>
              <rFont val="Calibri"/>
              <b val="1"/>
              <sz val="10"/>
            </rPr>
            <t>B3:</t>
          </r>
          <r>
            <rPr>
              <rFont val="Calibri"/>
              <sz val="10"/>
            </rPr>
            <t xml:space="preserve"> 86% of profile — close</t>
          </r>
        </is>
      </c>
      <c r="Y7" s="159" t="inlineStr">
        <is>
          <r>
            <rPr>
              <rFont val="Calibri"/>
              <b val="1"/>
              <sz val="10"/>
            </rPr>
            <t>Evidence:</t>
          </r>
          <r>
            <rPr>
              <rFont val="Calibri"/>
              <sz val="10"/>
            </rPr>
            <t xml:space="preserve"> Survey + KRAs | Core: Ownership 5/3, Problem solving 3/3, Communication &amp; collaboration 4/3, Client &amp; quality focus 5/3, Learning agility 2/3, Integrity &amp; compliance 3/3 | Future-ready: AI literacy 3/3, Data literacy 3/3, Digital fluency 2/3, Innovation 2/3 | Functional: Excel &amp; tools 4/4, Quality &amp; process 5/4, Regulatory domain 5/4, XBRL &amp; taxonomy 3/4, AI / GenAI 4/4, Prioritisation 4/4 | Leadership: Developing people 3/3, Decision making 3/3, Strategic acumen 2/3, Influence &amp; change 3/3</t>
          </r>
        </is>
      </c>
      <c r="Z7" s="119" t="inlineStr">
        <is>
          <t>Strategy &amp; business acumen</t>
        </is>
      </c>
      <c r="AA7" s="160" t="n"/>
      <c r="AB7" s="160" t="inlineStr">
        <is>
          <t>Project, Program &amp; Agile Management</t>
        </is>
      </c>
      <c r="AC7" s="160" t="inlineStr">
        <is>
          <t>Strategy &amp; business acumen</t>
        </is>
      </c>
      <c r="AD7" s="160" t="n"/>
      <c r="AE7" s="121" t="inlineStr">
        <is>
          <t>No strong match from survey evidence</t>
        </is>
      </c>
      <c r="AF7" s="122" t="inlineStr">
        <is>
          <t>No material overlap found</t>
        </is>
      </c>
      <c r="AG7" s="122" t="inlineStr">
        <is>
          <t>Justeen Koola · CARBON, Digitization Associate — 0.28</t>
        </is>
      </c>
      <c r="AH7" s="122" t="n">
        <v>8</v>
      </c>
      <c r="AI7" s="122" t="inlineStr">
        <is>
          <t>Within norm</t>
        </is>
      </c>
      <c r="AJ7" s="122" t="n"/>
    </row>
    <row r="8" ht="171" customHeight="1">
      <c r="A8" s="109" t="inlineStr">
        <is>
          <t>IRIS0167</t>
        </is>
      </c>
      <c r="B8" s="111" t="inlineStr">
        <is>
          <t>Nitin Bhoir</t>
        </is>
      </c>
      <c r="C8" s="111" t="inlineStr">
        <is>
          <t>Digitizing</t>
        </is>
      </c>
      <c r="D8" s="114" t="inlineStr">
        <is>
          <t>Image Processing Specialist</t>
        </is>
      </c>
      <c r="E8" s="114" t="inlineStr">
        <is>
          <t>Digitization Specialist</t>
        </is>
      </c>
      <c r="F8" s="114" t="inlineStr">
        <is>
          <t>L3 – Professional / Associate</t>
        </is>
      </c>
      <c r="G8" s="116" t="inlineStr">
        <is>
          <t>B1</t>
        </is>
      </c>
      <c r="H8" s="117" t="inlineStr">
        <is>
          <t>▲ Up</t>
        </is>
      </c>
      <c r="I8" s="111" t="inlineStr">
        <is>
          <t>IC</t>
        </is>
      </c>
      <c r="J8" s="146" t="n">
        <v>3</v>
      </c>
      <c r="K8" s="115" t="inlineStr">
        <is>
          <t>Medium</t>
        </is>
      </c>
      <c r="L8" s="115" t="inlineStr">
        <is>
          <t>Core Contributor</t>
        </is>
      </c>
      <c r="M8" s="115" t="inlineStr">
        <is>
          <t>Develop in role</t>
        </is>
      </c>
      <c r="N8" s="115" t="n"/>
      <c r="O8" s="115" t="inlineStr">
        <is>
          <t>Yes</t>
        </is>
      </c>
      <c r="P8" s="115" t="inlineStr"/>
      <c r="Q8" s="118" t="n">
        <v>96</v>
      </c>
      <c r="R8" s="159" t="inlineStr">
        <is>
          <t>Meets the level</t>
        </is>
      </c>
      <c r="S8" s="159" t="n">
        <v>101</v>
      </c>
      <c r="T8" s="159" t="n">
        <v>80</v>
      </c>
      <c r="U8" s="159" t="n">
        <v>99</v>
      </c>
      <c r="V8" s="159" t="n">
        <v>105</v>
      </c>
      <c r="W8" s="159" t="inlineStr">
        <is>
          <t>AI / GenAI, Prioritisation, Learning agility</t>
        </is>
      </c>
      <c r="X8" s="159" t="inlineStr">
        <is>
          <r>
            <rPr>
              <rFont val="Calibri"/>
              <b val="1"/>
              <sz val="10"/>
            </rPr>
            <t>B2:</t>
          </r>
          <r>
            <rPr>
              <rFont val="Calibri"/>
              <sz val="10"/>
            </rPr>
            <t xml:space="preserve"> 83% of profile — close</t>
          </r>
        </is>
      </c>
      <c r="Y8" s="159"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4/3, Digital fluency 2/3, Innovation 2/3 | Functional: Excel &amp; tools 4/3, Quality &amp; process 4/3, Regulatory domain 4/3, XBRL &amp; taxonomy 3/3, AI / GenAI 2/3, Prioritisation 2/3 | Leadership: Developing people 1/1, Decision making 1/1, Strategic acumen 1/1, Influence &amp; change 2/1</t>
          </r>
        </is>
      </c>
      <c r="Z8" s="119" t="inlineStr">
        <is>
          <t>Leadership &amp; people management · Broader exposure &amp; ownership</t>
        </is>
      </c>
      <c r="AA8" s="160" t="n"/>
      <c r="AB8" s="160" t="inlineStr">
        <is>
          <t>Project, Program &amp; Agile Management; Process Improvement &amp; Quality Mindset</t>
        </is>
      </c>
      <c r="AC8" s="160" t="inlineStr">
        <is>
          <t>Leadership &amp; people management · Broader exposure &amp; ownership</t>
        </is>
      </c>
      <c r="AD8" s="160" t="n"/>
      <c r="AE8" s="121" t="inlineStr">
        <is>
          <t>No strong match from survey evidence</t>
        </is>
      </c>
      <c r="AF8" s="122" t="inlineStr">
        <is>
          <t>Manoj Tiwari · Senior Digitization Associate — 0.64: html, website, data, verification; Siddhesh Harishchandra Mali · Digitization Associate — 0.45: html, content, conversion, rbi; Snehal Bhavesh Farad · Senior Digitization Associate — 0.39: html, website, rbi, conversion</t>
        </is>
      </c>
      <c r="AG8" s="122" t="inlineStr">
        <is>
          <t>Farina Pathan · CARBON, Senior Digitization Associate — 0.31; Siddhesh Manjrekar · CARBON, Senior Digitization Associate — 0.25</t>
        </is>
      </c>
      <c r="AH8" s="122" t="n"/>
      <c r="AI8" s="122" t="n"/>
      <c r="AJ8" s="122" t="n"/>
    </row>
    <row r="9" ht="132" customHeight="1">
      <c r="A9" s="109" t="inlineStr">
        <is>
          <t>IRIS0110</t>
        </is>
      </c>
      <c r="B9" s="111" t="inlineStr">
        <is>
          <t>Aniket Manval</t>
        </is>
      </c>
      <c r="C9" s="111" t="inlineStr">
        <is>
          <t>Digitizing</t>
        </is>
      </c>
      <c r="D9" s="114" t="inlineStr">
        <is>
          <t>Image Processing Specialist</t>
        </is>
      </c>
      <c r="E9" s="114" t="inlineStr">
        <is>
          <t>Senior Digitization Associate</t>
        </is>
      </c>
      <c r="F9" s="114" t="inlineStr">
        <is>
          <t>L3 – Professional / Associate</t>
        </is>
      </c>
      <c r="G9" s="116" t="inlineStr">
        <is>
          <t>A3</t>
        </is>
      </c>
      <c r="H9" s="117" t="inlineStr">
        <is>
          <t>▲ Up</t>
        </is>
      </c>
      <c r="I9" s="111" t="inlineStr">
        <is>
          <t>IC</t>
        </is>
      </c>
      <c r="J9" s="146" t="n">
        <v>4</v>
      </c>
      <c r="K9" s="115" t="inlineStr">
        <is>
          <t>High</t>
        </is>
      </c>
      <c r="L9" s="115" t="inlineStr">
        <is>
          <t>Core Contributor</t>
        </is>
      </c>
      <c r="M9" s="115" t="inlineStr">
        <is>
          <t>Ready now</t>
        </is>
      </c>
      <c r="N9" s="115" t="n"/>
      <c r="O9" s="115" t="inlineStr">
        <is>
          <t>Yes</t>
        </is>
      </c>
      <c r="P9" s="115" t="inlineStr"/>
      <c r="Q9" s="118" t="n">
        <v>77</v>
      </c>
      <c r="R9" s="159" t="inlineStr">
        <is>
          <t>Developing</t>
        </is>
      </c>
      <c r="S9" s="159" t="n">
        <v>98</v>
      </c>
      <c r="T9" s="159" t="n">
        <v>50</v>
      </c>
      <c r="U9" s="159" t="n">
        <v>76</v>
      </c>
      <c r="V9" s="159" t="n"/>
      <c r="W9" s="159" t="inlineStr">
        <is>
          <t>Excel &amp; tools, Quality &amp; process, XBRL &amp; taxonomy</t>
        </is>
      </c>
      <c r="X9" s="159" t="inlineStr">
        <is>
          <r>
            <rPr>
              <rFont val="Calibri"/>
              <b val="1"/>
              <sz val="10"/>
            </rPr>
            <t>B1:</t>
          </r>
          <r>
            <rPr>
              <rFont val="Calibri"/>
              <sz val="10"/>
            </rPr>
            <t xml:space="preserve"> 69% of profile — not yet</t>
          </r>
        </is>
      </c>
      <c r="Y9" s="159" t="inlineStr">
        <is>
          <r>
            <rPr>
              <rFont val="Calibri"/>
              <b val="1"/>
              <sz val="10"/>
            </rPr>
            <t>Evidence:</t>
          </r>
          <r>
            <rPr>
              <rFont val="Calibri"/>
              <sz val="10"/>
            </rPr>
            <t xml:space="preserve"> Survey + KRAs | Core: Ownership 3/2, Problem solving 2/2, Communication &amp; collaboration 2/2, Client &amp; quality focus 3/2, Learning agility 1/2, Integrity &amp; compliance 2/2 | Future-ready: AI literacy 1/2, Data literacy 1/2, Digital fluency 1/2, Innovation 1/2 | Functional: Excel &amp; tools 2/3, Quality &amp; process 2/3, Regulatory domain 4/3, XBRL &amp; taxonomy 2/3, AI / GenAI 2/3, Prioritisation 2/3</t>
          </r>
        </is>
      </c>
      <c r="Z9" s="119" t="inlineStr">
        <is>
          <t>Answered · no common topic</t>
        </is>
      </c>
      <c r="AA9" s="160" t="n"/>
      <c r="AB9" s="160" t="inlineStr">
        <is>
          <t>AI, GenAI &amp; Prompt Engineering; Project, Program &amp; Agile Management</t>
        </is>
      </c>
      <c r="AC9" s="160" t="inlineStr">
        <is>
          <t>Answered · no common topic</t>
        </is>
      </c>
      <c r="AD9" s="160" t="n"/>
      <c r="AE9" s="121" t="inlineStr">
        <is>
          <t>No strong match from survey evidence</t>
        </is>
      </c>
      <c r="AF9" s="122" t="inlineStr">
        <is>
          <t>Manoj Ravidas · Digitization Associate — 0.45: cloud, adobe, rbi</t>
        </is>
      </c>
      <c r="AG9" s="122" t="inlineStr">
        <is>
          <t>No close match in other businesses</t>
        </is>
      </c>
      <c r="AH9" s="122" t="n"/>
      <c r="AI9" s="122" t="n"/>
      <c r="AJ9" s="122" t="n"/>
    </row>
    <row r="10" ht="132" customHeight="1">
      <c r="A10" s="109" t="inlineStr">
        <is>
          <t>IRIS0170</t>
        </is>
      </c>
      <c r="B10" s="111" t="inlineStr">
        <is>
          <t>Manish Paithankar</t>
        </is>
      </c>
      <c r="C10" s="111" t="inlineStr">
        <is>
          <t>Digitizing</t>
        </is>
      </c>
      <c r="D10" s="114" t="inlineStr">
        <is>
          <t>Image Processing Specialist</t>
        </is>
      </c>
      <c r="E10" s="114" t="inlineStr">
        <is>
          <t>Senior Digitization Associate</t>
        </is>
      </c>
      <c r="F10" s="114" t="inlineStr">
        <is>
          <t>L3 – Professional / Associate</t>
        </is>
      </c>
      <c r="G10" s="116" t="inlineStr">
        <is>
          <t>A3</t>
        </is>
      </c>
      <c r="H10" s="117" t="inlineStr">
        <is>
          <t>▲ Up</t>
        </is>
      </c>
      <c r="I10" s="111" t="inlineStr">
        <is>
          <t>IC</t>
        </is>
      </c>
      <c r="J10" s="146" t="n">
        <v>3</v>
      </c>
      <c r="K10" s="115" t="inlineStr">
        <is>
          <t>Medium</t>
        </is>
      </c>
      <c r="L10" s="115" t="inlineStr">
        <is>
          <t>Core Contributor</t>
        </is>
      </c>
      <c r="M10" s="115" t="inlineStr">
        <is>
          <t>Develop in role</t>
        </is>
      </c>
      <c r="N10" s="115" t="n"/>
      <c r="O10" s="115" t="inlineStr">
        <is>
          <t>Yes</t>
        </is>
      </c>
      <c r="P10" s="115" t="inlineStr"/>
      <c r="Q10" s="118" t="n">
        <v>82</v>
      </c>
      <c r="R10" s="159" t="inlineStr">
        <is>
          <t>Developing</t>
        </is>
      </c>
      <c r="S10" s="159" t="n">
        <v>95</v>
      </c>
      <c r="T10" s="159" t="n">
        <v>62</v>
      </c>
      <c r="U10" s="159" t="n">
        <v>81</v>
      </c>
      <c r="V10" s="159" t="n"/>
      <c r="W10" s="159" t="inlineStr">
        <is>
          <t>Excel &amp; tools, XBRL &amp; taxonomy, AI / GenAI</t>
        </is>
      </c>
      <c r="X10" s="159" t="inlineStr">
        <is>
          <r>
            <rPr>
              <rFont val="Calibri"/>
              <b val="1"/>
              <sz val="10"/>
            </rPr>
            <t>B1:</t>
          </r>
          <r>
            <rPr>
              <rFont val="Calibri"/>
              <sz val="10"/>
            </rPr>
            <t xml:space="preserve"> 72% of profile — not yet</t>
          </r>
        </is>
      </c>
      <c r="Y10" s="159" t="inlineStr">
        <is>
          <r>
            <rPr>
              <rFont val="Calibri"/>
              <b val="1"/>
              <sz val="10"/>
            </rPr>
            <t>Evidence:</t>
          </r>
          <r>
            <rPr>
              <rFont val="Calibri"/>
              <sz val="10"/>
            </rPr>
            <t xml:space="preserve"> Survey + KRAs | Core: Ownership 2/2, Problem solving 2/2, Communication &amp; collaboration 2/2, Client &amp; quality focus 3/2, Learning agility 1/2, Integrity &amp; compliance 2/2 | Future-ready: AI literacy 1/2, Data literacy 1/2, Digital fluency 2/2, Innovation 1/2 | Functional: Excel &amp; tools 2/3, Quality &amp; process 4/3, Regulatory domain 3/3, XBRL &amp; taxonomy 2/3, AI / GenAI 2/3, Prioritisation 2/3</t>
          </r>
        </is>
      </c>
      <c r="Z10" s="119" t="inlineStr">
        <is>
          <t>AI / automation · Leadership &amp; people management</t>
        </is>
      </c>
      <c r="AA10" s="160" t="n"/>
      <c r="AB10" s="160" t="inlineStr">
        <is>
          <t>AI, GenAI &amp; Prompt Engineering; Project, Program &amp; Agile Management</t>
        </is>
      </c>
      <c r="AC10" s="160" t="inlineStr">
        <is>
          <t>AI / automation · Leadership &amp; people management</t>
        </is>
      </c>
      <c r="AD10" s="160" t="n"/>
      <c r="AE10" s="121" t="inlineStr">
        <is>
          <t>No strong match from survey evidence</t>
        </is>
      </c>
      <c r="AF10" s="122" t="inlineStr">
        <is>
          <t>Saurav Kamtekar · Senior Digitization Associate — 0.90: content, website, validate, identify; Nitin Bhoir · Senior Digitization Associate — 0.35: website, errors, content, rbi</t>
        </is>
      </c>
      <c r="AG10" s="122" t="inlineStr">
        <is>
          <t>No close match in other businesses</t>
        </is>
      </c>
      <c r="AH10" s="122" t="n"/>
      <c r="AI10" s="122" t="n"/>
      <c r="AJ10" s="122" t="n"/>
    </row>
    <row r="11" ht="132" customHeight="1">
      <c r="A11" s="109" t="inlineStr">
        <is>
          <t>IRIS1211</t>
        </is>
      </c>
      <c r="B11" s="111" t="inlineStr">
        <is>
          <t>Manoj Ravidas</t>
        </is>
      </c>
      <c r="C11" s="111" t="inlineStr">
        <is>
          <t>Digitizing</t>
        </is>
      </c>
      <c r="D11" s="114" t="inlineStr">
        <is>
          <t>Image Processing Specialist</t>
        </is>
      </c>
      <c r="E11" s="114" t="inlineStr">
        <is>
          <t>Senior Digitization Associate</t>
        </is>
      </c>
      <c r="F11" s="114" t="inlineStr">
        <is>
          <t>L3 – Professional / Associate</t>
        </is>
      </c>
      <c r="G11" s="116" t="inlineStr">
        <is>
          <t>A3</t>
        </is>
      </c>
      <c r="H11" s="117" t="inlineStr">
        <is>
          <t>▲ Up</t>
        </is>
      </c>
      <c r="I11" s="111" t="inlineStr">
        <is>
          <t>IC</t>
        </is>
      </c>
      <c r="J11" s="146" t="n">
        <v>4</v>
      </c>
      <c r="K11" s="115" t="inlineStr">
        <is>
          <t>High</t>
        </is>
      </c>
      <c r="L11" s="115" t="inlineStr">
        <is>
          <t>Core Contributor</t>
        </is>
      </c>
      <c r="M11" s="115" t="inlineStr">
        <is>
          <t>Ready now</t>
        </is>
      </c>
      <c r="N11" s="115" t="n"/>
      <c r="O11" s="115" t="inlineStr">
        <is>
          <t>Yes</t>
        </is>
      </c>
      <c r="P11" s="115" t="inlineStr"/>
      <c r="Q11" s="118" t="n">
        <v>84</v>
      </c>
      <c r="R11" s="159" t="inlineStr">
        <is>
          <t>Developing</t>
        </is>
      </c>
      <c r="S11" s="159" t="n">
        <v>98</v>
      </c>
      <c r="T11" s="159" t="n">
        <v>62</v>
      </c>
      <c r="U11" s="159" t="n">
        <v>84</v>
      </c>
      <c r="V11" s="159" t="n"/>
      <c r="W11" s="159" t="inlineStr">
        <is>
          <t>Excel &amp; tools, XBRL &amp; taxonomy, AI / GenAI</t>
        </is>
      </c>
      <c r="X11" s="159" t="inlineStr">
        <is>
          <r>
            <rPr>
              <rFont val="Calibri"/>
              <b val="1"/>
              <sz val="10"/>
            </rPr>
            <t>B1:</t>
          </r>
          <r>
            <rPr>
              <rFont val="Calibri"/>
              <sz val="10"/>
            </rPr>
            <t xml:space="preserve"> 76% of profile — close</t>
          </r>
        </is>
      </c>
      <c r="Y11" s="159" t="inlineStr">
        <is>
          <r>
            <rPr>
              <rFont val="Calibri"/>
              <b val="1"/>
              <sz val="10"/>
            </rPr>
            <t>Evidence:</t>
          </r>
          <r>
            <rPr>
              <rFont val="Calibri"/>
              <sz val="10"/>
            </rPr>
            <t xml:space="preserve"> Survey + KRAs | Core: Ownership 4/2, Problem solving 2/2, Communication &amp; collaboration 2/2, Client &amp; quality focus 4/2, Learning agility 1/2, Integrity &amp; compliance 2/2 | Future-ready: AI literacy 1/2, Data literacy 1/2, Digital fluency 2/2, Innovation 1/2 | Functional: Excel &amp; tools 2/3, Quality &amp; process 4/3, Regulatory domain 4/3, XBRL &amp; taxonomy 2/3, AI / GenAI 2/3, Prioritisation 2/3</t>
          </r>
        </is>
      </c>
      <c r="Z11" s="119" t="inlineStr">
        <is>
          <t>AI / automation · Technical depth &amp; architecture</t>
        </is>
      </c>
      <c r="AA11" s="160" t="n"/>
      <c r="AB11" s="160" t="inlineStr">
        <is>
          <t>Regulatory &amp; BFSI Domain</t>
        </is>
      </c>
      <c r="AC11" s="160" t="inlineStr">
        <is>
          <t>AI / automation · Technical depth &amp; architecture</t>
        </is>
      </c>
      <c r="AD11" s="160" t="n"/>
      <c r="AE11" s="121" t="inlineStr">
        <is>
          <t>No strong match from survey evidence</t>
        </is>
      </c>
      <c r="AF11" s="122" t="inlineStr">
        <is>
          <t>Aniket Manval · Digitization Associate — 0.45: cloud, adobe, rbi</t>
        </is>
      </c>
      <c r="AG11" s="122" t="inlineStr">
        <is>
          <t>No close match in other businesses</t>
        </is>
      </c>
      <c r="AH11" s="122" t="n"/>
      <c r="AI11" s="122" t="n"/>
      <c r="AJ11" s="122" t="n"/>
    </row>
    <row r="12" ht="132" customHeight="1">
      <c r="A12" s="109" t="inlineStr">
        <is>
          <t>IRIS1213</t>
        </is>
      </c>
      <c r="B12" s="111" t="inlineStr">
        <is>
          <t>Manoj Tiwari</t>
        </is>
      </c>
      <c r="C12" s="111" t="inlineStr">
        <is>
          <t>Digitizing</t>
        </is>
      </c>
      <c r="D12" s="114" t="inlineStr">
        <is>
          <t>Image Processing Specialist</t>
        </is>
      </c>
      <c r="E12" s="114" t="inlineStr">
        <is>
          <t>Senior Digitization Associate</t>
        </is>
      </c>
      <c r="F12" s="114" t="inlineStr">
        <is>
          <t>L3 – Professional / Associate</t>
        </is>
      </c>
      <c r="G12" s="116" t="inlineStr">
        <is>
          <t>A3</t>
        </is>
      </c>
      <c r="H12" s="117" t="inlineStr">
        <is>
          <t>▲ Up</t>
        </is>
      </c>
      <c r="I12" s="111" t="inlineStr">
        <is>
          <t>IC</t>
        </is>
      </c>
      <c r="J12" s="146" t="n">
        <v>4</v>
      </c>
      <c r="K12" s="115" t="inlineStr">
        <is>
          <t>Medium</t>
        </is>
      </c>
      <c r="L12" s="115" t="inlineStr">
        <is>
          <t>Core Contributor</t>
        </is>
      </c>
      <c r="M12" s="115" t="inlineStr">
        <is>
          <t>Ready in 6–12 months</t>
        </is>
      </c>
      <c r="N12" s="115" t="n"/>
      <c r="O12" s="115" t="inlineStr">
        <is>
          <t>Yes</t>
        </is>
      </c>
      <c r="P12" s="115" t="inlineStr"/>
      <c r="Q12" s="118" t="n">
        <v>92</v>
      </c>
      <c r="R12" s="159" t="inlineStr">
        <is>
          <t>Meets the level</t>
        </is>
      </c>
      <c r="S12" s="159" t="n">
        <v>90</v>
      </c>
      <c r="T12" s="159" t="n">
        <v>80</v>
      </c>
      <c r="U12" s="159" t="n">
        <v>99</v>
      </c>
      <c r="V12" s="159" t="n"/>
      <c r="W12" s="159" t="inlineStr">
        <is>
          <t>XBRL &amp; taxonomy, Prioritisation, Problem solving</t>
        </is>
      </c>
      <c r="X12" s="159" t="inlineStr">
        <is>
          <r>
            <rPr>
              <rFont val="Calibri"/>
              <b val="1"/>
              <sz val="10"/>
            </rPr>
            <t>B1:</t>
          </r>
          <r>
            <rPr>
              <rFont val="Calibri"/>
              <sz val="10"/>
            </rPr>
            <t xml:space="preserve"> 84% of profile — close</t>
          </r>
        </is>
      </c>
      <c r="Y12" s="159" t="inlineStr">
        <is>
          <r>
            <rPr>
              <rFont val="Calibri"/>
              <b val="1"/>
              <sz val="10"/>
            </rPr>
            <t>Evidence:</t>
          </r>
          <r>
            <rPr>
              <rFont val="Calibri"/>
              <sz val="10"/>
            </rPr>
            <t xml:space="preserve"> Survey + KRAs | Core: Ownership 3/2, Problem solving 1/2, Communication &amp; collaboration 2/2, Client &amp; quality focus 4/2, Learning agility 1/2, Integrity &amp; compliance 2/2 | Future-ready: AI literacy 2/2, Data literacy 3/2, Digital fluency 1/2, Innovation 1/2 | Functional: Excel &amp; tools 4/3, Quality &amp; process 4/3, Regulatory domain 4/3, XBRL &amp; taxonomy 2/3, AI / GenAI 3/3, Prioritisation 2/3</t>
          </r>
        </is>
      </c>
      <c r="Z12" s="119" t="inlineStr">
        <is>
          <t>Leadership &amp; people management · Broader exposure &amp; ownership</t>
        </is>
      </c>
      <c r="AA12" s="160" t="n"/>
      <c r="AB12" s="160" t="inlineStr">
        <is>
          <t>Project, Program &amp; Agile Management</t>
        </is>
      </c>
      <c r="AC12" s="160" t="inlineStr">
        <is>
          <t>Leadership &amp; people management · Broader exposure &amp; ownership</t>
        </is>
      </c>
      <c r="AD12" s="160" t="n"/>
      <c r="AE12" s="121" t="inlineStr">
        <is>
          <t>No strong match from survey evidence</t>
        </is>
      </c>
      <c r="AF12" s="122" t="inlineStr">
        <is>
          <t>Nitin Bhoir · Senior Digitization Associate — 0.64: html, website, data, verification; Saurav Kamtekar · Senior Digitization Associate — 0.40: website, tender, conversion, checking</t>
        </is>
      </c>
      <c r="AG12" s="122" t="inlineStr">
        <is>
          <t>No close match in other businesses</t>
        </is>
      </c>
      <c r="AH12" s="122" t="n"/>
      <c r="AI12" s="122" t="n"/>
      <c r="AJ12" s="122" t="n"/>
    </row>
    <row r="13" ht="132" customHeight="1">
      <c r="A13" s="109" t="inlineStr">
        <is>
          <t>IRISC283</t>
        </is>
      </c>
      <c r="B13" s="111" t="inlineStr">
        <is>
          <t>Saurav Kamtekar</t>
        </is>
      </c>
      <c r="C13" s="111" t="inlineStr">
        <is>
          <t>Digitizing</t>
        </is>
      </c>
      <c r="D13" s="114" t="inlineStr">
        <is>
          <t>Consultant</t>
        </is>
      </c>
      <c r="E13" s="114" t="inlineStr">
        <is>
          <t>Senior Digitization Associate</t>
        </is>
      </c>
      <c r="F13" s="114" t="inlineStr">
        <is>
          <t>L3 – Professional / Associate</t>
        </is>
      </c>
      <c r="G13" s="116" t="inlineStr">
        <is>
          <t>A3</t>
        </is>
      </c>
      <c r="H13" s="117" t="inlineStr">
        <is>
          <t>▲ Up</t>
        </is>
      </c>
      <c r="I13" s="111" t="inlineStr">
        <is>
          <t>IC</t>
        </is>
      </c>
      <c r="J13" s="146" t="n">
        <v>3</v>
      </c>
      <c r="K13" s="115" t="inlineStr">
        <is>
          <t>Medium</t>
        </is>
      </c>
      <c r="L13" s="115" t="inlineStr">
        <is>
          <t>Core Contributor</t>
        </is>
      </c>
      <c r="M13" s="115" t="inlineStr">
        <is>
          <t>Develop in role</t>
        </is>
      </c>
      <c r="N13" s="115" t="n"/>
      <c r="O13" s="115" t="inlineStr">
        <is>
          <t>Yes</t>
        </is>
      </c>
      <c r="P13" s="115" t="inlineStr"/>
      <c r="Q13" s="118" t="n">
        <v>79</v>
      </c>
      <c r="R13" s="159" t="inlineStr">
        <is>
          <t>Developing</t>
        </is>
      </c>
      <c r="S13" s="159" t="n">
        <v>95</v>
      </c>
      <c r="T13" s="159" t="n">
        <v>50</v>
      </c>
      <c r="U13" s="159" t="n">
        <v>81</v>
      </c>
      <c r="V13" s="159" t="n"/>
      <c r="W13" s="159" t="inlineStr">
        <is>
          <t>Excel &amp; tools, XBRL &amp; taxonomy, AI / GenAI</t>
        </is>
      </c>
      <c r="X13" s="159" t="inlineStr">
        <is>
          <r>
            <rPr>
              <rFont val="Calibri"/>
              <b val="1"/>
              <sz val="10"/>
            </rPr>
            <t>B1:</t>
          </r>
          <r>
            <rPr>
              <rFont val="Calibri"/>
              <sz val="10"/>
            </rPr>
            <t xml:space="preserve"> 70% of profile — not yet</t>
          </r>
        </is>
      </c>
      <c r="Y13" s="159" t="inlineStr">
        <is>
          <r>
            <rPr>
              <rFont val="Calibri"/>
              <b val="1"/>
              <sz val="10"/>
            </rPr>
            <t>Evidence:</t>
          </r>
          <r>
            <rPr>
              <rFont val="Calibri"/>
              <sz val="10"/>
            </rPr>
            <t xml:space="preserve"> Survey + KRAs | Core: Ownership 2/2, Problem solving 2/2, Communication &amp; collaboration 2/2, Client &amp; quality focus 3/2, Learning agility 1/2, Integrity &amp; compliance 2/2 | Future-ready: AI literacy 1/2, Data literacy 1/2, Digital fluency 1/2, Innovation 1/2 | Functional: Excel &amp; tools 2/3, Quality &amp; process 4/3, Regulatory domain 3/3, XBRL &amp; taxonomy 2/3, AI / GenAI 2/3, Prioritisation 2/3</t>
          </r>
        </is>
      </c>
      <c r="Z13" s="119" t="inlineStr">
        <is>
          <t>AI / automation · Leadership &amp; people management</t>
        </is>
      </c>
      <c r="AA13" s="160" t="n"/>
      <c r="AB13" s="160" t="inlineStr">
        <is>
          <t>AI, GenAI &amp; Prompt Engineering</t>
        </is>
      </c>
      <c r="AC13" s="160" t="inlineStr">
        <is>
          <t>AI / automation · Leadership &amp; people management</t>
        </is>
      </c>
      <c r="AD13" s="160" t="n"/>
      <c r="AE13" s="121" t="inlineStr">
        <is>
          <t>No strong match from survey evidence</t>
        </is>
      </c>
      <c r="AF13" s="122" t="inlineStr">
        <is>
          <t>Manish Paithankar · Digitization Associate — 0.90: content, website, validate, identify; Manoj Tiwari · Senior Digitization Associate — 0.40: website, tender, conversion, checking; Nitin Bhoir · Senior Digitization Associate — 0.38: website, errors, conversion, content</t>
        </is>
      </c>
      <c r="AG13" s="122" t="inlineStr">
        <is>
          <t>No close match in other businesses</t>
        </is>
      </c>
      <c r="AH13" s="122" t="n"/>
      <c r="AI13" s="122" t="n"/>
      <c r="AJ13" s="122" t="n"/>
    </row>
    <row r="14" ht="132" customHeight="1">
      <c r="A14" s="109" t="inlineStr">
        <is>
          <t>IRISC338</t>
        </is>
      </c>
      <c r="B14" s="111" t="inlineStr">
        <is>
          <t>Snehal Bhavesh Farad</t>
        </is>
      </c>
      <c r="C14" s="111" t="inlineStr">
        <is>
          <t>Digitizing</t>
        </is>
      </c>
      <c r="D14" s="114" t="inlineStr">
        <is>
          <t>Consultant</t>
        </is>
      </c>
      <c r="E14" s="114" t="inlineStr">
        <is>
          <t>Senior Digitization Associate</t>
        </is>
      </c>
      <c r="F14" s="114" t="inlineStr">
        <is>
          <t>L3 – Professional / Associate</t>
        </is>
      </c>
      <c r="G14" s="116" t="inlineStr">
        <is>
          <t>A3</t>
        </is>
      </c>
      <c r="H14" s="117" t="inlineStr">
        <is>
          <t>▲ Up</t>
        </is>
      </c>
      <c r="I14" s="111" t="inlineStr">
        <is>
          <t>IC</t>
        </is>
      </c>
      <c r="J14" s="146" t="n">
        <v>3</v>
      </c>
      <c r="K14" s="115" t="inlineStr">
        <is>
          <t>Medium</t>
        </is>
      </c>
      <c r="L14" s="115" t="inlineStr">
        <is>
          <t>Core Contributor</t>
        </is>
      </c>
      <c r="M14" s="115" t="inlineStr">
        <is>
          <t>Develop in role</t>
        </is>
      </c>
      <c r="N14" s="115" t="n"/>
      <c r="O14" s="115" t="inlineStr">
        <is>
          <t>Yes</t>
        </is>
      </c>
      <c r="P14" s="115" t="inlineStr"/>
      <c r="Q14" s="118" t="n">
        <v>78</v>
      </c>
      <c r="R14" s="159" t="inlineStr">
        <is>
          <t>Developing</t>
        </is>
      </c>
      <c r="S14" s="159" t="n">
        <v>83</v>
      </c>
      <c r="T14" s="159" t="n">
        <v>62</v>
      </c>
      <c r="U14" s="159" t="n">
        <v>81</v>
      </c>
      <c r="V14" s="159" t="n"/>
      <c r="W14" s="159" t="inlineStr">
        <is>
          <t>Quality &amp; process, XBRL &amp; taxonomy, AI / GenAI</t>
        </is>
      </c>
      <c r="X14" s="159" t="inlineStr">
        <is>
          <r>
            <rPr>
              <rFont val="Calibri"/>
              <b val="1"/>
              <sz val="10"/>
            </rPr>
            <t>B1:</t>
          </r>
          <r>
            <rPr>
              <rFont val="Calibri"/>
              <sz val="10"/>
            </rPr>
            <t xml:space="preserve"> 69% of profile — not yet</t>
          </r>
        </is>
      </c>
      <c r="Y14" s="159" t="inlineStr">
        <is>
          <r>
            <rPr>
              <rFont val="Calibri"/>
              <b val="1"/>
              <sz val="10"/>
            </rPr>
            <t>Evidence:</t>
          </r>
          <r>
            <rPr>
              <rFont val="Calibri"/>
              <sz val="10"/>
            </rPr>
            <t xml:space="preserve"> Survey + KRAs | Core: Ownership 2/2, Problem solving 1/2, Communication &amp; collaboration 2/2, Client &amp; quality focus 2/2, Learning agility 1/2, Integrity &amp; compliance 2/2 | Future-ready: AI literacy 1/2, Data literacy 2/2, Digital fluency 1/2, Innovation 1/2 | Functional: Excel &amp; tools 4/3, Quality &amp; process 2/3, Regulatory domain 3/3, XBRL &amp; taxonomy 2/3, AI / GenAI 2/3, Prioritisation 2/3</t>
          </r>
        </is>
      </c>
      <c r="Z14" s="119" t="inlineStr">
        <is>
          <t>Answered · no common topic</t>
        </is>
      </c>
      <c r="AA14" s="160" t="n"/>
      <c r="AB14" s="160" t="inlineStr">
        <is>
          <t>Advanced Excel &amp; Productivity Tools</t>
        </is>
      </c>
      <c r="AC14" s="160" t="inlineStr">
        <is>
          <t>Answered · no common topic</t>
        </is>
      </c>
      <c r="AD14" s="160" t="n"/>
      <c r="AE14" s="121" t="inlineStr">
        <is>
          <t>No strong match from survey evidence</t>
        </is>
      </c>
      <c r="AF14" s="122" t="inlineStr">
        <is>
          <t>Siddhesh Harishchandra Mali · Digitization Associate — 0.45: html, dreamweaver, conversion, rbi; Nitin Bhoir · Senior Digitization Associate — 0.39: html, website, rbi, conversion</t>
        </is>
      </c>
      <c r="AG14" s="122" t="inlineStr">
        <is>
          <t>No close match in other businesses</t>
        </is>
      </c>
      <c r="AH14" s="122" t="n"/>
      <c r="AI14" s="122" t="n"/>
      <c r="AJ14" s="122" t="n"/>
    </row>
    <row r="15" ht="132" customHeight="1">
      <c r="A15" s="109" t="inlineStr">
        <is>
          <t>IRISC337</t>
        </is>
      </c>
      <c r="B15" s="111" t="inlineStr">
        <is>
          <t>Siddhesh Harishchandra Mali</t>
        </is>
      </c>
      <c r="C15" s="111" t="inlineStr">
        <is>
          <t>Digitizing</t>
        </is>
      </c>
      <c r="D15" s="114" t="inlineStr">
        <is>
          <t>Consultant</t>
        </is>
      </c>
      <c r="E15" s="114" t="inlineStr">
        <is>
          <t>Digitization Associate</t>
        </is>
      </c>
      <c r="F15" s="111" t="inlineStr">
        <is>
          <t>L3 – Professional / Associate</t>
        </is>
      </c>
      <c r="G15" s="26" t="inlineStr">
        <is>
          <t>A2</t>
        </is>
      </c>
      <c r="H15" s="142" t="inlineStr">
        <is>
          <t>• Same level</t>
        </is>
      </c>
      <c r="I15" s="111" t="inlineStr">
        <is>
          <t>IC</t>
        </is>
      </c>
      <c r="J15" s="146" t="n">
        <v>3</v>
      </c>
      <c r="K15" s="115" t="inlineStr">
        <is>
          <t>Medium</t>
        </is>
      </c>
      <c r="L15" s="115" t="inlineStr">
        <is>
          <t>Core Contributor</t>
        </is>
      </c>
      <c r="M15" s="115" t="inlineStr">
        <is>
          <t>Develop in role</t>
        </is>
      </c>
      <c r="N15" s="115" t="n"/>
      <c r="O15" s="115" t="inlineStr">
        <is>
          <t>Yes</t>
        </is>
      </c>
      <c r="P15" s="115" t="inlineStr"/>
      <c r="Q15" s="118" t="n">
        <v>84</v>
      </c>
      <c r="R15" s="159" t="inlineStr">
        <is>
          <t>Developing</t>
        </is>
      </c>
      <c r="S15" s="159" t="n">
        <v>95</v>
      </c>
      <c r="T15" s="159" t="n">
        <v>68</v>
      </c>
      <c r="U15" s="159" t="n">
        <v>85</v>
      </c>
      <c r="V15" s="159" t="n"/>
      <c r="W15" s="159" t="inlineStr">
        <is>
          <t>XBRL &amp; taxonomy, AI / GenAI, Prioritisation</t>
        </is>
      </c>
      <c r="X15" s="159" t="inlineStr">
        <is>
          <r>
            <rPr>
              <rFont val="Calibri"/>
              <b val="1"/>
              <sz val="10"/>
            </rPr>
            <t>A3:</t>
          </r>
          <r>
            <rPr>
              <rFont val="Calibri"/>
              <sz val="10"/>
            </rPr>
            <t xml:space="preserve"> 75% of profile — close</t>
          </r>
        </is>
      </c>
      <c r="Y15" s="159" t="inlineStr">
        <is>
          <r>
            <rPr>
              <rFont val="Calibri"/>
              <b val="1"/>
              <sz val="10"/>
            </rPr>
            <t>Evidence:</t>
          </r>
          <r>
            <rPr>
              <rFont val="Calibri"/>
              <sz val="10"/>
            </rPr>
            <t xml:space="preserve"> Survey + KRAs | Core: Ownership 2/2, Problem solving 2/2, Communication &amp; collaboration 2/2, Client &amp; quality focus 3/2, Learning agility 1/2, Integrity &amp; compliance 2/2 | Future-ready: AI literacy 1/2, Data literacy 3/2, Digital fluency 1/2, Innovation 1/2 | Functional: Excel &amp; tools 3/2, Quality &amp; process 3/2, Regulatory domain 3/2, XBRL &amp; taxonomy 1/2, AI / GenAI 1/2, Prioritisation 1/2</t>
          </r>
        </is>
      </c>
      <c r="Z15" s="119" t="inlineStr">
        <is>
          <t>Broader exposure &amp; ownership</t>
        </is>
      </c>
      <c r="AA15" s="160" t="n"/>
      <c r="AB15" s="160" t="inlineStr">
        <is>
          <t>Advanced Excel &amp; Productivity Tools; AI, GenAI &amp; Prompt Engineering; Test Automation &amp; QA Engineering</t>
        </is>
      </c>
      <c r="AC15" s="160" t="inlineStr">
        <is>
          <t>AI / automation · Project / programme management · Data, SQL &amp; analytics · Broader exposure &amp; ownership</t>
        </is>
      </c>
      <c r="AD15" s="160" t="n"/>
      <c r="AE15" s="121" t="inlineStr">
        <is>
          <t>No strong match from survey evidence</t>
        </is>
      </c>
      <c r="AF15" s="122" t="inlineStr">
        <is>
          <t>Snehal Bhavesh Farad · Senior Digitization Associate — 0.45: html, dreamweaver, conversion, rbi; Nitin Bhoir · Senior Digitization Associate — 0.45: html, content, conversion, rbi</t>
        </is>
      </c>
      <c r="AG15" s="122" t="inlineStr">
        <is>
          <t>Farina Pathan · CARBON, Senior Digitization Associate — 0.40; Bhavesh Gusain · CARBON, Senior Digitization Associate — 0.33; Gaurav Yashwant Chaulkar · CARBON, Senior Digitization Associate — 0.31</t>
        </is>
      </c>
      <c r="AH15" s="122" t="n"/>
      <c r="AI15" s="122" t="n"/>
      <c r="AJ15" s="122" t="n"/>
    </row>
    <row r="16" ht="171" customHeight="1">
      <c r="A16" s="109" t="inlineStr">
        <is>
          <t>IRIS0007</t>
        </is>
      </c>
      <c r="B16" s="111" t="inlineStr">
        <is>
          <t>Gopal Krishna Sahu</t>
        </is>
      </c>
      <c r="C16" s="111" t="inlineStr">
        <is>
          <t>India Content</t>
        </is>
      </c>
      <c r="D16" s="114" t="inlineStr">
        <is>
          <t>Data Analyst Manager</t>
        </is>
      </c>
      <c r="E16" s="114" t="inlineStr">
        <is>
          <t>Data Operations Manager</t>
        </is>
      </c>
      <c r="F16" s="111" t="inlineStr">
        <is>
          <t>L5 – Manager</t>
        </is>
      </c>
      <c r="G16" s="23" t="inlineStr">
        <is>
          <t>B2</t>
        </is>
      </c>
      <c r="H16" s="142" t="inlineStr">
        <is>
          <t>• Same level</t>
        </is>
      </c>
      <c r="I16" s="111" t="inlineStr">
        <is>
          <t>People Manager</t>
        </is>
      </c>
      <c r="J16" s="146" t="n">
        <v>4</v>
      </c>
      <c r="K16" s="115" t="inlineStr">
        <is>
          <t>Medium</t>
        </is>
      </c>
      <c r="L16" s="115" t="inlineStr">
        <is>
          <t>Emerging Talent</t>
        </is>
      </c>
      <c r="M16" s="115" t="inlineStr">
        <is>
          <t>Ready in 6–12 months</t>
        </is>
      </c>
      <c r="N16" s="115" t="n"/>
      <c r="O16" s="115" t="inlineStr"/>
      <c r="P16" s="115" t="inlineStr"/>
      <c r="Q16" s="118" t="n">
        <v>96</v>
      </c>
      <c r="R16" s="159" t="inlineStr">
        <is>
          <t>Meets the level</t>
        </is>
      </c>
      <c r="S16" s="159" t="n">
        <v>104</v>
      </c>
      <c r="T16" s="159" t="n">
        <v>92</v>
      </c>
      <c r="U16" s="159" t="n">
        <v>92</v>
      </c>
      <c r="V16" s="159" t="n">
        <v>97</v>
      </c>
      <c r="W16" s="159" t="inlineStr">
        <is>
          <t>Analytics &amp; BI, Accounting standards, Learning agility</t>
        </is>
      </c>
      <c r="X16" s="159" t="inlineStr">
        <is>
          <r>
            <rPr>
              <rFont val="Calibri"/>
              <b val="1"/>
              <sz val="10"/>
            </rPr>
            <t>B3:</t>
          </r>
          <r>
            <rPr>
              <rFont val="Calibri"/>
              <sz val="10"/>
            </rPr>
            <t xml:space="preserve"> 85% of profile — close</t>
          </r>
        </is>
      </c>
      <c r="Y16" s="159" t="inlineStr">
        <is>
          <r>
            <rPr>
              <rFont val="Calibri"/>
              <b val="1"/>
              <sz val="10"/>
            </rPr>
            <t>Evidence:</t>
          </r>
          <r>
            <rPr>
              <rFont val="Calibri"/>
              <sz val="10"/>
            </rPr>
            <t xml:space="preserve"> Survey + KRAs | Core: Ownership 4/3, Problem solving 3/3, Communication &amp; collaboration 4/3, Client &amp; quality focus 5/3, Learning agility 2/3, Integrity &amp; compliance 3/3 | Future-ready: AI literacy 2/3, Data literacy 3/3, Digital fluency 3/3, Innovation 3/3 | Functional: Analytics &amp; BI 3/4, SQL &amp; data 4/4, Excel &amp; tools 4/4, Regulatory domain 4/4, Quality &amp; process 4/4, Accounting standards 3/4 | Leadership: Developing people 3/3, Decision making 2/3, Strategic acumen 3/3, Influence &amp; change 4/3</t>
          </r>
        </is>
      </c>
      <c r="Z16" s="119" t="inlineStr">
        <is>
          <t>AI / automation · Data, SQL &amp; analytics</t>
        </is>
      </c>
      <c r="AA16" s="160" t="n"/>
      <c r="AB16" s="160" t="inlineStr">
        <is>
          <t>People Leadership &amp; Mentoring; Project, Program &amp; Agile Management; Stakeholder &amp; Client Management</t>
        </is>
      </c>
      <c r="AC16" s="160" t="inlineStr">
        <is>
          <t>AI / automation · Data, SQL &amp; analytics</t>
        </is>
      </c>
      <c r="AD16" s="160" t="n"/>
      <c r="AE16" s="121" t="inlineStr">
        <is>
          <t>No strong match from survey evidence</t>
        </is>
      </c>
      <c r="AF16" s="122" t="inlineStr">
        <is>
          <t>John Mariakulandai · Data Analyst — 0.38: fund, mutual, access, client; Akash Dubey · Data Analyst — 0.30: fund, mutual, excel, tools</t>
        </is>
      </c>
      <c r="AG16" s="122" t="inlineStr">
        <is>
          <t>No close match in other businesses</t>
        </is>
      </c>
      <c r="AH16" s="122" t="n">
        <v>8</v>
      </c>
      <c r="AI16" s="122" t="inlineStr">
        <is>
          <t>Within norm</t>
        </is>
      </c>
      <c r="AJ16" s="122" t="n"/>
    </row>
    <row r="17" ht="171" customHeight="1">
      <c r="A17" s="109" t="inlineStr">
        <is>
          <t>IRIS0015</t>
        </is>
      </c>
      <c r="B17" s="111" t="inlineStr">
        <is>
          <t>Virendra Borkar</t>
        </is>
      </c>
      <c r="C17" s="111" t="inlineStr">
        <is>
          <t>India Content</t>
        </is>
      </c>
      <c r="D17" s="114" t="inlineStr">
        <is>
          <t>Data Analyst Lead</t>
        </is>
      </c>
      <c r="E17" s="114" t="inlineStr">
        <is>
          <t>Data Specialist</t>
        </is>
      </c>
      <c r="F17" s="114" t="inlineStr">
        <is>
          <t>L5 – Lead · IC</t>
        </is>
      </c>
      <c r="G17" s="116" t="inlineStr">
        <is>
          <t>B1</t>
        </is>
      </c>
      <c r="H17" s="140" t="inlineStr">
        <is>
          <t>▼ Down · protected</t>
        </is>
      </c>
      <c r="I17" s="111" t="inlineStr">
        <is>
          <t>IC</t>
        </is>
      </c>
      <c r="J17" s="146" t="n">
        <v>3</v>
      </c>
      <c r="K17" s="115" t="inlineStr">
        <is>
          <t>Medium</t>
        </is>
      </c>
      <c r="L17" s="115" t="inlineStr">
        <is>
          <t>Future Leader</t>
        </is>
      </c>
      <c r="M17" s="115" t="inlineStr">
        <is>
          <t>Develop in role</t>
        </is>
      </c>
      <c r="N17" s="115" t="n"/>
      <c r="O17" s="115" t="inlineStr">
        <is>
          <t>Yes</t>
        </is>
      </c>
      <c r="P17" s="115" t="inlineStr">
        <is>
          <t>Swapnil Katrat</t>
        </is>
      </c>
      <c r="Q17" s="118" t="n">
        <v>94</v>
      </c>
      <c r="R17" s="159" t="inlineStr">
        <is>
          <t>Meets the level</t>
        </is>
      </c>
      <c r="S17" s="159" t="n">
        <v>101</v>
      </c>
      <c r="T17" s="159" t="n">
        <v>92</v>
      </c>
      <c r="U17" s="159" t="n">
        <v>89</v>
      </c>
      <c r="V17" s="159" t="n">
        <v>105</v>
      </c>
      <c r="W17" s="159" t="inlineStr">
        <is>
          <t>Analytics &amp; BI, Accounting standards, Learning agility</t>
        </is>
      </c>
      <c r="X17" s="159" t="inlineStr">
        <is>
          <r>
            <rPr>
              <rFont val="Calibri"/>
              <b val="1"/>
              <sz val="10"/>
            </rPr>
            <t>B2:</t>
          </r>
          <r>
            <rPr>
              <rFont val="Calibri"/>
              <sz val="10"/>
            </rPr>
            <t xml:space="preserve"> 80% of profile — close</t>
          </r>
        </is>
      </c>
      <c r="Y17" s="159"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3/3, Digital fluency 3/3, Innovation 3/3 | Functional: Analytics &amp; BI 2/3, SQL &amp; data 3/3, Excel &amp; tools 3/3, Regulatory domain 3/3, Quality &amp; process 3/3, Accounting standards 2/3 | Leadership: Developing people 1/1, Decision making 1/1, Strategic acumen 1/1, Influence &amp; change 2/1</t>
          </r>
        </is>
      </c>
      <c r="Z17" s="119" t="inlineStr">
        <is>
          <t>Leadership &amp; people management · Project / programme management · Communication &amp; presentation · Strategy &amp; business acumen</t>
        </is>
      </c>
      <c r="AA17" s="160" t="inlineStr">
        <is>
          <t>The team needs training for new automation tools.</t>
        </is>
      </c>
      <c r="AB17" s="160" t="inlineStr">
        <is>
          <t>People Leadership &amp; Mentoring; Project, Program &amp; Agile Management; Stakeholder &amp; Client Management</t>
        </is>
      </c>
      <c r="AC17" s="160" t="inlineStr">
        <is>
          <t>Leadership &amp; people management · Project / programme management · Communication &amp; presentation · Strategy &amp; business acumen</t>
        </is>
      </c>
      <c r="AD17"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7" s="121" t="inlineStr">
        <is>
          <t>No strong match from survey evidence</t>
        </is>
      </c>
      <c r="AF17" s="122" t="inlineStr">
        <is>
          <t>Palanikumar Mooppanar · Data Analyst — 0.42: access, data, master, handling; Prashant Shelar · Senior Data Analyst — 0.38: access, data, excel</t>
        </is>
      </c>
      <c r="AG17" s="122" t="inlineStr">
        <is>
          <t>No close match in other businesses</t>
        </is>
      </c>
      <c r="AH17" s="122" t="n"/>
      <c r="AI17" s="122" t="n"/>
      <c r="AJ17" s="122" t="n"/>
    </row>
    <row r="18" ht="132" customHeight="1">
      <c r="A18" s="109" t="inlineStr">
        <is>
          <t>IRIS1743</t>
        </is>
      </c>
      <c r="B18" s="111" t="inlineStr">
        <is>
          <t>Akash Dubey</t>
        </is>
      </c>
      <c r="C18" s="111" t="inlineStr">
        <is>
          <t>India Content</t>
        </is>
      </c>
      <c r="D18" s="114" t="inlineStr">
        <is>
          <t>Data Analyst</t>
        </is>
      </c>
      <c r="E18" s="114" t="inlineStr">
        <is>
          <t>Senior Data Analyst</t>
        </is>
      </c>
      <c r="F18" s="114" t="inlineStr">
        <is>
          <t>L3 – Professional / Associate</t>
        </is>
      </c>
      <c r="G18" s="116" t="inlineStr">
        <is>
          <t>A3</t>
        </is>
      </c>
      <c r="H18" s="117" t="inlineStr">
        <is>
          <t>▲ Up</t>
        </is>
      </c>
      <c r="I18" s="111" t="inlineStr">
        <is>
          <t>IC</t>
        </is>
      </c>
      <c r="J18" s="146" t="n">
        <v>3</v>
      </c>
      <c r="K18" s="115" t="inlineStr">
        <is>
          <t>Medium</t>
        </is>
      </c>
      <c r="L18" s="115" t="inlineStr">
        <is>
          <t>Trusted Professional</t>
        </is>
      </c>
      <c r="M18" s="115" t="inlineStr">
        <is>
          <t>Develop in role</t>
        </is>
      </c>
      <c r="N18" s="115" t="n"/>
      <c r="O18" s="115" t="inlineStr">
        <is>
          <t>Yes</t>
        </is>
      </c>
      <c r="P18" s="115" t="inlineStr">
        <is>
          <t>John Mariakulandai</t>
        </is>
      </c>
      <c r="Q18" s="118" t="n">
        <v>96</v>
      </c>
      <c r="R18" s="159" t="inlineStr">
        <is>
          <t>Meets the level</t>
        </is>
      </c>
      <c r="S18" s="159" t="n">
        <v>105</v>
      </c>
      <c r="T18" s="159" t="n">
        <v>92</v>
      </c>
      <c r="U18" s="159" t="n">
        <v>92</v>
      </c>
      <c r="V18" s="159" t="n"/>
      <c r="W18" s="159" t="inlineStr">
        <is>
          <t>Analytics &amp; BI, Accounting standards, Learning agility</t>
        </is>
      </c>
      <c r="X18" s="159" t="inlineStr">
        <is>
          <r>
            <rPr>
              <rFont val="Calibri"/>
              <b val="1"/>
              <sz val="10"/>
            </rPr>
            <t>B1:</t>
          </r>
          <r>
            <rPr>
              <rFont val="Calibri"/>
              <sz val="10"/>
            </rPr>
            <t xml:space="preserve"> 86% of profile — close</t>
          </r>
        </is>
      </c>
      <c r="Y18" s="159" t="inlineStr">
        <is>
          <r>
            <rPr>
              <rFont val="Calibri"/>
              <b val="1"/>
              <sz val="10"/>
            </rPr>
            <t>Evidence:</t>
          </r>
          <r>
            <rPr>
              <rFont val="Calibri"/>
              <sz val="10"/>
            </rPr>
            <t xml:space="preserve"> Survey + KRAs | Core: Ownership 3/2, Problem solving 3/2, Communication &amp; collaboration 3/2, Client &amp; quality focus 3/2, Learning agility 1/2, Integrity &amp; compliance 2/2 | Future-ready: AI literacy 1/2, Data literacy 3/2, Digital fluency 2/2, Innovation 2/2 | Functional: Analytics &amp; BI 2/3, SQL &amp; data 3/3, Excel &amp; tools 3/3, Regulatory domain 3/3, Quality &amp; process 4/3, Accounting standards 2/3</t>
          </r>
        </is>
      </c>
      <c r="Z18" s="119" t="inlineStr">
        <is>
          <t>Leadership &amp; people management · Project / programme management · Broader exposure &amp; ownership</t>
        </is>
      </c>
      <c r="AA18" s="160" t="inlineStr">
        <is>
          <t>The team needs training for new automation tools.</t>
        </is>
      </c>
      <c r="AB18" s="160" t="inlineStr">
        <is>
          <t>Stakeholder &amp; Client Management</t>
        </is>
      </c>
      <c r="AC18" s="160" t="inlineStr">
        <is>
          <t>Leadership &amp; people management · Project / programme management · Broader exposure &amp; ownership</t>
        </is>
      </c>
      <c r="AD18"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8" s="121" t="inlineStr">
        <is>
          <t>No strong match from survey evidence</t>
        </is>
      </c>
      <c r="AF18" s="122" t="inlineStr">
        <is>
          <t>John Mariakulandai · Data Analyst — 0.61: fund, mutual, data, excel; Neelam Kadam · Data Analyst — 0.51: mutual, fund, data, details; Palanikumar Mooppanar · Data Analyst — 0.39: data, fund, mutual, scheme</t>
        </is>
      </c>
      <c r="AG18" s="122" t="inlineStr">
        <is>
          <t>No close match in other businesses</t>
        </is>
      </c>
      <c r="AH18" s="122" t="n"/>
      <c r="AI18" s="122" t="n"/>
      <c r="AJ18" s="122" t="n"/>
    </row>
    <row r="19" ht="132" customHeight="1">
      <c r="A19" s="109" t="inlineStr">
        <is>
          <t>IRIS1710</t>
        </is>
      </c>
      <c r="B19" s="111" t="inlineStr">
        <is>
          <t>John Mariakulandai</t>
        </is>
      </c>
      <c r="C19" s="111" t="inlineStr">
        <is>
          <t>India Content</t>
        </is>
      </c>
      <c r="D19" s="114" t="inlineStr">
        <is>
          <t>Data Analyst</t>
        </is>
      </c>
      <c r="E19" s="114" t="inlineStr">
        <is>
          <t>Senior Data Analyst</t>
        </is>
      </c>
      <c r="F19" s="114" t="inlineStr">
        <is>
          <t>L3 – Professional / Associate</t>
        </is>
      </c>
      <c r="G19" s="116" t="inlineStr">
        <is>
          <t>A3</t>
        </is>
      </c>
      <c r="H19" s="117" t="inlineStr">
        <is>
          <t>▲ Up</t>
        </is>
      </c>
      <c r="I19" s="111" t="inlineStr">
        <is>
          <t>IC</t>
        </is>
      </c>
      <c r="J19" s="146" t="n">
        <v>3</v>
      </c>
      <c r="K19" s="115" t="inlineStr">
        <is>
          <t>Medium</t>
        </is>
      </c>
      <c r="L19" s="115" t="inlineStr">
        <is>
          <t>High Impact / Growth Talent</t>
        </is>
      </c>
      <c r="M19" s="115" t="inlineStr">
        <is>
          <t>Develop in role</t>
        </is>
      </c>
      <c r="N19" s="115" t="n"/>
      <c r="O19" s="115" t="inlineStr">
        <is>
          <t>Yes</t>
        </is>
      </c>
      <c r="P19" s="115" t="inlineStr">
        <is>
          <t>Palani Kumar, Akash Dubey</t>
        </is>
      </c>
      <c r="Q19" s="118" t="n">
        <v>91</v>
      </c>
      <c r="R19" s="159" t="inlineStr">
        <is>
          <t>Meets the level</t>
        </is>
      </c>
      <c r="S19" s="159" t="n">
        <v>98</v>
      </c>
      <c r="T19" s="159" t="n">
        <v>88</v>
      </c>
      <c r="U19" s="159" t="n">
        <v>89</v>
      </c>
      <c r="V19" s="159" t="n"/>
      <c r="W19" s="159" t="inlineStr">
        <is>
          <t>Analytics &amp; BI, Accounting standards, Learning agility</t>
        </is>
      </c>
      <c r="X19" s="159" t="inlineStr">
        <is>
          <r>
            <rPr>
              <rFont val="Calibri"/>
              <b val="1"/>
              <sz val="10"/>
            </rPr>
            <t>B1:</t>
          </r>
          <r>
            <rPr>
              <rFont val="Calibri"/>
              <sz val="10"/>
            </rPr>
            <t xml:space="preserve"> 80% of profile — close</t>
          </r>
        </is>
      </c>
      <c r="Y19" s="159" t="inlineStr">
        <is>
          <r>
            <rPr>
              <rFont val="Calibri"/>
              <b val="1"/>
              <sz val="10"/>
            </rPr>
            <t>Evidence:</t>
          </r>
          <r>
            <rPr>
              <rFont val="Calibri"/>
              <sz val="10"/>
            </rPr>
            <t xml:space="preserve"> Survey + KRAs | Core: Ownership 2/2, Problem solving 2/2, Communication &amp; collaboration 3/2, Client &amp; quality focus 3/2, Learning agility 1/2, Integrity &amp; compliance 2/2 | Future-ready: AI literacy 1/2, Data literacy 2/2, Digital fluency 2/2, Innovation 2/2 | Functional: Analytics &amp; BI 2/3, SQL &amp; data 3/3, Excel &amp; tools 3/3, Regulatory domain 3/3, Quality &amp; process 3/3, Accounting standards 2/3</t>
          </r>
        </is>
      </c>
      <c r="Z19" s="119" t="inlineStr">
        <is>
          <t>Answered · no common topic</t>
        </is>
      </c>
      <c r="AA19" s="160" t="inlineStr">
        <is>
          <t>The team needs training for new automation tools.</t>
        </is>
      </c>
      <c r="AB19" s="160" t="inlineStr">
        <is>
          <t>RC.DATA-F: source validation; reconciliation; data lineage; issue management</t>
        </is>
      </c>
      <c r="AC19" s="160" t="inlineStr">
        <is>
          <t>Answered · no common topic</t>
        </is>
      </c>
      <c r="AD19"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9" s="121" t="inlineStr">
        <is>
          <t>No strong match from survey evidence</t>
        </is>
      </c>
      <c r="AF19" s="122" t="inlineStr">
        <is>
          <t>Akash Dubey · Data Analyst — 0.61: fund, mutual, data, excel; Neelam Kadam · Data Analyst — 0.55: fund, mutual, access, excel; Palanikumar Mooppanar · Data Analyst — 0.44: access, data, fund, mutual</t>
        </is>
      </c>
      <c r="AG19" s="122" t="inlineStr">
        <is>
          <t>No close match in other businesses</t>
        </is>
      </c>
      <c r="AH19" s="122" t="n"/>
      <c r="AI19" s="122" t="n"/>
      <c r="AJ19" s="122" t="n"/>
    </row>
    <row r="20" ht="132" customHeight="1">
      <c r="A20" s="109" t="inlineStr">
        <is>
          <t>IRIS0091</t>
        </is>
      </c>
      <c r="B20" s="111" t="inlineStr">
        <is>
          <t>Neelam Kadam</t>
        </is>
      </c>
      <c r="C20" s="111" t="inlineStr">
        <is>
          <t>India Content</t>
        </is>
      </c>
      <c r="D20" s="114" t="inlineStr">
        <is>
          <t>Data Analyst</t>
        </is>
      </c>
      <c r="E20" s="114" t="inlineStr">
        <is>
          <t>Senior Data Analyst</t>
        </is>
      </c>
      <c r="F20" s="114" t="inlineStr">
        <is>
          <t>L3 – Professional / Associate</t>
        </is>
      </c>
      <c r="G20" s="116" t="inlineStr">
        <is>
          <t>A3</t>
        </is>
      </c>
      <c r="H20" s="117" t="inlineStr">
        <is>
          <t>▲ Up</t>
        </is>
      </c>
      <c r="I20" s="111" t="inlineStr">
        <is>
          <t>IC</t>
        </is>
      </c>
      <c r="J20" s="146" t="n">
        <v>2</v>
      </c>
      <c r="K20" s="115" t="inlineStr">
        <is>
          <t>Medium</t>
        </is>
      </c>
      <c r="L20" s="115" t="inlineStr">
        <is>
          <t>Trusted Professional</t>
        </is>
      </c>
      <c r="M20" s="115" t="inlineStr">
        <is>
          <t>Performance first</t>
        </is>
      </c>
      <c r="N20" s="115" t="n"/>
      <c r="O20" s="115" t="inlineStr">
        <is>
          <t>Yes</t>
        </is>
      </c>
      <c r="P20" s="115" t="inlineStr">
        <is>
          <t>Palani Kumar, Virendra Borkar</t>
        </is>
      </c>
      <c r="Q20" s="118" t="n">
        <v>91</v>
      </c>
      <c r="R20" s="159" t="inlineStr">
        <is>
          <t>Meets the level</t>
        </is>
      </c>
      <c r="S20" s="159" t="n">
        <v>87</v>
      </c>
      <c r="T20" s="159" t="n">
        <v>92</v>
      </c>
      <c r="U20" s="159" t="n">
        <v>92</v>
      </c>
      <c r="V20" s="159" t="n"/>
      <c r="W20" s="159" t="inlineStr">
        <is>
          <t>Analytics &amp; BI, Accounting standards, Ownership</t>
        </is>
      </c>
      <c r="X20" s="159" t="inlineStr">
        <is>
          <r>
            <rPr>
              <rFont val="Calibri"/>
              <b val="1"/>
              <sz val="10"/>
            </rPr>
            <t>B1:</t>
          </r>
          <r>
            <rPr>
              <rFont val="Calibri"/>
              <sz val="10"/>
            </rPr>
            <t xml:space="preserve"> 80% of profile — close</t>
          </r>
        </is>
      </c>
      <c r="Y20" s="159" t="inlineStr">
        <is>
          <r>
            <rPr>
              <rFont val="Calibri"/>
              <b val="1"/>
              <sz val="10"/>
            </rPr>
            <t>Evidence:</t>
          </r>
          <r>
            <rPr>
              <rFont val="Calibri"/>
              <sz val="10"/>
            </rPr>
            <t xml:space="preserve"> Survey + KRAs | Core: Ownership 1/2, Problem solving 2/2, Communication &amp; collaboration 3/2, Client &amp; quality focus 1/2, Learning agility 2/2, Integrity &amp; compliance 2/2 | Future-ready: AI literacy 1/2, Data literacy 3/2, Digital fluency 2/2, Innovation 2/2 | Functional: Analytics &amp; BI 2/3, SQL &amp; data 3/3, Excel &amp; tools 4/3, Regulatory domain 3/3, Quality &amp; process 3/3, Accounting standards 2/3</t>
          </r>
        </is>
      </c>
      <c r="Z20" s="119" t="inlineStr">
        <is>
          <t>Client, sales &amp; stakeholders</t>
        </is>
      </c>
      <c r="AA20" s="160" t="inlineStr">
        <is>
          <t>The team needs training for new automation tools.</t>
        </is>
      </c>
      <c r="AB20" s="160" t="inlineStr">
        <is>
          <t>RC.DATA-F: source validation; reconciliation; data lineage; issue management</t>
        </is>
      </c>
      <c r="AC20" s="160" t="inlineStr">
        <is>
          <t>Client, sales &amp; stakeholders</t>
        </is>
      </c>
      <c r="AD20"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0" s="121" t="inlineStr">
        <is>
          <t>No strong match from survey evidence</t>
        </is>
      </c>
      <c r="AF20" s="122" t="inlineStr">
        <is>
          <t>John Mariakulandai · Data Analyst — 0.55: fund, mutual, access, excel; Akash Dubey · Data Analyst — 0.51: mutual, fund, data, details; Palanikumar Mooppanar · Data Analyst — 0.36: access, fund, mutual, data</t>
        </is>
      </c>
      <c r="AG20" s="122" t="inlineStr">
        <is>
          <t>No close match in other businesses</t>
        </is>
      </c>
      <c r="AH20" s="122" t="n"/>
      <c r="AI20" s="122" t="n"/>
      <c r="AJ20" s="122" t="n"/>
    </row>
    <row r="21" ht="132" customHeight="1">
      <c r="A21" s="109" t="inlineStr">
        <is>
          <t>IRIS0065</t>
        </is>
      </c>
      <c r="B21" s="111" t="inlineStr">
        <is>
          <t>Nishikant Mhatre</t>
        </is>
      </c>
      <c r="C21" s="111" t="inlineStr">
        <is>
          <t>India Content</t>
        </is>
      </c>
      <c r="D21" s="114" t="inlineStr">
        <is>
          <t>Data Analyst</t>
        </is>
      </c>
      <c r="E21" s="114" t="inlineStr">
        <is>
          <t>Senior Data Analyst</t>
        </is>
      </c>
      <c r="F21" s="114" t="inlineStr">
        <is>
          <t>L3 – Professional / Associate</t>
        </is>
      </c>
      <c r="G21" s="116" t="inlineStr">
        <is>
          <t>A3</t>
        </is>
      </c>
      <c r="H21" s="117" t="inlineStr">
        <is>
          <t>▲ Up</t>
        </is>
      </c>
      <c r="I21" s="111" t="inlineStr">
        <is>
          <t>IC</t>
        </is>
      </c>
      <c r="J21" s="146" t="n">
        <v>3</v>
      </c>
      <c r="K21" s="115" t="inlineStr">
        <is>
          <t>Medium</t>
        </is>
      </c>
      <c r="L21" s="115" t="inlineStr">
        <is>
          <t>Trusted Professional</t>
        </is>
      </c>
      <c r="M21" s="115" t="inlineStr">
        <is>
          <t>Develop in role</t>
        </is>
      </c>
      <c r="N21" s="115" t="n"/>
      <c r="O21" s="115" t="inlineStr">
        <is>
          <t>Yes</t>
        </is>
      </c>
      <c r="P21" s="115" t="inlineStr">
        <is>
          <t>Virendra Borkar</t>
        </is>
      </c>
      <c r="Q21" s="118" t="n">
        <v>96</v>
      </c>
      <c r="R21" s="159" t="inlineStr">
        <is>
          <t>Meets the level</t>
        </is>
      </c>
      <c r="S21" s="159" t="n">
        <v>110</v>
      </c>
      <c r="T21" s="159" t="n">
        <v>88</v>
      </c>
      <c r="U21" s="159" t="n">
        <v>90</v>
      </c>
      <c r="V21" s="159" t="n"/>
      <c r="W21" s="159" t="inlineStr">
        <is>
          <t>Analytics &amp; BI, Excel &amp; tools, Accounting standards</t>
        </is>
      </c>
      <c r="X21" s="159" t="inlineStr">
        <is>
          <r>
            <rPr>
              <rFont val="Calibri"/>
              <b val="1"/>
              <sz val="10"/>
            </rPr>
            <t>B1:</t>
          </r>
          <r>
            <rPr>
              <rFont val="Calibri"/>
              <sz val="10"/>
            </rPr>
            <t xml:space="preserve"> 83% of profile — close</t>
          </r>
        </is>
      </c>
      <c r="Y21" s="159"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1/2, Data literacy 2/2, Digital fluency 2/2, Innovation 2/2 | Functional: Analytics &amp; BI 2/3, SQL &amp; data 3/3, Excel &amp; tools 2/3, Regulatory domain 4/3, Quality &amp; process 4/3, Accounting standards 2/3</t>
          </r>
        </is>
      </c>
      <c r="Z21" s="119" t="inlineStr">
        <is>
          <t>Answered · no common topic</t>
        </is>
      </c>
      <c r="AA21" s="160" t="inlineStr">
        <is>
          <t>The team needs training for new automation tools.</t>
        </is>
      </c>
      <c r="AB21" s="160" t="inlineStr">
        <is>
          <t>Strategic Thinking &amp; Business Acumen</t>
        </is>
      </c>
      <c r="AC21" s="160" t="inlineStr">
        <is>
          <t>Answered · no common topic</t>
        </is>
      </c>
      <c r="AD21"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1" s="121" t="inlineStr">
        <is>
          <t>No strong match from survey evidence</t>
        </is>
      </c>
      <c r="AF21" s="122" t="inlineStr">
        <is>
          <t>No material overlap found</t>
        </is>
      </c>
      <c r="AG21" s="122" t="inlineStr">
        <is>
          <t>No close match in other businesses</t>
        </is>
      </c>
      <c r="AH21" s="122" t="n"/>
      <c r="AI21" s="122" t="n"/>
      <c r="AJ21" s="122" t="n"/>
    </row>
    <row r="22" ht="132" customHeight="1">
      <c r="A22" s="109" t="inlineStr">
        <is>
          <t>IRIS0292</t>
        </is>
      </c>
      <c r="B22" s="111" t="inlineStr">
        <is>
          <t>Palanikumar Mooppanar</t>
        </is>
      </c>
      <c r="C22" s="111" t="inlineStr">
        <is>
          <t>India Content</t>
        </is>
      </c>
      <c r="D22" s="114" t="inlineStr">
        <is>
          <t>Data Analyst</t>
        </is>
      </c>
      <c r="E22" s="114" t="inlineStr">
        <is>
          <t>Senior Data Analyst</t>
        </is>
      </c>
      <c r="F22" s="114" t="inlineStr">
        <is>
          <t>L3 – Professional / Associate</t>
        </is>
      </c>
      <c r="G22" s="116" t="inlineStr">
        <is>
          <t>A3</t>
        </is>
      </c>
      <c r="H22" s="117" t="inlineStr">
        <is>
          <t>▲ Up</t>
        </is>
      </c>
      <c r="I22" s="111" t="inlineStr">
        <is>
          <t>IC</t>
        </is>
      </c>
      <c r="J22" s="146" t="n">
        <v>4</v>
      </c>
      <c r="K22" s="115" t="inlineStr">
        <is>
          <t>High</t>
        </is>
      </c>
      <c r="L22" s="115" t="inlineStr">
        <is>
          <t>Future Leader</t>
        </is>
      </c>
      <c r="M22" s="115" t="inlineStr">
        <is>
          <t>Ready now</t>
        </is>
      </c>
      <c r="N22" s="115" t="inlineStr">
        <is>
          <t>Yes</t>
        </is>
      </c>
      <c r="O22" s="115" t="inlineStr">
        <is>
          <t>Yes</t>
        </is>
      </c>
      <c r="P22" s="115" t="inlineStr">
        <is>
          <t>Not Identified</t>
        </is>
      </c>
      <c r="Q22" s="118" t="n">
        <v>91</v>
      </c>
      <c r="R22" s="159" t="inlineStr">
        <is>
          <t>Meets the level</t>
        </is>
      </c>
      <c r="S22" s="159" t="n">
        <v>102</v>
      </c>
      <c r="T22" s="159" t="n">
        <v>88</v>
      </c>
      <c r="U22" s="159" t="n">
        <v>87</v>
      </c>
      <c r="V22" s="159" t="n"/>
      <c r="W22" s="159" t="inlineStr">
        <is>
          <t>Analytics &amp; BI, Excel &amp; tools, Accounting standards</t>
        </is>
      </c>
      <c r="X22" s="159" t="inlineStr">
        <is>
          <r>
            <rPr>
              <rFont val="Calibri"/>
              <b val="1"/>
              <sz val="10"/>
            </rPr>
            <t>B1:</t>
          </r>
          <r>
            <rPr>
              <rFont val="Calibri"/>
              <sz val="10"/>
            </rPr>
            <t xml:space="preserve"> 82% of profile — close</t>
          </r>
        </is>
      </c>
      <c r="Y22" s="159" t="inlineStr">
        <is>
          <r>
            <rPr>
              <rFont val="Calibri"/>
              <b val="1"/>
              <sz val="10"/>
            </rPr>
            <t>Evidence:</t>
          </r>
          <r>
            <rPr>
              <rFont val="Calibri"/>
              <sz val="10"/>
            </rPr>
            <t xml:space="preserve"> Survey + KRAs | Core: Ownership 4/2, Problem solving 2/2, Communication &amp; collaboration 3/2, Client &amp; quality focus 4/2, Learning agility 1/2, Integrity &amp; compliance 2/2 | Future-ready: AI literacy 1/2, Data literacy 2/2, Digital fluency 2/2, Innovation 2/2 | Functional: Analytics &amp; BI 2/3, SQL &amp; data 3/3, Excel &amp; tools 2/3, Regulatory domain 3/3, Quality &amp; process 4/3, Accounting standards 2/3</t>
          </r>
        </is>
      </c>
      <c r="Z22" s="119" t="inlineStr">
        <is>
          <t>AI / automation · Leadership &amp; people management · Communication &amp; presentation</t>
        </is>
      </c>
      <c r="AA22" s="160" t="inlineStr">
        <is>
          <t>The team needs training for new automation tools.</t>
        </is>
      </c>
      <c r="AB22" s="160" t="inlineStr">
        <is>
          <t>AI, GenAI &amp; Prompt Engineering; Database, SQL &amp; Data Engineering; Cybersecurity &amp; Infrastructure</t>
        </is>
      </c>
      <c r="AC22" s="160" t="inlineStr">
        <is>
          <t>AI / automation · Leadership &amp; people management · Communication &amp; presentation</t>
        </is>
      </c>
      <c r="AD22"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2" s="121" t="inlineStr">
        <is>
          <t>No strong match from survey evidence</t>
        </is>
      </c>
      <c r="AF22" s="122" t="inlineStr">
        <is>
          <t>John Mariakulandai · Data Analyst — 0.44: access, data, fund, mutual; Virendra Borkar · Lead Data Analyst — 0.42: access, data, master, handling; Akash Dubey · Data Analyst — 0.39: data, fund, mutual, scheme</t>
        </is>
      </c>
      <c r="AG22" s="122" t="inlineStr">
        <is>
          <t>No close match in other businesses</t>
        </is>
      </c>
      <c r="AH22" s="122" t="n"/>
      <c r="AI22" s="122" t="n"/>
      <c r="AJ22" s="122" t="n"/>
    </row>
    <row r="23" ht="132" customHeight="1">
      <c r="A23" s="109" t="inlineStr">
        <is>
          <t>IRIS0009</t>
        </is>
      </c>
      <c r="B23" s="111" t="inlineStr">
        <is>
          <t>Prashant Shelar</t>
        </is>
      </c>
      <c r="C23" s="111" t="inlineStr">
        <is>
          <t>India Content</t>
        </is>
      </c>
      <c r="D23" s="114" t="inlineStr">
        <is>
          <t>Data Analyst</t>
        </is>
      </c>
      <c r="E23" s="114" t="inlineStr">
        <is>
          <t>Senior Data Analyst</t>
        </is>
      </c>
      <c r="F23" s="114" t="inlineStr">
        <is>
          <t>L3 – Professional / Associate</t>
        </is>
      </c>
      <c r="G23" s="116" t="inlineStr">
        <is>
          <t>A3</t>
        </is>
      </c>
      <c r="H23" s="117" t="inlineStr">
        <is>
          <t>▲ Up</t>
        </is>
      </c>
      <c r="I23" s="111" t="inlineStr">
        <is>
          <t>IC</t>
        </is>
      </c>
      <c r="J23" s="146" t="n">
        <v>1</v>
      </c>
      <c r="K23" s="115" t="inlineStr">
        <is>
          <t>Low</t>
        </is>
      </c>
      <c r="L23" s="115" t="inlineStr">
        <is>
          <t>Misplaced Talent / Enigma</t>
        </is>
      </c>
      <c r="M23" s="115" t="inlineStr">
        <is>
          <t>Performance first</t>
        </is>
      </c>
      <c r="N23" s="115" t="n"/>
      <c r="O23" s="115" t="inlineStr">
        <is>
          <t>Yes</t>
        </is>
      </c>
      <c r="P23" s="115" t="inlineStr">
        <is>
          <t>Not Identified</t>
        </is>
      </c>
      <c r="Q23" s="118" t="n">
        <v>85</v>
      </c>
      <c r="R23" s="159" t="inlineStr">
        <is>
          <t>Developing</t>
        </is>
      </c>
      <c r="S23" s="159" t="n">
        <v>75</v>
      </c>
      <c r="T23" s="159" t="n">
        <v>92</v>
      </c>
      <c r="U23" s="159" t="n">
        <v>89</v>
      </c>
      <c r="V23" s="159" t="n"/>
      <c r="W23" s="159" t="inlineStr">
        <is>
          <t>Analytics &amp; BI, Accounting standards, Ownership</t>
        </is>
      </c>
      <c r="X23" s="159" t="inlineStr">
        <is>
          <r>
            <rPr>
              <rFont val="Calibri"/>
              <b val="1"/>
              <sz val="10"/>
            </rPr>
            <t>B1:</t>
          </r>
          <r>
            <rPr>
              <rFont val="Calibri"/>
              <sz val="10"/>
            </rPr>
            <t xml:space="preserve"> 76% of profile — close</t>
          </r>
        </is>
      </c>
      <c r="Y23" s="159" t="inlineStr">
        <is>
          <r>
            <rPr>
              <rFont val="Calibri"/>
              <b val="1"/>
              <sz val="10"/>
            </rPr>
            <t>Evidence:</t>
          </r>
          <r>
            <rPr>
              <rFont val="Calibri"/>
              <sz val="10"/>
            </rPr>
            <t xml:space="preserve"> Survey + KRAs | Core: Ownership 1/2, Problem solving 2/2, Communication &amp; collaboration 2/2, Client &amp; quality focus 1/2, Learning agility 1/2, Integrity &amp; compliance 2/2 | Future-ready: AI literacy 1/2, Data literacy 3/2, Digital fluency 2/2, Innovation 2/2 | Functional: Analytics &amp; BI 2/3, SQL &amp; data 3/3, Excel &amp; tools 3/3, Regulatory domain 3/3, Quality &amp; process 3/3, Accounting standards 2/3</t>
          </r>
        </is>
      </c>
      <c r="Z23" s="119" t="inlineStr">
        <is>
          <t>AI / automation</t>
        </is>
      </c>
      <c r="AA23" s="160" t="inlineStr">
        <is>
          <t>The team needs training for new automation tools.</t>
        </is>
      </c>
      <c r="AB23" s="160" t="inlineStr">
        <is>
          <t>RC.DATA-F: source validation; reconciliation; data lineage; issue management</t>
        </is>
      </c>
      <c r="AC23" s="160" t="inlineStr">
        <is>
          <t>AI / automation</t>
        </is>
      </c>
      <c r="AD23"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3" s="121" t="inlineStr">
        <is>
          <t>No strong match from survey evidence</t>
        </is>
      </c>
      <c r="AF23" s="122" t="inlineStr">
        <is>
          <t>John Mariakulandai · Data Analyst — 0.40: access, excel, data, client; Virendra Borkar · Lead Data Analyst — 0.38: access, data, excel; Palanikumar Mooppanar · Data Analyst — 0.33: access, data, delivery, client</t>
        </is>
      </c>
      <c r="AG23" s="122" t="inlineStr">
        <is>
          <t>No close match in other businesses</t>
        </is>
      </c>
      <c r="AH23" s="122" t="n"/>
      <c r="AI23" s="122" t="n"/>
      <c r="AJ23" s="122" t="n"/>
    </row>
    <row r="24" ht="132" customHeight="1">
      <c r="A24" s="109" t="inlineStr">
        <is>
          <t>IRIS0030</t>
        </is>
      </c>
      <c r="B24" s="111" t="inlineStr">
        <is>
          <t>Swapnil Katrat</t>
        </is>
      </c>
      <c r="C24" s="111" t="inlineStr">
        <is>
          <t>India Content</t>
        </is>
      </c>
      <c r="D24" s="114" t="inlineStr">
        <is>
          <t>Data Analyst</t>
        </is>
      </c>
      <c r="E24" s="114" t="inlineStr">
        <is>
          <t>Senior Data Analyst</t>
        </is>
      </c>
      <c r="F24" s="114" t="inlineStr">
        <is>
          <t>L3 – Professional / Associate</t>
        </is>
      </c>
      <c r="G24" s="116" t="inlineStr">
        <is>
          <t>A3</t>
        </is>
      </c>
      <c r="H24" s="117" t="inlineStr">
        <is>
          <t>▲ Up</t>
        </is>
      </c>
      <c r="I24" s="111" t="inlineStr">
        <is>
          <t>IC</t>
        </is>
      </c>
      <c r="J24" s="146" t="n">
        <v>3</v>
      </c>
      <c r="K24" s="115" t="inlineStr">
        <is>
          <t>Medium</t>
        </is>
      </c>
      <c r="L24" s="115" t="inlineStr">
        <is>
          <t>Trusted Professional</t>
        </is>
      </c>
      <c r="M24" s="115" t="inlineStr">
        <is>
          <t>Develop in role</t>
        </is>
      </c>
      <c r="N24" s="115" t="n"/>
      <c r="O24" s="115" t="inlineStr">
        <is>
          <t>Yes</t>
        </is>
      </c>
      <c r="P24" s="115" t="inlineStr">
        <is>
          <t>Virendra Borkar</t>
        </is>
      </c>
      <c r="Q24" s="118" t="n">
        <v>87</v>
      </c>
      <c r="R24" s="159" t="inlineStr">
        <is>
          <t>Developing</t>
        </is>
      </c>
      <c r="S24" s="159" t="n">
        <v>92</v>
      </c>
      <c r="T24" s="159" t="n">
        <v>88</v>
      </c>
      <c r="U24" s="159" t="n">
        <v>83</v>
      </c>
      <c r="V24" s="159" t="n"/>
      <c r="W24" s="159" t="inlineStr">
        <is>
          <t>Analytics &amp; BI, Excel &amp; tools, Accounting standards</t>
        </is>
      </c>
      <c r="X24" s="159" t="inlineStr">
        <is>
          <r>
            <rPr>
              <rFont val="Calibri"/>
              <b val="1"/>
              <sz val="10"/>
            </rPr>
            <t>B1:</t>
          </r>
          <r>
            <rPr>
              <rFont val="Calibri"/>
              <sz val="10"/>
            </rPr>
            <t xml:space="preserve"> 74% of profile — not yet</t>
          </r>
        </is>
      </c>
      <c r="Y24" s="159"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1/2, Data literacy 2/2, Digital fluency 2/2, Innovation 2/2 | Functional: Analytics &amp; BI 2/3, SQL &amp; data 3/3, Excel &amp; tools 2/3, Regulatory domain 3/3, Quality &amp; process 3/3, Accounting standards 2/3</t>
          </r>
        </is>
      </c>
      <c r="Z24" s="119" t="inlineStr"/>
      <c r="AA24" s="160" t="inlineStr">
        <is>
          <t>The team needs training for new automation tools.</t>
        </is>
      </c>
      <c r="AB24" s="160" t="inlineStr">
        <is>
          <t>RC.DATA-F: source validation; reconciliation; data lineage; issue management</t>
        </is>
      </c>
      <c r="AC24" s="160" t="inlineStr"/>
      <c r="AD24"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4" s="121" t="inlineStr">
        <is>
          <t>No strong match from survey evidence</t>
        </is>
      </c>
      <c r="AF24" s="122" t="inlineStr">
        <is>
          <t>No material overlap found</t>
        </is>
      </c>
      <c r="AG24" s="122" t="inlineStr">
        <is>
          <t>No close match in other businesses</t>
        </is>
      </c>
      <c r="AH24" s="122" t="n"/>
      <c r="AI24" s="122" t="n"/>
      <c r="AJ24" s="122" t="n"/>
    </row>
    <row r="25" ht="158" customHeight="1">
      <c r="A25" s="109" t="inlineStr">
        <is>
          <t>IRIS0724</t>
        </is>
      </c>
      <c r="B25" s="111" t="inlineStr">
        <is>
          <t>Nishant Kohakade</t>
        </is>
      </c>
      <c r="C25" s="111" t="inlineStr">
        <is>
          <t>Technology</t>
        </is>
      </c>
      <c r="D25" s="111" t="inlineStr">
        <is>
          <t>Lead Software Engineer</t>
        </is>
      </c>
      <c r="E25" s="111" t="inlineStr">
        <is>
          <t>Lead Software Engineer</t>
        </is>
      </c>
      <c r="F25" s="111" t="inlineStr">
        <is>
          <t>L5 – Lead · IC</t>
        </is>
      </c>
      <c r="G25" s="23" t="inlineStr">
        <is>
          <t>B3</t>
        </is>
      </c>
      <c r="H25" s="142" t="inlineStr">
        <is>
          <t>• Same level</t>
        </is>
      </c>
      <c r="I25" s="111" t="inlineStr">
        <is>
          <t>IC</t>
        </is>
      </c>
      <c r="J25" s="146" t="n">
        <v>5</v>
      </c>
      <c r="K25" s="115" t="inlineStr">
        <is>
          <t>High</t>
        </is>
      </c>
      <c r="L25" s="115" t="inlineStr">
        <is>
          <t>Future Leader</t>
        </is>
      </c>
      <c r="M25" s="115" t="inlineStr">
        <is>
          <t>Ready now</t>
        </is>
      </c>
      <c r="N25" s="115" t="inlineStr">
        <is>
          <t>Yes</t>
        </is>
      </c>
      <c r="O25" s="115" t="inlineStr">
        <is>
          <t>Yes</t>
        </is>
      </c>
      <c r="P25" s="115" t="inlineStr"/>
      <c r="Q25" s="118" t="n">
        <v>100</v>
      </c>
      <c r="R25" s="159" t="inlineStr">
        <is>
          <t>Meets the level</t>
        </is>
      </c>
      <c r="S25" s="159" t="n">
        <v>109</v>
      </c>
      <c r="T25" s="159" t="n">
        <v>100</v>
      </c>
      <c r="U25" s="159" t="n">
        <v>96</v>
      </c>
      <c r="V25" s="159" t="n">
        <v>97</v>
      </c>
      <c r="W25" s="159" t="inlineStr">
        <is>
          <t>System design, Learning agility, Strategic acumen</t>
        </is>
      </c>
      <c r="X25" s="159" t="inlineStr">
        <is>
          <r>
            <rPr>
              <rFont val="Calibri"/>
              <b val="1"/>
              <sz val="10"/>
            </rPr>
            <t>C1:</t>
          </r>
          <r>
            <rPr>
              <rFont val="Calibri"/>
              <sz val="10"/>
            </rPr>
            <t xml:space="preserve"> 88% of profile — close</t>
          </r>
        </is>
      </c>
      <c r="Y25" s="159" t="inlineStr">
        <is>
          <r>
            <rPr>
              <rFont val="Calibri"/>
              <b val="1"/>
              <sz val="10"/>
            </rPr>
            <t>Evidence:</t>
          </r>
          <r>
            <rPr>
              <rFont val="Calibri"/>
              <sz val="10"/>
            </rPr>
            <t xml:space="preserve"> Survey + KRAs | Core: Ownership 5/4, Problem solving 4/4, Communication &amp; collaboration 5/4, Client &amp; quality focus 5/4, Learning agility 3/4, Integrity &amp; compliance 5/4 | Future-ready: AI literacy 3/3, Data literacy 3/3, Digital fluency 3/3, Innovation 3/3 | Functional: Programming &amp; stack 4/4, System design 3/4, SQL &amp; data 4/4, Cloud &amp; DevOps 4/4, AI / GenAI 4/4, Product &amp; domain 4/4 | Leadership: Developing people 3/3, Decision making 3/3, Strategic acumen 2/3, Influence &amp; change 4/3</t>
          </r>
        </is>
      </c>
      <c r="Z25" s="119" t="inlineStr">
        <is>
          <t>Leadership &amp; people management · Client, sales &amp; stakeholders</t>
        </is>
      </c>
      <c r="AA25" s="160" t="inlineStr">
        <is>
          <t>Advanced .NET MVC; secure coding &amp; code-quality practices; unit/automated testing; system design fundamentals</t>
        </is>
      </c>
      <c r="AB25" s="160" t="inlineStr">
        <is>
          <t>People Leadership &amp; Mentoring; AI, GenAI &amp; Prompt Engineering; Programming &amp; Tech-Stack Depth</t>
        </is>
      </c>
      <c r="AC25" s="160" t="inlineStr">
        <is>
          <t>Leadership &amp; people management · Client, sales &amp; stakeholders</t>
        </is>
      </c>
      <c r="AD25"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5" s="121" t="inlineStr">
        <is>
          <t>Business Analysis · 83% of competencies evidenced; must-haves met</t>
        </is>
      </c>
      <c r="AF25" s="122" t="inlineStr">
        <is>
          <t>No material overlap found</t>
        </is>
      </c>
      <c r="AG25" s="122" t="inlineStr">
        <is>
          <t>No close match in other businesses</t>
        </is>
      </c>
      <c r="AH25" s="122" t="n"/>
      <c r="AI25" s="122" t="n"/>
      <c r="AJ25" s="122" t="n"/>
    </row>
    <row r="26" ht="171" customHeight="1">
      <c r="A26" s="109" t="inlineStr">
        <is>
          <t>IRIS1952</t>
        </is>
      </c>
      <c r="B26" s="111" t="inlineStr">
        <is>
          <t>Zakiruddin Shaikh</t>
        </is>
      </c>
      <c r="C26" s="111" t="inlineStr">
        <is>
          <t>Technology</t>
        </is>
      </c>
      <c r="D26" s="111" t="inlineStr">
        <is>
          <t>Project Manager</t>
        </is>
      </c>
      <c r="E26" s="111" t="inlineStr">
        <is>
          <t>Project Manager</t>
        </is>
      </c>
      <c r="F26" s="111" t="inlineStr">
        <is>
          <t>L5 – Manager</t>
        </is>
      </c>
      <c r="G26" s="23" t="inlineStr">
        <is>
          <t>B2</t>
        </is>
      </c>
      <c r="H26" s="142" t="inlineStr">
        <is>
          <t>• Same level</t>
        </is>
      </c>
      <c r="I26" s="111" t="inlineStr">
        <is>
          <t>People Manager</t>
        </is>
      </c>
      <c r="J26" s="146" t="n">
        <v>5</v>
      </c>
      <c r="K26" s="115" t="inlineStr">
        <is>
          <t>High</t>
        </is>
      </c>
      <c r="L26" s="115" t="inlineStr">
        <is>
          <t>Future Leader</t>
        </is>
      </c>
      <c r="M26" s="115" t="inlineStr">
        <is>
          <t>Ready now</t>
        </is>
      </c>
      <c r="N26" s="115" t="inlineStr">
        <is>
          <t>Yes</t>
        </is>
      </c>
      <c r="O26" s="115" t="inlineStr">
        <is>
          <t>Yes</t>
        </is>
      </c>
      <c r="P26" s="115" t="inlineStr"/>
      <c r="Q26" s="118" t="n">
        <v>104</v>
      </c>
      <c r="R26" s="159" t="inlineStr">
        <is>
          <t>Meets the level</t>
        </is>
      </c>
      <c r="S26" s="159" t="n">
        <v>108</v>
      </c>
      <c r="T26" s="159" t="n">
        <v>83</v>
      </c>
      <c r="U26" s="159" t="n">
        <v>110</v>
      </c>
      <c r="V26" s="159" t="n">
        <v>105</v>
      </c>
      <c r="W26" s="159" t="inlineStr">
        <is>
          <t>Problem solving, AI literacy, Innovation</t>
        </is>
      </c>
      <c r="X26" s="159" t="inlineStr">
        <is>
          <r>
            <rPr>
              <rFont val="Calibri"/>
              <b val="1"/>
              <sz val="10"/>
            </rPr>
            <t>B3:</t>
          </r>
          <r>
            <rPr>
              <rFont val="Calibri"/>
              <sz val="10"/>
            </rPr>
            <t xml:space="preserve"> 93% of profile — ready on competencies</t>
          </r>
        </is>
      </c>
      <c r="Y26" s="159" t="inlineStr">
        <is>
          <r>
            <rPr>
              <rFont val="Calibri"/>
              <b val="1"/>
              <sz val="10"/>
            </rPr>
            <t>Evidence:</t>
          </r>
          <r>
            <rPr>
              <rFont val="Calibri"/>
              <sz val="10"/>
            </rPr>
            <t xml:space="preserve"> Survey + KRAs | Core: Ownership 5/3, Problem solving 2/3, Communication &amp; collaboration 4/3, Client &amp; quality focus 5/3, Learning agility 3/3, Integrity &amp; compliance 4/3 | Future-ready: AI literacy 2/3, Data literacy 3/3, Digital fluency 3/3, Innovation 2/3 | Functional: Project &amp; agile 4/4, Stakeholder mgmt 5/4, Communication 4/4, Quality &amp; process 5/4, Business acumen 4/4, Product &amp; domain 5/4 | Leadership: Developing people 3/3, Decision making 3/3, Strategic acumen 3/3, Influence &amp; change 4/3</t>
          </r>
        </is>
      </c>
      <c r="Z26" s="119" t="inlineStr">
        <is>
          <t>AI / automation · Project / programme management · Product &amp; tool knowledge</t>
        </is>
      </c>
      <c r="AA26" s="160" t="inlineStr">
        <is>
          <t>Agile/Scrum &amp; PMP fundamentals; risk &amp; stakeholder management; estimation; reporting/governance tools | People management: goal-setting &amp; feedback, 1:1 …</t>
        </is>
      </c>
      <c r="AB26" s="160" t="inlineStr">
        <is>
          <t>Project, Program &amp; Agile Management; Process Improvement &amp; Quality Mindset; Programming &amp; Tech-Stack Depth</t>
        </is>
      </c>
      <c r="AC26" s="160" t="inlineStr">
        <is>
          <t>AI / automation · Project / programme management · Product &amp; tool knowledge</t>
        </is>
      </c>
      <c r="AD26" s="160"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26" s="121" t="inlineStr">
        <is>
          <t>Customer Success &amp; Support · 83% of competencies evidenced; must-haves met</t>
        </is>
      </c>
      <c r="AF26" s="122" t="inlineStr">
        <is>
          <t>No material overlap found</t>
        </is>
      </c>
      <c r="AG26" s="122" t="inlineStr">
        <is>
          <t>Deepa Vaman Shinde · iFile, Project Manager — 0.34; Jerigan Gracias · iFile, Associate Project Manager – POD Lead — 0.28</t>
        </is>
      </c>
      <c r="AH26" s="122" t="n">
        <v>4</v>
      </c>
      <c r="AI26" s="122" t="inlineStr">
        <is>
          <t>Below norm</t>
        </is>
      </c>
      <c r="AJ26" s="122" t="inlineStr">
        <is>
          <t>Team smaller than the norm for this level — merge with a peer team, widen scope, or treat as a POD Lead.</t>
        </is>
      </c>
    </row>
    <row r="27" ht="158" customHeight="1">
      <c r="A27" s="109" t="inlineStr">
        <is>
          <t>IRIS0538</t>
        </is>
      </c>
      <c r="B27" s="111" t="inlineStr">
        <is>
          <t>Waqar Tarique</t>
        </is>
      </c>
      <c r="C27" s="111" t="inlineStr">
        <is>
          <t>Technology</t>
        </is>
      </c>
      <c r="D27" s="114" t="inlineStr">
        <is>
          <t>Senior Software Engineer</t>
        </is>
      </c>
      <c r="E27" s="114" t="inlineStr">
        <is>
          <t>Technical Specialist</t>
        </is>
      </c>
      <c r="F27" s="114" t="inlineStr">
        <is>
          <t>L4 – Senior</t>
        </is>
      </c>
      <c r="G27" s="116" t="inlineStr">
        <is>
          <t>B1</t>
        </is>
      </c>
      <c r="H27" s="117" t="inlineStr">
        <is>
          <t>▲ Up</t>
        </is>
      </c>
      <c r="I27" s="111" t="inlineStr">
        <is>
          <t>IC</t>
        </is>
      </c>
      <c r="J27" s="146" t="n">
        <v>4</v>
      </c>
      <c r="K27" s="115" t="inlineStr">
        <is>
          <t>High</t>
        </is>
      </c>
      <c r="L27" s="115" t="inlineStr">
        <is>
          <t>Core Contributor</t>
        </is>
      </c>
      <c r="M27" s="115" t="inlineStr">
        <is>
          <t>Ready now</t>
        </is>
      </c>
      <c r="N27" s="115" t="n"/>
      <c r="O27" s="115" t="inlineStr">
        <is>
          <t>Yes</t>
        </is>
      </c>
      <c r="P27" s="115" t="inlineStr"/>
      <c r="Q27" s="118" t="n">
        <v>98</v>
      </c>
      <c r="R27" s="159" t="inlineStr">
        <is>
          <t>Meets the level</t>
        </is>
      </c>
      <c r="S27" s="159" t="n">
        <v>104</v>
      </c>
      <c r="T27" s="159" t="n">
        <v>102</v>
      </c>
      <c r="U27" s="159" t="n">
        <v>92</v>
      </c>
      <c r="V27" s="159" t="n">
        <v>105</v>
      </c>
      <c r="W27" s="159" t="inlineStr">
        <is>
          <t>Programming &amp; stack, AI / GenAI, Learning agility</t>
        </is>
      </c>
      <c r="X27" s="159" t="inlineStr">
        <is>
          <r>
            <rPr>
              <rFont val="Calibri"/>
              <b val="1"/>
              <sz val="10"/>
            </rPr>
            <t>B2:</t>
          </r>
          <r>
            <rPr>
              <rFont val="Calibri"/>
              <sz val="10"/>
            </rPr>
            <t xml:space="preserve"> 85% of profile — close</t>
          </r>
        </is>
      </c>
      <c r="Y27" s="159" t="inlineStr">
        <is>
          <r>
            <rPr>
              <rFont val="Calibri"/>
              <b val="1"/>
              <sz val="10"/>
            </rPr>
            <t>Evidence:</t>
          </r>
          <r>
            <rPr>
              <rFont val="Calibri"/>
              <sz val="10"/>
            </rPr>
            <t xml:space="preserve"> Survey + KRAs | Core: Ownership 4/3, Problem solving 3/3, Communication &amp; collaboration 4/3, Client &amp; quality focus 5/3, Learning agility 2/3, Integrity &amp; compliance 3/3 | Future-ready: AI literacy 2/3, Data literacy 4/3, Digital fluency 4/3, Innovation 3/3 | Functional: Programming &amp; stack 2/3, System design 3/3, SQL &amp; data 4/3, Cloud &amp; DevOps 3/3, AI / GenAI 2/3, Product &amp; domain 3/3 | Leadership: Developing people 1/1, Decision making 1/1, Strategic acumen 1/1, Influence &amp; change 2/1</t>
          </r>
        </is>
      </c>
      <c r="Z27" s="119" t="inlineStr">
        <is>
          <t>Broader exposure &amp; ownership</t>
        </is>
      </c>
      <c r="AA27" s="160" t="inlineStr">
        <is>
          <t>Advanced .NET MVC; secure coding &amp; code-quality practices; unit/automated testing; system design fundamentals</t>
        </is>
      </c>
      <c r="AB27" s="160" t="inlineStr">
        <is>
          <t>Regulatory &amp; BFSI Domain; Project, Program &amp; Agile Management; Process Improvement &amp; Quality Mindset</t>
        </is>
      </c>
      <c r="AC27" s="160" t="inlineStr">
        <is>
          <t>Broader exposure &amp; ownership</t>
        </is>
      </c>
      <c r="AD27"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7" s="121" t="inlineStr">
        <is>
          <t>No strong match from survey evidence</t>
        </is>
      </c>
      <c r="AF27" s="122" t="inlineStr">
        <is>
          <t>No material overlap found</t>
        </is>
      </c>
      <c r="AG27" s="122" t="inlineStr">
        <is>
          <t>Chetna Vijay Nile · iFile, Software Engineer — 0.39; Akshata Sabale · iDEAL, Software Engineer — 0.30; Prasad Bhoite · iDEAL, Senior Database Engineer — 0.26</t>
        </is>
      </c>
      <c r="AH27" s="122" t="n"/>
      <c r="AI27" s="122" t="n"/>
      <c r="AJ27" s="122" t="n"/>
    </row>
    <row r="28" ht="132" customHeight="1">
      <c r="A28" s="109" t="inlineStr">
        <is>
          <t>IRIS2485</t>
        </is>
      </c>
      <c r="B28" s="111" t="inlineStr">
        <is>
          <t>Safal Gupta</t>
        </is>
      </c>
      <c r="C28" s="111" t="inlineStr">
        <is>
          <t>Technology</t>
        </is>
      </c>
      <c r="D28" s="111" t="inlineStr">
        <is>
          <t>Senior Software Engineer</t>
        </is>
      </c>
      <c r="E28" s="111" t="inlineStr">
        <is>
          <t>Senior Software Engineer</t>
        </is>
      </c>
      <c r="F28" s="111" t="inlineStr">
        <is>
          <t>L4 – Senior</t>
        </is>
      </c>
      <c r="G28" s="26" t="inlineStr">
        <is>
          <t>A3</t>
        </is>
      </c>
      <c r="H28" s="142" t="inlineStr">
        <is>
          <t>• Same level</t>
        </is>
      </c>
      <c r="I28" s="111" t="inlineStr">
        <is>
          <t>IC</t>
        </is>
      </c>
      <c r="J28" s="146" t="n">
        <v>4</v>
      </c>
      <c r="K28" s="115" t="inlineStr">
        <is>
          <t>—</t>
        </is>
      </c>
      <c r="L28" s="115" t="inlineStr">
        <is>
          <t>Emerging Talent</t>
        </is>
      </c>
      <c r="M28" s="115" t="inlineStr">
        <is>
          <t>Ready now</t>
        </is>
      </c>
      <c r="N28" s="115" t="n"/>
      <c r="O28" s="115" t="inlineStr">
        <is>
          <t>Yes</t>
        </is>
      </c>
      <c r="P28" s="115" t="inlineStr"/>
      <c r="Q28" s="118" t="n">
        <v>98</v>
      </c>
      <c r="R28" s="159" t="inlineStr">
        <is>
          <t>Meets the level</t>
        </is>
      </c>
      <c r="S28" s="159" t="n">
        <v>110</v>
      </c>
      <c r="T28" s="159" t="n">
        <v>92</v>
      </c>
      <c r="U28" s="159" t="n">
        <v>92</v>
      </c>
      <c r="V28" s="159" t="n"/>
      <c r="W28" s="159" t="inlineStr">
        <is>
          <t>System design, AI / GenAI</t>
        </is>
      </c>
      <c r="X28" s="159" t="inlineStr">
        <is>
          <r>
            <rPr>
              <rFont val="Calibri"/>
              <b val="1"/>
              <sz val="10"/>
            </rPr>
            <t>B1:</t>
          </r>
          <r>
            <rPr>
              <rFont val="Calibri"/>
              <sz val="10"/>
            </rPr>
            <t xml:space="preserve"> 86% of profile — close</t>
          </r>
        </is>
      </c>
      <c r="Y28" s="159" t="inlineStr">
        <is>
          <r>
            <rPr>
              <rFont val="Calibri"/>
              <b val="1"/>
              <sz val="10"/>
            </rPr>
            <t>Evidence:</t>
          </r>
          <r>
            <rPr>
              <rFont val="Calibri"/>
              <sz val="10"/>
            </rPr>
            <t xml:space="preserve"> Survey + KRAs | Core: Ownership 4/2, Problem solving 2/2, Communication &amp; collaboration 2/2, Client &amp; quality focus 3/2, Learning agility 2/2, Integrity &amp; compliance 3/2 | Future-ready: AI literacy 1/2, Data literacy 2/2, Digital fluency 2/2, Innovation 3/2 | Functional: Programming &amp; stack 3/3, System design 2/3, SQL &amp; data 3/3, Cloud &amp; DevOps 3/3, AI / GenAI 2/3, Product &amp; domain 4/3</t>
          </r>
        </is>
      </c>
      <c r="Z28" s="119" t="inlineStr">
        <is>
          <t>Leadership &amp; people management · Technical depth &amp; architecture</t>
        </is>
      </c>
      <c r="AA28" s="160" t="inlineStr">
        <is>
          <t>Advanced .Net; secure coding &amp; code-quality practices; unit/automated testing; system design fundamentals</t>
        </is>
      </c>
      <c r="AB28" s="160" t="inlineStr">
        <is>
          <t>Cloud, DevOps &amp; CI/CD; AI, GenAI &amp; Prompt Engineering; Programming &amp; Tech-Stack Depth</t>
        </is>
      </c>
      <c r="AC28" s="160" t="inlineStr">
        <is>
          <t>Leadership &amp; people management · Technical depth &amp; architecture</t>
        </is>
      </c>
      <c r="AD28"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8" s="121" t="inlineStr">
        <is>
          <t>No strong match from survey evidence</t>
        </is>
      </c>
      <c r="AF28" s="122" t="inlineStr">
        <is>
          <t>Sharad Mane · Senior Software Engineer — 0.34: asp, dot, iis, jquery</t>
        </is>
      </c>
      <c r="AG28" s="122" t="inlineStr">
        <is>
          <t>Ravi Ranjan · iDEAL, Lead Software Engineer — 0.40; Amol Pawar · iFile, Senior Software Engineer — 0.31; Rajneesh Patel · iFile, Senior Software Engineer — 0.27</t>
        </is>
      </c>
      <c r="AH28" s="122" t="n"/>
      <c r="AI28" s="122" t="n"/>
      <c r="AJ28" s="122" t="n"/>
    </row>
    <row r="29" ht="158" customHeight="1">
      <c r="A29" s="109" t="inlineStr">
        <is>
          <t>IRIS1901</t>
        </is>
      </c>
      <c r="B29" s="111" t="inlineStr">
        <is>
          <t>Sharad Mane</t>
        </is>
      </c>
      <c r="C29" s="111" t="inlineStr">
        <is>
          <t>Technology</t>
        </is>
      </c>
      <c r="D29" s="114" t="inlineStr">
        <is>
          <t>Senior Software Engineer</t>
        </is>
      </c>
      <c r="E29" s="114" t="inlineStr">
        <is>
          <t>Technical Specialist</t>
        </is>
      </c>
      <c r="F29" s="114" t="inlineStr">
        <is>
          <t>L4 – Senior</t>
        </is>
      </c>
      <c r="G29" s="116" t="inlineStr">
        <is>
          <t>A3</t>
        </is>
      </c>
      <c r="H29" s="117" t="inlineStr">
        <is>
          <t>▲ Up</t>
        </is>
      </c>
      <c r="I29" s="111" t="inlineStr">
        <is>
          <t>IC</t>
        </is>
      </c>
      <c r="J29" s="146" t="n">
        <v>4</v>
      </c>
      <c r="K29" s="115" t="inlineStr">
        <is>
          <t>High</t>
        </is>
      </c>
      <c r="L29" s="115" t="inlineStr">
        <is>
          <t>Core Contributor</t>
        </is>
      </c>
      <c r="M29" s="115" t="inlineStr">
        <is>
          <t>Ready now</t>
        </is>
      </c>
      <c r="N29" s="115" t="n"/>
      <c r="O29" s="115" t="inlineStr"/>
      <c r="P29" s="115" t="inlineStr"/>
      <c r="Q29" s="118" t="n">
        <v>96</v>
      </c>
      <c r="R29" s="159" t="inlineStr">
        <is>
          <t>Meets the level</t>
        </is>
      </c>
      <c r="S29" s="159" t="n">
        <v>110</v>
      </c>
      <c r="T29" s="159" t="n">
        <v>92</v>
      </c>
      <c r="U29" s="159" t="n">
        <v>87</v>
      </c>
      <c r="V29" s="159" t="n">
        <v>110</v>
      </c>
      <c r="W29" s="159" t="inlineStr">
        <is>
          <t>Programming &amp; stack, System design, AI / GenAI</t>
        </is>
      </c>
      <c r="X29" s="159" t="inlineStr">
        <is>
          <r>
            <rPr>
              <rFont val="Calibri"/>
              <b val="1"/>
              <sz val="10"/>
            </rPr>
            <t>B2:</t>
          </r>
          <r>
            <rPr>
              <rFont val="Calibri"/>
              <sz val="10"/>
            </rPr>
            <t xml:space="preserve"> 83% of profile — close</t>
          </r>
        </is>
      </c>
      <c r="Y29" s="159"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2/3, Data literacy 3/3, Digital fluency 3/3, Innovation 3/3 | Functional: Programming &amp; stack 2/3, System design 2/3, SQL &amp; data 3/3, Cloud &amp; DevOps 4/3, AI / GenAI 2/3, Product &amp; domain 3/3 | Leadership: Developing people 1/1, Decision making 2/1, Strategic acumen 1/1, Influence &amp; change 2/1</t>
          </r>
        </is>
      </c>
      <c r="Z29" s="119" t="inlineStr">
        <is>
          <t>Leadership &amp; people management · Technical depth &amp; architecture · Client, sales &amp; stakeholders · Broader exposure &amp; ownership</t>
        </is>
      </c>
      <c r="AA29" s="160" t="inlineStr">
        <is>
          <t>Advanced .NET MVC; secure coding &amp; code-quality practices; unit/automated testing; system design fundamentals</t>
        </is>
      </c>
      <c r="AB29" s="160" t="inlineStr">
        <is>
          <t>Stakeholder &amp; Client Management; Broader Ownership &amp; Cross-functional Exposure</t>
        </is>
      </c>
      <c r="AC29" s="160" t="inlineStr">
        <is>
          <t>Leadership &amp; people management · Technical depth &amp; architecture · Client, sales &amp; stakeholders · Communication &amp; presentation · Certification / formal course · Broader exposure &amp; ownership</t>
        </is>
      </c>
      <c r="AD29" s="160"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29" s="121" t="inlineStr">
        <is>
          <t>No strong match from survey evidence</t>
        </is>
      </c>
      <c r="AF29" s="122" t="inlineStr">
        <is>
          <t>Safal Gupta · Senior Software Engineer — 0.34: asp, dot, iis, jquery</t>
        </is>
      </c>
      <c r="AG29" s="122" t="inlineStr">
        <is>
          <t>Amol Pawar · iFile, Senior Software Engineer — 0.33; Mukesh Babulal Suthar · iFile, Senior Software Engineer — 0.28; Paresh Patil · iFile, Senior Software Engineer — 0.28</t>
        </is>
      </c>
      <c r="AH29" s="122" t="n"/>
      <c r="AI29" s="122" t="n"/>
      <c r="AJ29" s="122" t="n"/>
    </row>
  </sheetData>
  <mergeCells count="16">
    <mergeCell ref="A1:T1"/>
    <mergeCell ref="G4:H4"/>
    <mergeCell ref="E4:F4"/>
    <mergeCell ref="V4:W4"/>
    <mergeCell ref="Q5:Y5"/>
    <mergeCell ref="L4:M4"/>
    <mergeCell ref="A5:I5"/>
    <mergeCell ref="AE5:AJ5"/>
    <mergeCell ref="A4:D4"/>
    <mergeCell ref="A3:T3"/>
    <mergeCell ref="A2:T2"/>
    <mergeCell ref="I4:K4"/>
    <mergeCell ref="N4:P4"/>
    <mergeCell ref="Z5:AD5"/>
    <mergeCell ref="Q4:U4"/>
    <mergeCell ref="J5:P5"/>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5.xml><?xml version="1.0" encoding="utf-8"?>
<worksheet xmlns="http://schemas.openxmlformats.org/spreadsheetml/2006/main">
  <sheetPr>
    <tabColor rgb="00C00000"/>
    <outlinePr summaryBelow="1" summaryRight="1"/>
    <pageSetUpPr fitToPage="1"/>
  </sheetPr>
  <dimension ref="A1:G83"/>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9" customWidth="1" min="3" max="3"/>
    <col width="9" customWidth="1" min="4" max="4"/>
    <col width="30" customWidth="1" min="5" max="5"/>
    <col width="62" customWidth="1" min="6" max="6"/>
    <col width="13" customWidth="1" min="7" max="7"/>
  </cols>
  <sheetData>
    <row r="1" ht="34" customHeight="1">
      <c r="A1" s="1" t="inlineStr">
        <is>
          <t>Calibration &amp; Decisions — what the panel and managers need to decide</t>
        </is>
      </c>
      <c r="G1" s="232" t="inlineStr">
        <is>
          <t>◂ Contents</t>
        </is>
      </c>
    </row>
    <row r="2" ht="46" customHeight="1">
      <c r="A2" s="3" t="inlineStr">
        <is>
          <t>Sheet 9 · Every placement that needs a human decision, with the reason: Player-Coach transition steps and candidates, close calls, moves down, changes from the earlier proposal, provisional cases, title checks, long-tenure A3 cases, senior titles without teams — then the open decisions and the quality checks run on this workbook.</t>
        </is>
      </c>
    </row>
    <row r="3">
      <c r="A3" s="4" t="inlineStr">
        <is>
          <t>IRIS · Job Architecture &amp; Job Design · Final v1.12 · October 2026 · Internal — Confidential</t>
        </is>
      </c>
    </row>
    <row r="4" ht="15" customHeight="1"/>
    <row r="5" ht="20" customHeight="1">
      <c r="A5" s="6" t="inlineStr">
        <is>
          <t>A. Player-Coach transition steps placed — 0</t>
        </is>
      </c>
    </row>
    <row r="6" ht="15" customHeight="1">
      <c r="A6" s="11" t="inlineStr">
        <is>
          <t>Confirm the person still spends the stated share of time on hands-on work.</t>
        </is>
      </c>
    </row>
    <row r="7" ht="15" customHeight="1">
      <c r="A7" s="11" t="inlineStr">
        <is>
          <t>No cases.</t>
        </is>
      </c>
    </row>
    <row r="8" ht="20" customHeight="1">
      <c r="A8" s="6" t="inlineStr">
        <is>
          <t>B. Player-Coach candidates and watch list — 0</t>
        </is>
      </c>
    </row>
    <row r="9" ht="15" customHeight="1">
      <c r="A9" s="11" t="inlineStr">
        <is>
          <t>Manager to confirm hands-on delivery, or watch for the role growing into the Player-Coach transition step. Red = input needed.</t>
        </is>
      </c>
    </row>
    <row r="10" ht="15" customHeight="1">
      <c r="A10" s="11" t="inlineStr">
        <is>
          <t>No cases.</t>
        </is>
      </c>
    </row>
    <row r="11" ht="20" customHeight="1">
      <c r="A11" s="6" t="inlineStr">
        <is>
          <t>C. Close calls · score within ±0.05 of a rounding point, and the score decided the level — 2</t>
        </is>
      </c>
    </row>
    <row r="12" ht="28" customHeight="1">
      <c r="A12" s="11" t="inlineStr">
        <is>
          <t>Calibrate against peers before confirming. Where a rule set the level, the rounding point does not matter, so those people are listed in C2 instead.</t>
        </is>
      </c>
    </row>
    <row r="13" ht="15" customHeight="1">
      <c r="A13" s="12" t="inlineStr">
        <is>
          <t>Person</t>
        </is>
      </c>
      <c r="B13" s="12" t="inlineStr">
        <is>
          <t>Department</t>
        </is>
      </c>
      <c r="C13" s="12" t="inlineStr">
        <is>
          <t>Level</t>
        </is>
      </c>
      <c r="D13" s="12" t="inlineStr">
        <is>
          <t>Score</t>
        </is>
      </c>
      <c r="E13" s="12" t="inlineStr">
        <is>
          <t>Designation</t>
        </is>
      </c>
      <c r="F13" s="12" t="inlineStr">
        <is>
          <t>Reason / rule</t>
        </is>
      </c>
    </row>
    <row r="14" ht="41" customHeight="1">
      <c r="A14" s="13" t="inlineStr">
        <is>
          <t>Manoj Ravidas</t>
        </is>
      </c>
      <c r="B14" s="16" t="inlineStr">
        <is>
          <t>Digitizing</t>
        </is>
      </c>
      <c r="C14" s="15" t="inlineStr">
        <is>
          <t>A3</t>
        </is>
      </c>
      <c r="D14" s="15" t="n">
        <v>3.48</v>
      </c>
      <c r="E14" s="16" t="inlineStr">
        <is>
          <t>Senior Digitization Associate</t>
        </is>
      </c>
      <c r="F14" s="16" t="inlineStr">
        <is>
          <t>Score 3.48 is 0.02 below the 3.5 rounding point between A3 and B1, and no rule moved it: confirm A3 against peers in similar roles, or place at B1.</t>
        </is>
      </c>
    </row>
    <row r="15" ht="41" customHeight="1">
      <c r="A15" s="13" t="inlineStr">
        <is>
          <t>Waqar Tarique</t>
        </is>
      </c>
      <c r="B15" s="16" t="inlineStr">
        <is>
          <t>Technology</t>
        </is>
      </c>
      <c r="C15" s="15" t="inlineStr">
        <is>
          <t>B1</t>
        </is>
      </c>
      <c r="D15" s="15" t="n">
        <v>3.53</v>
      </c>
      <c r="E15" s="16" t="inlineStr">
        <is>
          <t>Technical Specialist</t>
        </is>
      </c>
      <c r="F15" s="16" t="inlineStr">
        <is>
          <t>Score 3.53 is 0.03 above the 3.5 rounding point between A3 and B1, and no rule moved it: confirm B1 against peers in similar roles, or place at A3.</t>
        </is>
      </c>
    </row>
    <row r="16" ht="15" customHeight="1"/>
    <row r="17" ht="20" customHeight="1">
      <c r="A17" s="6" t="inlineStr">
        <is>
          <t>C2. Near a gate · a rule set the level, and the number behind it is within a quarter-point of flipping — 1</t>
        </is>
      </c>
    </row>
    <row r="18" ht="15" customHeight="1">
      <c r="A18" s="11" t="inlineStr">
        <is>
          <r>
            <rPr>
              <rFont val="Calibri"/>
              <b val="1"/>
              <i val="1"/>
              <color rgb="00595959"/>
              <sz val="10"/>
            </rPr>
            <t>Calibrate before confirming:</t>
          </r>
          <r>
            <rPr>
              <rFont val="Calibri"/>
              <i val="1"/>
              <color rgb="00595959"/>
              <sz val="10"/>
            </rPr>
            <t xml:space="preserve"> a small change in one rating would move these people.</t>
          </r>
        </is>
      </c>
    </row>
    <row r="19" ht="15" customHeight="1">
      <c r="A19" s="12" t="inlineStr">
        <is>
          <t>Person</t>
        </is>
      </c>
      <c r="B19" s="12" t="inlineStr">
        <is>
          <t>Department</t>
        </is>
      </c>
      <c r="C19" s="12" t="inlineStr">
        <is>
          <t>Level</t>
        </is>
      </c>
      <c r="D19" s="12" t="inlineStr">
        <is>
          <t>Score</t>
        </is>
      </c>
      <c r="E19" s="12" t="inlineStr">
        <is>
          <t>Designation</t>
        </is>
      </c>
      <c r="F19" s="12" t="inlineStr">
        <is>
          <t>Reason / rule</t>
        </is>
      </c>
    </row>
    <row r="20" ht="28" customHeight="1">
      <c r="A20" s="13" t="inlineStr">
        <is>
          <t>Manish Paithankar</t>
        </is>
      </c>
      <c r="B20" s="16" t="inlineStr">
        <is>
          <t>Digitizing</t>
        </is>
      </c>
      <c r="C20" s="15" t="inlineStr">
        <is>
          <t>A3</t>
        </is>
      </c>
      <c r="D20" s="15" t="n">
        <v>3.58</v>
      </c>
      <c r="E20" s="16" t="inlineStr">
        <is>
          <t>Senior Digitization Associate</t>
        </is>
      </c>
      <c r="F20" s="16" t="inlineStr">
        <is>
          <r>
            <rPr>
              <rFont val="Calibri"/>
              <b val="1"/>
              <sz val="10"/>
            </rPr>
            <t>Role substance:</t>
          </r>
          <r>
            <rPr>
              <rFont val="Calibri"/>
              <sz val="10"/>
            </rPr>
            <t xml:space="preserve"> complexity–accountability average 2.75 is 0.25 short of 3, which would lift the limit by one level.</t>
          </r>
        </is>
      </c>
    </row>
    <row r="21" ht="15" customHeight="1"/>
    <row r="22" ht="20" customHeight="1">
      <c r="A22" s="6" t="inlineStr">
        <is>
          <t>D. Moves down vs current level · pay and title protected for one cycle, V4 — 1</t>
        </is>
      </c>
    </row>
    <row r="23" ht="15" customHeight="1">
      <c r="A23" s="12" t="inlineStr">
        <is>
          <t>Person</t>
        </is>
      </c>
      <c r="B23" s="12" t="inlineStr">
        <is>
          <t>Department</t>
        </is>
      </c>
      <c r="C23" s="12" t="inlineStr">
        <is>
          <t>Level</t>
        </is>
      </c>
      <c r="D23" s="12" t="inlineStr">
        <is>
          <t>Score</t>
        </is>
      </c>
      <c r="E23" s="12" t="inlineStr">
        <is>
          <t>Designation</t>
        </is>
      </c>
      <c r="F23" s="12" t="inlineStr">
        <is>
          <t>Reason / rule</t>
        </is>
      </c>
    </row>
    <row r="24" ht="28" customHeight="1">
      <c r="A24" s="13" t="inlineStr">
        <is>
          <t>Virendra Borkar</t>
        </is>
      </c>
      <c r="B24" s="16" t="inlineStr">
        <is>
          <t>India Content</t>
        </is>
      </c>
      <c r="C24" s="15" t="inlineStr">
        <is>
          <t>B1</t>
        </is>
      </c>
      <c r="D24" s="15" t="n">
        <v>4.19</v>
      </c>
      <c r="E24" s="16" t="inlineStr">
        <is>
          <t>Data Specialist</t>
        </is>
      </c>
      <c r="F24" s="16" t="inlineStr">
        <is>
          <t>Current L5 – Lead · IC → B1. No rule changed the level: the score decides.</t>
        </is>
      </c>
    </row>
    <row r="25" ht="15" customHeight="1"/>
    <row r="26" ht="20" customHeight="1">
      <c r="A26" s="6" t="inlineStr">
        <is>
          <t>E. Changed from the earlier proposal — 1</t>
        </is>
      </c>
    </row>
    <row r="27" ht="15" customHeight="1">
      <c r="A27" s="11" t="inlineStr">
        <is>
          <t>Derived weight model and the Player-Coach transition steps.</t>
        </is>
      </c>
    </row>
    <row r="28" ht="15" customHeight="1">
      <c r="A28" s="12" t="inlineStr">
        <is>
          <t>Person</t>
        </is>
      </c>
      <c r="B28" s="12" t="inlineStr">
        <is>
          <t>Department</t>
        </is>
      </c>
      <c r="C28" s="12" t="inlineStr">
        <is>
          <t>Level</t>
        </is>
      </c>
      <c r="D28" s="12" t="inlineStr">
        <is>
          <t>Score</t>
        </is>
      </c>
      <c r="E28" s="12" t="inlineStr">
        <is>
          <t>Designation</t>
        </is>
      </c>
      <c r="F28" s="12" t="inlineStr">
        <is>
          <t>Reason / rule</t>
        </is>
      </c>
    </row>
    <row r="29" ht="28" customHeight="1">
      <c r="A29" s="13" t="inlineStr">
        <is>
          <t>Sharad Mane</t>
        </is>
      </c>
      <c r="B29" s="16" t="inlineStr">
        <is>
          <t>Technology</t>
        </is>
      </c>
      <c r="C29" s="15" t="inlineStr">
        <is>
          <t>A3</t>
        </is>
      </c>
      <c r="D29" s="15" t="n">
        <v>3.35</v>
      </c>
      <c r="E29" s="16" t="inlineStr">
        <is>
          <t>Technical Specialist</t>
        </is>
      </c>
      <c r="F29" s="16" t="inlineStr">
        <is>
          <t>Earlier B1 → A3. No rule changed the level: the score decides.</t>
        </is>
      </c>
    </row>
    <row r="30" ht="15" customHeight="1"/>
    <row r="31" ht="20" customHeight="1">
      <c r="A31" s="6" t="inlineStr">
        <is>
          <t>F. Provisional placements — HR to confirm experience — 0</t>
        </is>
      </c>
    </row>
    <row r="32" ht="15" customHeight="1">
      <c r="A32" s="11" t="inlineStr">
        <is>
          <t>Red = input needed from HR.</t>
        </is>
      </c>
    </row>
    <row r="33" ht="15" customHeight="1">
      <c r="A33" s="11" t="inlineStr">
        <is>
          <t>No cases.</t>
        </is>
      </c>
    </row>
    <row r="34" ht="20" customHeight="1">
      <c r="A34" s="6" t="inlineStr">
        <is>
          <t>G. Titles to review · N3 market titles / checks — 1</t>
        </is>
      </c>
    </row>
    <row r="35" ht="15" customHeight="1">
      <c r="A35" s="11" t="inlineStr">
        <is>
          <t>Market-standard role titles are kept by rule N3; the grade shows the level.</t>
        </is>
      </c>
    </row>
    <row r="36" ht="15" customHeight="1">
      <c r="A36" s="12" t="inlineStr">
        <is>
          <t>Person</t>
        </is>
      </c>
      <c r="B36" s="12" t="inlineStr">
        <is>
          <t>Department</t>
        </is>
      </c>
      <c r="C36" s="12" t="inlineStr">
        <is>
          <t>Level</t>
        </is>
      </c>
      <c r="D36" s="12" t="inlineStr">
        <is>
          <t>Score</t>
        </is>
      </c>
      <c r="E36" s="12" t="inlineStr">
        <is>
          <t>Designation</t>
        </is>
      </c>
      <c r="F36" s="12" t="inlineStr">
        <is>
          <t>Reason / rule</t>
        </is>
      </c>
    </row>
    <row r="37" ht="15" customHeight="1">
      <c r="A37" s="13" t="inlineStr">
        <is>
          <t>Sharad Mane</t>
        </is>
      </c>
      <c r="B37" s="16" t="inlineStr">
        <is>
          <t>Technology</t>
        </is>
      </c>
      <c r="C37" s="15" t="inlineStr">
        <is>
          <t>A3</t>
        </is>
      </c>
      <c r="D37" s="15" t="n">
        <v>3.35</v>
      </c>
      <c r="E37" s="16" t="inlineStr">
        <is>
          <t>Technical Specialist</t>
        </is>
      </c>
      <c r="F37" s="16" t="inlineStr">
        <is>
          <t>Check title against ladder</t>
        </is>
      </c>
    </row>
    <row r="38" ht="15" customHeight="1"/>
    <row r="39" ht="20" customHeight="1">
      <c r="A39" s="6" t="inlineStr">
        <is>
          <t>H. Long-tenure people at A3 · 8+ yrs — role-widening review — 12</t>
        </is>
      </c>
    </row>
    <row r="40" ht="15" customHeight="1">
      <c r="A40" s="11" t="inlineStr">
        <is>
          <t>Their role shows Band A work. Use the top of the A3 range for proven experts; widen roles where real B1 work exists.</t>
        </is>
      </c>
    </row>
    <row r="41" ht="15" customHeight="1">
      <c r="A41" s="12" t="inlineStr">
        <is>
          <t>Person</t>
        </is>
      </c>
      <c r="B41" s="12" t="inlineStr">
        <is>
          <t>Department</t>
        </is>
      </c>
      <c r="C41" s="12" t="inlineStr">
        <is>
          <t>Level</t>
        </is>
      </c>
      <c r="D41" s="12" t="inlineStr">
        <is>
          <t>Score</t>
        </is>
      </c>
      <c r="E41" s="12" t="inlineStr">
        <is>
          <t>Designation</t>
        </is>
      </c>
      <c r="F41" s="12" t="inlineStr">
        <is>
          <t>Reason / rule</t>
        </is>
      </c>
    </row>
    <row r="42" ht="28" customHeight="1">
      <c r="A42" s="13" t="inlineStr">
        <is>
          <t>Manoj Tiwari</t>
        </is>
      </c>
      <c r="B42" s="16" t="inlineStr">
        <is>
          <t>Digitizing</t>
        </is>
      </c>
      <c r="C42" s="15" t="inlineStr">
        <is>
          <t>A3</t>
        </is>
      </c>
      <c r="D42" s="15" t="n">
        <v>3.23</v>
      </c>
      <c r="E42" s="16" t="inlineStr">
        <is>
          <t>Senior Digitization Associate</t>
        </is>
      </c>
      <c r="F42" s="16" t="inlineStr">
        <is>
          <t>16.7 yrs total. No rule changed the level: the score decides.</t>
        </is>
      </c>
    </row>
    <row r="43" ht="28" customHeight="1">
      <c r="A43" s="13" t="inlineStr">
        <is>
          <t>Aniket Manval</t>
        </is>
      </c>
      <c r="B43" s="16" t="inlineStr">
        <is>
          <t>Digitizing</t>
        </is>
      </c>
      <c r="C43" s="15" t="inlineStr">
        <is>
          <t>A3</t>
        </is>
      </c>
      <c r="D43" s="15" t="n">
        <v>3.18</v>
      </c>
      <c r="E43" s="16" t="inlineStr">
        <is>
          <t>Senior Digitization Associate</t>
        </is>
      </c>
      <c r="F43" s="16" t="inlineStr">
        <is>
          <t>19.4 yrs total. No rule changed the level: the score decides.</t>
        </is>
      </c>
    </row>
    <row r="44" ht="41" customHeight="1">
      <c r="A44" s="13" t="inlineStr">
        <is>
          <t>Manish Paithankar</t>
        </is>
      </c>
      <c r="B44" s="16" t="inlineStr">
        <is>
          <t>Digitizing</t>
        </is>
      </c>
      <c r="C44" s="15" t="inlineStr">
        <is>
          <t>A3</t>
        </is>
      </c>
      <c r="D44" s="15" t="n">
        <v>3.58</v>
      </c>
      <c r="E44" s="16" t="inlineStr">
        <is>
          <t>Senior Digitization Associate</t>
        </is>
      </c>
      <c r="F44" s="16" t="inlineStr">
        <is>
          <t>18.7 yrs total. Lowered from B1 to A3: the work itself · complexity 3, accountability 2.5, average 2.75 supports at most A3.</t>
        </is>
      </c>
    </row>
    <row r="45" ht="28" customHeight="1">
      <c r="A45" s="13" t="inlineStr">
        <is>
          <t>Manoj Ravidas</t>
        </is>
      </c>
      <c r="B45" s="16" t="inlineStr">
        <is>
          <t>Digitizing</t>
        </is>
      </c>
      <c r="C45" s="15" t="inlineStr">
        <is>
          <t>A3</t>
        </is>
      </c>
      <c r="D45" s="15" t="n">
        <v>3.48</v>
      </c>
      <c r="E45" s="16" t="inlineStr">
        <is>
          <t>Senior Digitization Associate</t>
        </is>
      </c>
      <c r="F45" s="16" t="inlineStr">
        <is>
          <t>16.3 yrs total. No rule changed the level: the score decides.</t>
        </is>
      </c>
    </row>
    <row r="46" ht="28" customHeight="1">
      <c r="A46" s="13" t="inlineStr">
        <is>
          <t>Nishikant Mhatre</t>
        </is>
      </c>
      <c r="B46" s="16" t="inlineStr">
        <is>
          <t>India Content</t>
        </is>
      </c>
      <c r="C46" s="15" t="inlineStr">
        <is>
          <t>A3</t>
        </is>
      </c>
      <c r="D46" s="15" t="n">
        <v>3.03</v>
      </c>
      <c r="E46" s="16" t="inlineStr">
        <is>
          <t>Senior Data Analyst</t>
        </is>
      </c>
      <c r="F46" s="16" t="inlineStr">
        <is>
          <t>30.7 yrs total. No rule changed the level: the score decides.</t>
        </is>
      </c>
    </row>
    <row r="47" ht="28" customHeight="1">
      <c r="A47" s="13" t="inlineStr">
        <is>
          <t>Prashant Shelar</t>
        </is>
      </c>
      <c r="B47" s="16" t="inlineStr">
        <is>
          <t>India Content</t>
        </is>
      </c>
      <c r="C47" s="15" t="inlineStr">
        <is>
          <t>A3</t>
        </is>
      </c>
      <c r="D47" s="15" t="n">
        <v>2.93</v>
      </c>
      <c r="E47" s="16" t="inlineStr">
        <is>
          <t>Senior Data Analyst</t>
        </is>
      </c>
      <c r="F47" s="16" t="inlineStr">
        <is>
          <t>22.5 yrs total. No rule changed the level: the score decides.</t>
        </is>
      </c>
    </row>
    <row r="48" ht="28" customHeight="1">
      <c r="A48" s="13" t="inlineStr">
        <is>
          <t>Akash Dubey</t>
        </is>
      </c>
      <c r="B48" s="16" t="inlineStr">
        <is>
          <t>India Content</t>
        </is>
      </c>
      <c r="C48" s="15" t="inlineStr">
        <is>
          <t>A3</t>
        </is>
      </c>
      <c r="D48" s="15" t="n">
        <v>2.38</v>
      </c>
      <c r="E48" s="16" t="inlineStr">
        <is>
          <t>Senior Data Analyst</t>
        </is>
      </c>
      <c r="F48" s="16" t="inlineStr">
        <is>
          <t>8.1 yrs total. Raised to A3: 8.1 years' experience is 2 years or more.</t>
        </is>
      </c>
    </row>
    <row r="49" ht="28" customHeight="1">
      <c r="A49" s="13" t="inlineStr">
        <is>
          <t>John Mariakulandai</t>
        </is>
      </c>
      <c r="B49" s="16" t="inlineStr">
        <is>
          <t>India Content</t>
        </is>
      </c>
      <c r="C49" s="15" t="inlineStr">
        <is>
          <t>A3</t>
        </is>
      </c>
      <c r="D49" s="15" t="n">
        <v>2.76</v>
      </c>
      <c r="E49" s="16" t="inlineStr">
        <is>
          <t>Senior Data Analyst</t>
        </is>
      </c>
      <c r="F49" s="16" t="inlineStr">
        <is>
          <t>17.4 yrs total. No rule changed the level: the score decides.</t>
        </is>
      </c>
    </row>
    <row r="50" ht="28" customHeight="1">
      <c r="A50" s="13" t="inlineStr">
        <is>
          <t>Neelam Kadam</t>
        </is>
      </c>
      <c r="B50" s="16" t="inlineStr">
        <is>
          <t>India Content</t>
        </is>
      </c>
      <c r="C50" s="15" t="inlineStr">
        <is>
          <t>A3</t>
        </is>
      </c>
      <c r="D50" s="15" t="n">
        <v>2.78</v>
      </c>
      <c r="E50" s="16" t="inlineStr">
        <is>
          <t>Senior Data Analyst</t>
        </is>
      </c>
      <c r="F50" s="16" t="inlineStr">
        <is>
          <t>19.4 yrs total. No rule changed the level: the score decides.</t>
        </is>
      </c>
    </row>
    <row r="51" ht="28" customHeight="1">
      <c r="A51" s="13" t="inlineStr">
        <is>
          <t>Palanikumar Mooppanar</t>
        </is>
      </c>
      <c r="B51" s="16" t="inlineStr">
        <is>
          <t>India Content</t>
        </is>
      </c>
      <c r="C51" s="15" t="inlineStr">
        <is>
          <t>A3</t>
        </is>
      </c>
      <c r="D51" s="15" t="n">
        <v>2.78</v>
      </c>
      <c r="E51" s="16" t="inlineStr">
        <is>
          <t>Senior Data Analyst</t>
        </is>
      </c>
      <c r="F51" s="16" t="inlineStr">
        <is>
          <t>18.5 yrs total. No rule changed the level: the score decides.</t>
        </is>
      </c>
    </row>
    <row r="52" ht="28" customHeight="1">
      <c r="A52" s="13" t="inlineStr">
        <is>
          <t>Swapnil Katrat</t>
        </is>
      </c>
      <c r="B52" s="16" t="inlineStr">
        <is>
          <t>India Content</t>
        </is>
      </c>
      <c r="C52" s="15" t="inlineStr">
        <is>
          <t>A3</t>
        </is>
      </c>
      <c r="D52" s="15" t="n">
        <v>2.83</v>
      </c>
      <c r="E52" s="16" t="inlineStr">
        <is>
          <t>Senior Data Analyst</t>
        </is>
      </c>
      <c r="F52" s="16" t="inlineStr">
        <is>
          <t>21.1 yrs total. No rule changed the level: the score decides.</t>
        </is>
      </c>
    </row>
    <row r="53" ht="28" customHeight="1">
      <c r="A53" s="13" t="inlineStr">
        <is>
          <t>Sharad Mane</t>
        </is>
      </c>
      <c r="B53" s="16" t="inlineStr">
        <is>
          <t>Technology</t>
        </is>
      </c>
      <c r="C53" s="15" t="inlineStr">
        <is>
          <t>A3</t>
        </is>
      </c>
      <c r="D53" s="15" t="n">
        <v>3.35</v>
      </c>
      <c r="E53" s="16" t="inlineStr">
        <is>
          <t>Technical Specialist</t>
        </is>
      </c>
      <c r="F53" s="16" t="inlineStr">
        <is>
          <t>11.4 yrs total. No rule changed the level: the score decides.</t>
        </is>
      </c>
    </row>
    <row r="54" ht="15" customHeight="1"/>
    <row r="55" ht="20" customHeight="1">
      <c r="A55" s="6" t="inlineStr">
        <is>
          <t>I. Senior titles held by the structural gate — 1</t>
        </is>
      </c>
    </row>
    <row r="56" ht="15" customHeight="1">
      <c r="A56" s="11" t="inlineStr">
        <is>
          <t>Business head to confirm scope; title protected for one cycle. Red = input needed.</t>
        </is>
      </c>
    </row>
    <row r="57" ht="15" customHeight="1">
      <c r="A57" s="12" t="inlineStr">
        <is>
          <t>Person</t>
        </is>
      </c>
      <c r="B57" s="12" t="inlineStr">
        <is>
          <t>Department</t>
        </is>
      </c>
      <c r="C57" s="12" t="inlineStr">
        <is>
          <t>Level</t>
        </is>
      </c>
      <c r="D57" s="12" t="inlineStr">
        <is>
          <t>Score</t>
        </is>
      </c>
      <c r="E57" s="12" t="inlineStr">
        <is>
          <t>Designation</t>
        </is>
      </c>
      <c r="F57" s="12" t="inlineStr">
        <is>
          <t>Reason / rule</t>
        </is>
      </c>
    </row>
    <row r="58" ht="41" customHeight="1">
      <c r="A58" s="13" t="inlineStr">
        <is>
          <t>Gopal Krishna Sahu</t>
        </is>
      </c>
      <c r="B58" s="16" t="inlineStr">
        <is>
          <t>India Content</t>
        </is>
      </c>
      <c r="C58" s="15" t="inlineStr">
        <is>
          <t>B2</t>
        </is>
      </c>
      <c r="D58" s="15" t="n">
        <v>5.7</v>
      </c>
      <c r="E58" s="16" t="inlineStr">
        <is>
          <t>Data Analyst Manager → Data Operations Manager</t>
        </is>
      </c>
      <c r="F58" s="145" t="inlineStr">
        <is>
          <r>
            <rPr>
              <rFont val="Calibri"/>
              <b val="1"/>
              <color rgb="009C0006"/>
              <sz val="10"/>
            </rPr>
            <t>Held at B2 instead of B3:</t>
          </r>
          <r>
            <rPr>
              <rFont val="Calibri"/>
              <color rgb="009C0006"/>
              <sz val="10"/>
            </rPr>
            <t xml:space="preserve"> a B3 manager needs team leads reporting in, or 10+ people in the team, and the org chart does not show this yet.</t>
          </r>
        </is>
      </c>
    </row>
    <row r="59" ht="15" customHeight="1"/>
    <row r="60" ht="20" customHeight="1">
      <c r="A60" s="6" t="inlineStr">
        <is>
          <t>J. Additional inputs needed — by person · the red cells on sheets 2, 3 and 8 — 4</t>
        </is>
      </c>
    </row>
    <row r="61" ht="15" customHeight="1">
      <c r="A61" s="11" t="inlineStr">
        <is>
          <t>Who must supply what before the placement can be confirmed. Pay is needed for everyone and is not repeated here.</t>
        </is>
      </c>
    </row>
    <row r="62" ht="15" customHeight="1">
      <c r="A62" s="12" t="inlineStr">
        <is>
          <t>Person</t>
        </is>
      </c>
      <c r="B62" s="12" t="inlineStr">
        <is>
          <t>Department</t>
        </is>
      </c>
      <c r="C62" s="12" t="inlineStr">
        <is>
          <t>Level</t>
        </is>
      </c>
      <c r="D62" s="12" t="inlineStr">
        <is>
          <t>Score</t>
        </is>
      </c>
      <c r="E62" s="12" t="inlineStr">
        <is>
          <t>Designation</t>
        </is>
      </c>
      <c r="F62" s="12" t="inlineStr">
        <is>
          <t>Input needed — who provides it</t>
        </is>
      </c>
    </row>
    <row r="63" ht="15" customHeight="1">
      <c r="A63" s="13" t="inlineStr">
        <is>
          <t>Shraddha Patil</t>
        </is>
      </c>
      <c r="B63" s="16" t="inlineStr">
        <is>
          <t>Digitizing</t>
        </is>
      </c>
      <c r="C63" s="15" t="inlineStr">
        <is>
          <t>B2</t>
        </is>
      </c>
      <c r="D63" s="15" t="n">
        <v>4.92</v>
      </c>
      <c r="E63" s="16" t="inlineStr">
        <is>
          <t>Digitization Manager</t>
        </is>
      </c>
      <c r="F63" s="145" t="inlineStr">
        <is>
          <t>• Confirm the reporting line — Manager</t>
        </is>
      </c>
    </row>
    <row r="64" ht="15" customHeight="1">
      <c r="A64" s="13" t="inlineStr">
        <is>
          <t>Snehal Bhavesh Farad</t>
        </is>
      </c>
      <c r="B64" s="16" t="inlineStr">
        <is>
          <t>Digitizing</t>
        </is>
      </c>
      <c r="C64" s="15" t="inlineStr">
        <is>
          <t>A3</t>
        </is>
      </c>
      <c r="D64" s="15" t="n">
        <v>2.15</v>
      </c>
      <c r="E64" s="16" t="inlineStr">
        <is>
          <t>Senior Digitization Associate</t>
        </is>
      </c>
      <c r="F64" s="145" t="inlineStr">
        <is>
          <t>• Correct the experience record — HR</t>
        </is>
      </c>
    </row>
    <row r="65" ht="41" customHeight="1">
      <c r="A65" s="13" t="inlineStr">
        <is>
          <t>Gopal Krishna Sahu</t>
        </is>
      </c>
      <c r="B65" s="16" t="inlineStr">
        <is>
          <t>India Content</t>
        </is>
      </c>
      <c r="C65" s="15" t="inlineStr">
        <is>
          <t>B2</t>
        </is>
      </c>
      <c r="D65" s="15" t="n">
        <v>5.7</v>
      </c>
      <c r="E65" s="16" t="inlineStr">
        <is>
          <t>Data Operations Manager</t>
        </is>
      </c>
      <c r="F65" s="145" t="inlineStr">
        <is>
          <t>• Confirm structure behind the senior title · org chart — Business head
• Correct the experience record — HR</t>
        </is>
      </c>
    </row>
    <row r="66" ht="15" customHeight="1">
      <c r="A66" s="13" t="inlineStr">
        <is>
          <t>Nishant Kohakade</t>
        </is>
      </c>
      <c r="B66" s="16" t="inlineStr">
        <is>
          <t>Technology</t>
        </is>
      </c>
      <c r="C66" s="15" t="inlineStr">
        <is>
          <t>B3</t>
        </is>
      </c>
      <c r="D66" s="15" t="n">
        <v>5.89</v>
      </c>
      <c r="E66" s="16" t="inlineStr">
        <is>
          <t>Lead Software Engineer</t>
        </is>
      </c>
      <c r="F66" s="145" t="inlineStr">
        <is>
          <t>• Confirm the reporting line — Manager</t>
        </is>
      </c>
    </row>
    <row r="67" ht="15" customHeight="1"/>
    <row r="68" ht="20" customHeight="1">
      <c r="A68" s="6" t="inlineStr">
        <is>
          <t>K. Open decisions</t>
        </is>
      </c>
    </row>
    <row r="69" ht="15" customHeight="1">
      <c r="A69" s="12" t="inlineStr">
        <is>
          <t>Decision</t>
        </is>
      </c>
      <c r="B69" s="12" t="inlineStr">
        <is>
          <t>Facts</t>
        </is>
      </c>
      <c r="C69" s="201" t="n"/>
      <c r="D69" s="12" t="inlineStr">
        <is>
          <t>Recommendation</t>
        </is>
      </c>
      <c r="E69" s="202" t="n"/>
      <c r="F69" s="201" t="n"/>
    </row>
    <row r="70" ht="28" customHeight="1">
      <c r="A70" s="13" t="inlineStr">
        <is>
          <t>Player-Coach transition steps</t>
        </is>
      </c>
      <c r="B70" s="16" t="inlineStr">
        <is>
          <t>0 placed; 0 candidates / watch.</t>
        </is>
      </c>
      <c r="C70" s="201" t="n"/>
      <c r="D70" s="16" t="inlineStr">
        <is>
          <t>Confirm hands-on share for each; review the watch list at the next cycle.</t>
        </is>
      </c>
      <c r="E70" s="202" t="n"/>
      <c r="F70" s="201" t="n"/>
    </row>
    <row r="71" ht="28" customHeight="1">
      <c r="A71" s="13" t="inlineStr">
        <is>
          <t>Long-tenure A3</t>
        </is>
      </c>
      <c r="B71" s="16" t="inlineStr">
        <is>
          <t>12 people with 8+ yrs at A3.</t>
        </is>
      </c>
      <c r="C71" s="201" t="n"/>
      <c r="D71" s="16" t="inlineStr">
        <is>
          <t>Keep the gate; pay at the top of the A3 range; widen roles where real B1 work exists.</t>
        </is>
      </c>
      <c r="E71" s="202" t="n"/>
      <c r="F71" s="201" t="n"/>
    </row>
    <row r="72" ht="41" customHeight="1">
      <c r="A72" s="13" t="inlineStr">
        <is>
          <t>Pay</t>
        </is>
      </c>
      <c r="B72" s="16" t="inlineStr">
        <is>
          <t>No pay data supplied; pay columns on sheet 2 are blank.</t>
        </is>
      </c>
      <c r="C72" s="201" t="n"/>
      <c r="D72" s="16" t="inlineStr">
        <is>
          <t>Buy one India survey and price each level · Master M14.</t>
        </is>
      </c>
      <c r="E72" s="202" t="n"/>
      <c r="F72" s="201" t="n"/>
    </row>
    <row r="73" ht="41" customHeight="1">
      <c r="A73" s="13" t="inlineStr">
        <is>
          <t>Weights</t>
        </is>
      </c>
      <c r="B73" s="16" t="inlineStr">
        <is>
          <t>Derived from Hay / Mercer principles; one formula for every set.</t>
        </is>
      </c>
      <c r="C73" s="201" t="n"/>
      <c r="D73" s="16" t="inlineStr">
        <is>
          <t>Test on 20–30 benchmark roles in calibration, then freeze for the cycle.</t>
        </is>
      </c>
      <c r="E73" s="202" t="n"/>
      <c r="F73" s="201" t="n"/>
    </row>
    <row r="74" ht="15" customHeight="1"/>
    <row r="75" ht="20" customHeight="1">
      <c r="A75" s="6" t="inlineStr">
        <is>
          <t>L. Quality checks run on this workbook</t>
        </is>
      </c>
    </row>
    <row r="76" ht="15" customHeight="1">
      <c r="A76" s="12" t="inlineStr">
        <is>
          <t>Check</t>
        </is>
      </c>
      <c r="B76" s="12" t="inlineStr">
        <is>
          <t>Result</t>
        </is>
      </c>
      <c r="C76" s="202" t="n"/>
      <c r="D76" s="202" t="n"/>
      <c r="E76" s="202" t="n"/>
      <c r="F76" s="201" t="n"/>
    </row>
    <row r="77" ht="28" customHeight="1">
      <c r="A77" s="13" t="inlineStr">
        <is>
          <t>Reproduction</t>
        </is>
      </c>
      <c r="B77" s="16" t="inlineStr">
        <is>
          <t>With the v1 weights the engine reproduces all 587 earlier placements — the rules are the earlier rules made explicit.</t>
        </is>
      </c>
      <c r="C77" s="202" t="n"/>
      <c r="D77" s="202" t="n"/>
      <c r="E77" s="202" t="n"/>
      <c r="F77" s="201" t="n"/>
    </row>
    <row r="78" ht="28" customHeight="1">
      <c r="A78" s="13" t="inlineStr">
        <is>
          <t>Traceability</t>
        </is>
      </c>
      <c r="B78" s="16" t="inlineStr">
        <is>
          <t>Every person whose final level differs from the score-indicated level has the rule that moved them recorded, with numbers.</t>
        </is>
      </c>
      <c r="C78" s="202" t="n"/>
      <c r="D78" s="202" t="n"/>
      <c r="E78" s="202" t="n"/>
      <c r="F78" s="201" t="n"/>
    </row>
    <row r="79" ht="28" customHeight="1">
      <c r="A79" s="13" t="inlineStr">
        <is>
          <t>Formulas</t>
        </is>
      </c>
      <c r="B79" s="16" t="inlineStr">
        <is>
          <t>Points, weighted score and indicated level recalculate live; their results are also stored in the file, so previews that do not calculate still show them.</t>
        </is>
      </c>
      <c r="C79" s="202" t="n"/>
      <c r="D79" s="202" t="n"/>
      <c r="E79" s="202" t="n"/>
      <c r="F79" s="201" t="n"/>
    </row>
    <row r="80" ht="41" customHeight="1">
      <c r="A80" s="13" t="inlineStr">
        <is>
          <t>Market data</t>
        </is>
      </c>
      <c r="B80" s="16" t="inlineStr">
        <is>
          <t>Company ladders cite a posting, a Levels.fyi page or a published standard; ladders IRIS assembled itself are labelled 'IRIS composite'. October 2026 source check: 42 sources and ladders read — 19 support the claim, 20 corrected, 1 dropped · DFIN ladder, 2 marked unverified · Zoho, ClearTax.</t>
        </is>
      </c>
      <c r="C80" s="202" t="n"/>
      <c r="D80" s="202" t="n"/>
      <c r="E80" s="202" t="n"/>
      <c r="F80" s="201" t="n"/>
    </row>
    <row r="81" ht="15" customHeight="1">
      <c r="A81" s="13" t="inlineStr">
        <is>
          <t>Pay</t>
        </is>
      </c>
      <c r="B81" s="16" t="inlineStr">
        <is>
          <t>All pay columns are blank by design.</t>
        </is>
      </c>
      <c r="C81" s="202" t="n"/>
      <c r="D81" s="202" t="n"/>
      <c r="E81" s="202" t="n"/>
      <c r="F81" s="201" t="n"/>
    </row>
    <row r="82" ht="28" customHeight="1">
      <c r="A82" s="13" t="inlineStr">
        <is>
          <t>Personal data</t>
        </is>
      </c>
      <c r="B82" s="16" t="inlineStr">
        <is>
          <t>Gender, age, date of birth, e-mail, mobile and resignation dates are excluded from every sheet · checked on every header by verify.py.</t>
        </is>
      </c>
      <c r="C82" s="202" t="n"/>
      <c r="D82" s="202" t="n"/>
      <c r="E82" s="202" t="n"/>
      <c r="F82" s="201" t="n"/>
    </row>
    <row r="83" ht="41" customHeight="1">
      <c r="A83" s="13" t="inlineStr">
        <is>
          <t>Survey answers</t>
        </is>
      </c>
      <c r="B83" s="16" t="inlineStr">
        <is>
          <r>
            <rPr>
              <rFont val="Calibri"/>
              <b val="1"/>
              <sz val="10"/>
            </rPr>
            <t>Used as evidence but never quoted against a name:</t>
          </r>
          <r>
            <rPr>
              <rFont val="Calibri"/>
              <sz val="10"/>
            </rPr>
            <t xml:space="preserve"> sheet 3 shows the number of questions answered; sheet 8 shows learning topics; the role catalogue shows holders' inputs only where 3+ answered · the role, else its sub-family, and views of the role only as counted themes.</t>
          </r>
        </is>
      </c>
      <c r="C83" s="202" t="n"/>
      <c r="D83" s="202" t="n"/>
      <c r="E83" s="202" t="n"/>
      <c r="F83" s="201" t="n"/>
    </row>
  </sheetData>
  <mergeCells count="47">
    <mergeCell ref="B72:C72"/>
    <mergeCell ref="B81:F81"/>
    <mergeCell ref="A75:F75"/>
    <mergeCell ref="A27:F27"/>
    <mergeCell ref="D70:F70"/>
    <mergeCell ref="A12:F12"/>
    <mergeCell ref="A18:F18"/>
    <mergeCell ref="A56:F56"/>
    <mergeCell ref="A26:F26"/>
    <mergeCell ref="A3:F3"/>
    <mergeCell ref="B71:C71"/>
    <mergeCell ref="A55:F55"/>
    <mergeCell ref="D72:F72"/>
    <mergeCell ref="A2:F2"/>
    <mergeCell ref="A33:F33"/>
    <mergeCell ref="B70:C70"/>
    <mergeCell ref="B77:F77"/>
    <mergeCell ref="D71:F71"/>
    <mergeCell ref="A5:F5"/>
    <mergeCell ref="A32:F32"/>
    <mergeCell ref="A8:F8"/>
    <mergeCell ref="A22:F22"/>
    <mergeCell ref="A17:F17"/>
    <mergeCell ref="A35:F35"/>
    <mergeCell ref="D73:F73"/>
    <mergeCell ref="B73:C73"/>
    <mergeCell ref="B82:F82"/>
    <mergeCell ref="B69:C69"/>
    <mergeCell ref="A10:F10"/>
    <mergeCell ref="A68:F68"/>
    <mergeCell ref="B78:F78"/>
    <mergeCell ref="A9:F9"/>
    <mergeCell ref="A31:F31"/>
    <mergeCell ref="A34:F34"/>
    <mergeCell ref="A40:F40"/>
    <mergeCell ref="D69:F69"/>
    <mergeCell ref="A39:F39"/>
    <mergeCell ref="B83:F83"/>
    <mergeCell ref="A11:F11"/>
    <mergeCell ref="A60:F60"/>
    <mergeCell ref="A1:F1"/>
    <mergeCell ref="B80:F80"/>
    <mergeCell ref="A61:F61"/>
    <mergeCell ref="A6:F6"/>
    <mergeCell ref="B76:F76"/>
    <mergeCell ref="B79:F79"/>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1F3864"/>
    <outlinePr summaryBelow="1" summaryRight="1"/>
    <pageSetUpPr fitToPage="1"/>
  </sheetPr>
  <dimension ref="A1:P234"/>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s>
  <sheetData>
    <row r="1" ht="34" customHeight="1">
      <c r="A1" s="1" t="inlineStr">
        <is>
          <t>Job Architecture — Consume: Framework &amp; Logic</t>
        </is>
      </c>
      <c r="O1" s="232" t="inlineStr">
        <is>
          <t>◂ Contents</t>
        </is>
      </c>
    </row>
    <row r="2" ht="32" customHeight="1">
      <c r="A2" s="3" t="inlineStr">
        <is>
          <t>Sheet 10 · How the Master Framework is applied to Consume, step by step: classification, tracks, factors and weights, rules, levels, market benchmarks, capability, validation, data and sources.</t>
        </is>
      </c>
    </row>
    <row r="3">
      <c r="A3" s="4" t="inlineStr">
        <is>
          <t>IRIS · Job Architecture &amp; Job Design · Final v1.12 · October 2026 · Internal — Confidential</t>
        </is>
      </c>
    </row>
    <row r="4" ht="15" customHeight="1"/>
    <row r="5" ht="20" customHeight="1">
      <c r="A5" s="6" t="inlineStr">
        <is>
          <t>0. How this workbook works — the 12-step model · Master M2 and where each step lives</t>
        </is>
      </c>
    </row>
    <row r="6" ht="15" customHeight="1">
      <c r="A6" s="12" t="inlineStr">
        <is>
          <t>Step</t>
        </is>
      </c>
      <c r="B6" s="12" t="inlineStr">
        <is>
          <t>What happens</t>
        </is>
      </c>
      <c r="C6" s="202" t="n"/>
      <c r="D6" s="202" t="n"/>
      <c r="E6" s="201" t="n"/>
      <c r="F6" s="12" t="inlineStr">
        <is>
          <t>Rules · Master</t>
        </is>
      </c>
      <c r="G6" s="202" t="n"/>
      <c r="H6" s="202" t="n"/>
      <c r="I6" s="201" t="n"/>
      <c r="J6" s="12" t="inlineStr">
        <is>
          <t>Where in this workbook</t>
        </is>
      </c>
      <c r="K6" s="202" t="n"/>
      <c r="L6" s="202" t="n"/>
      <c r="M6" s="202" t="n"/>
      <c r="N6" s="201" t="n"/>
    </row>
    <row r="7" ht="15" customHeight="1">
      <c r="A7" s="162" t="inlineStr">
        <is>
          <t>1</t>
        </is>
      </c>
      <c r="B7" s="16" t="inlineStr">
        <is>
          <t>Collect inputs</t>
        </is>
      </c>
      <c r="C7" s="202" t="n"/>
      <c r="D7" s="202" t="n"/>
      <c r="E7" s="201" t="n"/>
      <c r="F7" s="16" t="inlineStr">
        <is>
          <t>Data rules D1–D3</t>
        </is>
      </c>
      <c r="G7" s="202" t="n"/>
      <c r="H7" s="202" t="n"/>
      <c r="I7" s="201" t="n"/>
      <c r="J7" s="16" t="inlineStr">
        <is>
          <t>Sheet 3 · raw data; Sheet 2 · person</t>
        </is>
      </c>
      <c r="K7" s="202" t="n"/>
      <c r="L7" s="202" t="n"/>
      <c r="M7" s="202" t="n"/>
      <c r="N7" s="201" t="n"/>
    </row>
    <row r="8" ht="15" customHeight="1">
      <c r="A8" s="162" t="inlineStr">
        <is>
          <t>2</t>
        </is>
      </c>
      <c r="B8" s="16" t="inlineStr">
        <is>
          <t>Classify the work</t>
        </is>
      </c>
      <c r="C8" s="202" t="n"/>
      <c r="D8" s="202" t="n"/>
      <c r="E8" s="201" t="n"/>
      <c r="F8" s="16" t="inlineStr">
        <is>
          <t>Taxonomy rules T1–T4</t>
        </is>
      </c>
      <c r="G8" s="202" t="n"/>
      <c r="H8" s="202" t="n"/>
      <c r="I8" s="201" t="n"/>
      <c r="J8" s="16" t="inlineStr">
        <is>
          <t>Sheet 1 · changes; Sheet 2</t>
        </is>
      </c>
      <c r="K8" s="202" t="n"/>
      <c r="L8" s="202" t="n"/>
      <c r="M8" s="202" t="n"/>
      <c r="N8" s="201" t="n"/>
    </row>
    <row r="9" ht="15" customHeight="1">
      <c r="A9" s="162" t="inlineStr">
        <is>
          <t>3</t>
        </is>
      </c>
      <c r="B9" s="16" t="inlineStr">
        <is>
          <t>Set the track</t>
        </is>
      </c>
      <c r="C9" s="202" t="n"/>
      <c r="D9" s="202" t="n"/>
      <c r="E9" s="201" t="n"/>
      <c r="F9" s="16" t="inlineStr">
        <is>
          <t>Track rules K1–K6</t>
        </is>
      </c>
      <c r="G9" s="202" t="n"/>
      <c r="H9" s="202" t="n"/>
      <c r="I9" s="201" t="n"/>
      <c r="J9" s="16" t="inlineStr">
        <is>
          <t>Sheet 2 · track</t>
        </is>
      </c>
      <c r="K9" s="202" t="n"/>
      <c r="L9" s="202" t="n"/>
      <c r="M9" s="202" t="n"/>
      <c r="N9" s="201" t="n"/>
    </row>
    <row r="10" ht="15" customHeight="1">
      <c r="A10" s="162" t="inlineStr">
        <is>
          <t>4</t>
        </is>
      </c>
      <c r="B10" s="16" t="inlineStr">
        <is>
          <t>Rate the six factors</t>
        </is>
      </c>
      <c r="C10" s="202" t="n"/>
      <c r="D10" s="202" t="n"/>
      <c r="E10" s="201" t="n"/>
      <c r="F10" s="16" t="inlineStr">
        <is>
          <t>Factor scales F1–F5; evidence rules E1–E3</t>
        </is>
      </c>
      <c r="G10" s="202" t="n"/>
      <c r="H10" s="202" t="n"/>
      <c r="I10" s="201" t="n"/>
      <c r="J10" s="16" t="inlineStr">
        <is>
          <t>Sheet 2 · ratings + justification</t>
        </is>
      </c>
      <c r="K10" s="202" t="n"/>
      <c r="L10" s="202" t="n"/>
      <c r="M10" s="202" t="n"/>
      <c r="N10" s="201" t="n"/>
    </row>
    <row r="11" ht="15" customHeight="1">
      <c r="A11" s="162" t="inlineStr">
        <is>
          <t>5</t>
        </is>
      </c>
      <c r="B11" s="16" t="inlineStr">
        <is>
          <t>Pick the weights</t>
        </is>
      </c>
      <c r="C11" s="202" t="n"/>
      <c r="D11" s="202" t="n"/>
      <c r="E11" s="201" t="n"/>
      <c r="F11" s="16" t="inlineStr">
        <is>
          <t>Weight model W1–W4</t>
        </is>
      </c>
      <c r="G11" s="202" t="n"/>
      <c r="H11" s="202" t="n"/>
      <c r="I11" s="201" t="n"/>
      <c r="J11" s="16" t="inlineStr">
        <is>
          <t>Sheet 2 · weights</t>
        </is>
      </c>
      <c r="K11" s="202" t="n"/>
      <c r="L11" s="202" t="n"/>
      <c r="M11" s="202" t="n"/>
      <c r="N11" s="201" t="n"/>
    </row>
    <row r="12" ht="15" customHeight="1">
      <c r="A12" s="162" t="inlineStr">
        <is>
          <t>6</t>
        </is>
      </c>
      <c r="B12" s="16" t="inlineStr">
        <is>
          <t>Score</t>
        </is>
      </c>
      <c r="C12" s="202" t="n"/>
      <c r="D12" s="202" t="n"/>
      <c r="E12" s="201" t="n"/>
      <c r="F12" s="16" t="inlineStr">
        <is>
          <t>R3</t>
        </is>
      </c>
      <c r="G12" s="202" t="n"/>
      <c r="H12" s="202" t="n"/>
      <c r="I12" s="201" t="n"/>
      <c r="J12" s="16" t="inlineStr">
        <is>
          <t>Sheet 2 · score formula</t>
        </is>
      </c>
      <c r="K12" s="202" t="n"/>
      <c r="L12" s="202" t="n"/>
      <c r="M12" s="202" t="n"/>
      <c r="N12" s="201" t="n"/>
    </row>
    <row r="13" ht="28" customHeight="1">
      <c r="A13" s="162" t="inlineStr">
        <is>
          <t>7</t>
        </is>
      </c>
      <c r="B13" s="16" t="inlineStr">
        <is>
          <t>Apply limits, gates and Player-Coach transition steps</t>
        </is>
      </c>
      <c r="C13" s="202" t="n"/>
      <c r="D13" s="202" t="n"/>
      <c r="E13" s="201" t="n"/>
      <c r="F13" s="16" t="inlineStr">
        <is>
          <t>R1–R10 in order</t>
        </is>
      </c>
      <c r="G13" s="202" t="n"/>
      <c r="H13" s="202" t="n"/>
      <c r="I13" s="201" t="n"/>
      <c r="J13" s="16" t="inlineStr">
        <is>
          <t>Sheet 2 · gates &amp; limits; Sheet 9</t>
        </is>
      </c>
      <c r="K13" s="202" t="n"/>
      <c r="L13" s="202" t="n"/>
      <c r="M13" s="202" t="n"/>
      <c r="N13" s="201" t="n"/>
    </row>
    <row r="14" ht="15" customHeight="1">
      <c r="A14" s="162" t="inlineStr">
        <is>
          <t>8</t>
        </is>
      </c>
      <c r="B14" s="16" t="inlineStr">
        <is>
          <t>Place level and title</t>
        </is>
      </c>
      <c r="C14" s="202" t="n"/>
      <c r="D14" s="202" t="n"/>
      <c r="E14" s="201" t="n"/>
      <c r="F14" s="16" t="inlineStr">
        <is>
          <t>Title rules N1–N5</t>
        </is>
      </c>
      <c r="G14" s="202" t="n"/>
      <c r="H14" s="202" t="n"/>
      <c r="I14" s="201" t="n"/>
      <c r="J14" s="16" t="inlineStr">
        <is>
          <t>Sheet 2; Sheet 7</t>
        </is>
      </c>
      <c r="K14" s="202" t="n"/>
      <c r="L14" s="202" t="n"/>
      <c r="M14" s="202" t="n"/>
      <c r="N14" s="201" t="n"/>
    </row>
    <row r="15" ht="15" customHeight="1">
      <c r="A15" s="162" t="inlineStr">
        <is>
          <t>9</t>
        </is>
      </c>
      <c r="B15" s="16" t="inlineStr">
        <is>
          <t>Benchmark to market</t>
        </is>
      </c>
      <c r="C15" s="202" t="n"/>
      <c r="D15" s="202" t="n"/>
      <c r="E15" s="201" t="n"/>
      <c r="F15" s="16" t="inlineStr">
        <is>
          <t>Crosswalk</t>
        </is>
      </c>
      <c r="G15" s="202" t="n"/>
      <c r="H15" s="202" t="n"/>
      <c r="I15" s="201" t="n"/>
      <c r="J15" s="16" t="inlineStr">
        <is>
          <t>Sheet 3 · market standards; Sheet 7; Sheet 11</t>
        </is>
      </c>
      <c r="K15" s="202" t="n"/>
      <c r="L15" s="202" t="n"/>
      <c r="M15" s="202" t="n"/>
      <c r="N15" s="201" t="n"/>
    </row>
    <row r="16" ht="15" customHeight="1">
      <c r="A16" s="162" t="inlineStr">
        <is>
          <t>10</t>
        </is>
      </c>
      <c r="B16" s="16" t="inlineStr">
        <is>
          <t>Set the capability profile</t>
        </is>
      </c>
      <c r="C16" s="202" t="n"/>
      <c r="D16" s="202" t="n"/>
      <c r="E16" s="201" t="n"/>
      <c r="F16" s="16" t="inlineStr">
        <is>
          <t>Competency model C1–C5</t>
        </is>
      </c>
      <c r="G16" s="202" t="n"/>
      <c r="H16" s="202" t="n"/>
      <c r="I16" s="201" t="n"/>
      <c r="J16" s="16" t="inlineStr">
        <is>
          <t>Sheet 4 · role competencies; Sheet 5</t>
        </is>
      </c>
      <c r="K16" s="202" t="n"/>
      <c r="L16" s="202" t="n"/>
      <c r="M16" s="202" t="n"/>
      <c r="N16" s="201" t="n"/>
    </row>
    <row r="17" ht="15" customHeight="1">
      <c r="A17" s="162" t="inlineStr">
        <is>
          <t>11</t>
        </is>
      </c>
      <c r="B17" s="16" t="inlineStr">
        <is>
          <t>Develop, retain and move</t>
        </is>
      </c>
      <c r="C17" s="202" t="n"/>
      <c r="D17" s="202" t="n"/>
      <c r="E17" s="201" t="n"/>
      <c r="F17" s="16" t="inlineStr">
        <is>
          <t>Career rules G1–G6</t>
        </is>
      </c>
      <c r="G17" s="202" t="n"/>
      <c r="H17" s="202" t="n"/>
      <c r="I17" s="201" t="n"/>
      <c r="J17" s="16" t="inlineStr">
        <is>
          <t>Sheet 6 · role profiles; Sheet 8</t>
        </is>
      </c>
      <c r="K17" s="202" t="n"/>
      <c r="L17" s="202" t="n"/>
      <c r="M17" s="202" t="n"/>
      <c r="N17" s="201" t="n"/>
    </row>
    <row r="18" ht="15" customHeight="1">
      <c r="A18" s="162" t="inlineStr">
        <is>
          <t>12</t>
        </is>
      </c>
      <c r="B18" s="16" t="inlineStr">
        <is>
          <t>Validate and govern</t>
        </is>
      </c>
      <c r="C18" s="202" t="n"/>
      <c r="D18" s="202" t="n"/>
      <c r="E18" s="201" t="n"/>
      <c r="F18" s="16" t="inlineStr">
        <is>
          <t>Governance V1–V6</t>
        </is>
      </c>
      <c r="G18" s="202" t="n"/>
      <c r="H18" s="202" t="n"/>
      <c r="I18" s="201" t="n"/>
      <c r="J18" s="16" t="inlineStr">
        <is>
          <t>Sheet 2 · validation; Sheet 9</t>
        </is>
      </c>
      <c r="K18" s="202" t="n"/>
      <c r="L18" s="202" t="n"/>
      <c r="M18" s="202" t="n"/>
      <c r="N18" s="201" t="n"/>
    </row>
    <row r="19" ht="15" customHeight="1">
      <c r="A19" s="162" t="inlineStr">
        <is>
          <t>—</t>
        </is>
      </c>
      <c r="B19" s="16" t="inlineStr">
        <is>
          <t>Overview</t>
        </is>
      </c>
      <c r="C19" s="202" t="n"/>
      <c r="D19" s="202" t="n"/>
      <c r="E19" s="201" t="n"/>
      <c r="F19" s="16" t="inlineStr">
        <is>
          <t>Counts, changes, distribution</t>
        </is>
      </c>
      <c r="G19" s="202" t="n"/>
      <c r="H19" s="202" t="n"/>
      <c r="I19" s="201" t="n"/>
      <c r="J19" s="16" t="inlineStr">
        <is>
          <t>Sheet 1</t>
        </is>
      </c>
      <c r="K19" s="202" t="n"/>
      <c r="L19" s="202" t="n"/>
      <c r="M19" s="202" t="n"/>
      <c r="N19" s="201" t="n"/>
    </row>
    <row r="20" ht="15" customHeight="1">
      <c r="A20" s="162" t="inlineStr">
        <is>
          <t>—</t>
        </is>
      </c>
      <c r="B20" s="16" t="inlineStr">
        <is>
          <t>Role competencies</t>
        </is>
      </c>
      <c r="C20" s="202" t="n"/>
      <c r="D20" s="202" t="n"/>
      <c r="E20" s="201" t="n"/>
      <c r="F20" s="16" t="inlineStr">
        <is>
          <t>C1–C5 per band / role / sub-family</t>
        </is>
      </c>
      <c r="G20" s="202" t="n"/>
      <c r="H20" s="202" t="n"/>
      <c r="I20" s="201" t="n"/>
      <c r="J20" s="16" t="inlineStr">
        <is>
          <t>Sheet 4</t>
        </is>
      </c>
      <c r="K20" s="202" t="n"/>
      <c r="L20" s="202" t="n"/>
      <c r="M20" s="202" t="n"/>
      <c r="N20" s="201" t="n"/>
    </row>
    <row r="21" ht="15" customHeight="1">
      <c r="A21" s="162" t="inlineStr">
        <is>
          <t>—</t>
        </is>
      </c>
      <c r="B21" s="16" t="inlineStr">
        <is>
          <t>Role catalogue · job design</t>
        </is>
      </c>
      <c r="C21" s="202" t="n"/>
      <c r="D21" s="202" t="n"/>
      <c r="E21" s="201" t="n"/>
      <c r="F21" s="16" t="inlineStr">
        <is>
          <t>All steps combined per role, IRIS-wide</t>
        </is>
      </c>
      <c r="G21" s="202" t="n"/>
      <c r="H21" s="202" t="n"/>
      <c r="I21" s="201" t="n"/>
      <c r="J21" s="16" t="inlineStr">
        <is>
          <t>Sheet 6</t>
        </is>
      </c>
      <c r="K21" s="202" t="n"/>
      <c r="L21" s="202" t="n"/>
      <c r="M21" s="202" t="n"/>
      <c r="N21" s="201" t="n"/>
    </row>
    <row r="22" ht="15" customHeight="1">
      <c r="A22" s="162" t="inlineStr">
        <is>
          <t>—</t>
        </is>
      </c>
      <c r="B22" s="16" t="inlineStr">
        <is>
          <t>Raw data &amp; market standards</t>
        </is>
      </c>
      <c r="C22" s="202" t="n"/>
      <c r="D22" s="202" t="n"/>
      <c r="E22" s="201" t="n"/>
      <c r="F22" s="16" t="inlineStr">
        <is>
          <t>D1–D3; M13</t>
        </is>
      </c>
      <c r="G22" s="202" t="n"/>
      <c r="H22" s="202" t="n"/>
      <c r="I22" s="201" t="n"/>
      <c r="J22" s="16" t="inlineStr">
        <is>
          <t>Sheet 3</t>
        </is>
      </c>
      <c r="K22" s="202" t="n"/>
      <c r="L22" s="202" t="n"/>
      <c r="M22" s="202" t="n"/>
      <c r="N22" s="201" t="n"/>
    </row>
    <row r="23" ht="28" customHeight="1">
      <c r="A23" s="162" t="inlineStr">
        <is>
          <t>—</t>
        </is>
      </c>
      <c r="B23" s="16" t="inlineStr">
        <is>
          <t>References &amp; benchmarks</t>
        </is>
      </c>
      <c r="C23" s="202" t="n"/>
      <c r="D23" s="202" t="n"/>
      <c r="E23" s="201" t="n"/>
      <c r="F23" s="16" t="inlineStr">
        <is>
          <t>Competitors, regtech / SaaS leaders, standards, databases, sites</t>
        </is>
      </c>
      <c r="G23" s="202" t="n"/>
      <c r="H23" s="202" t="n"/>
      <c r="I23" s="201" t="n"/>
      <c r="J23" s="16" t="inlineStr">
        <is>
          <t>Sheet 11</t>
        </is>
      </c>
      <c r="K23" s="202" t="n"/>
      <c r="L23" s="202" t="n"/>
      <c r="M23" s="202" t="n"/>
      <c r="N23" s="201" t="n"/>
    </row>
    <row r="24" ht="15" customHeight="1"/>
    <row r="25" ht="20" customHeight="1">
      <c r="A25" s="6" t="inlineStr">
        <is>
          <t>1. At a glance</t>
        </is>
      </c>
    </row>
    <row r="26" ht="15" customHeight="1">
      <c r="A26" s="12" t="inlineStr">
        <is>
          <t>Measure</t>
        </is>
      </c>
      <c r="B26" s="202" t="n"/>
      <c r="C26" s="202" t="n"/>
      <c r="D26" s="202" t="n"/>
      <c r="E26" s="201" t="n"/>
      <c r="F26" s="12" t="inlineStr">
        <is>
          <t>Value</t>
        </is>
      </c>
      <c r="G26" s="202" t="n"/>
      <c r="H26" s="201" t="n"/>
      <c r="I26" s="12" t="inlineStr">
        <is>
          <t>Note</t>
        </is>
      </c>
      <c r="J26" s="202" t="n"/>
      <c r="K26" s="202" t="n"/>
      <c r="L26" s="202" t="n"/>
      <c r="M26" s="202" t="n"/>
      <c r="N26" s="201" t="n"/>
    </row>
    <row r="27" ht="15" customHeight="1">
      <c r="A27" s="13" t="inlineStr">
        <is>
          <t>People in scope</t>
        </is>
      </c>
      <c r="B27" s="202" t="n"/>
      <c r="C27" s="202" t="n"/>
      <c r="D27" s="202" t="n"/>
      <c r="E27" s="201" t="n"/>
      <c r="F27" s="15" t="n">
        <v>23</v>
      </c>
      <c r="G27" s="202" t="n"/>
      <c r="H27" s="201" t="n"/>
      <c r="I27" s="16" t="inlineStr">
        <is>
          <t>All records, including consultants and interns</t>
        </is>
      </c>
      <c r="J27" s="202" t="n"/>
      <c r="K27" s="202" t="n"/>
      <c r="L27" s="202" t="n"/>
      <c r="M27" s="202" t="n"/>
      <c r="N27" s="201" t="n"/>
    </row>
    <row r="28" ht="15" customHeight="1">
      <c r="A28" s="13" t="inlineStr">
        <is>
          <t>On the employee ladder / consultants</t>
        </is>
      </c>
      <c r="B28" s="202" t="n"/>
      <c r="C28" s="202" t="n"/>
      <c r="D28" s="202" t="n"/>
      <c r="E28" s="201" t="n"/>
      <c r="F28" s="15" t="inlineStr">
        <is>
          <t>23 / 0</t>
        </is>
      </c>
      <c r="G28" s="202" t="n"/>
      <c r="H28" s="201" t="n"/>
      <c r="I28" s="16" t="inlineStr">
        <is>
          <t>Consultants sit outside the ladder</t>
        </is>
      </c>
      <c r="J28" s="202" t="n"/>
      <c r="K28" s="202" t="n"/>
      <c r="L28" s="202" t="n"/>
      <c r="M28" s="202" t="n"/>
      <c r="N28" s="201" t="n"/>
    </row>
    <row r="29" ht="41" customHeight="1">
      <c r="A29" s="13" t="inlineStr">
        <is>
          <t>Departments · job families · sub-families · roles</t>
        </is>
      </c>
      <c r="B29" s="202" t="n"/>
      <c r="C29" s="202" t="n"/>
      <c r="D29" s="202" t="n"/>
      <c r="E29" s="201" t="n"/>
      <c r="F29" s="15" t="inlineStr">
        <is>
          <t>3 · 4 · 4 · 12</t>
        </is>
      </c>
      <c r="G29" s="202" t="n"/>
      <c r="H29" s="201" t="n"/>
      <c r="I29" s="16" t="inlineStr">
        <is>
          <t>Role = the same designation at the same level, within a department, job family and track. Families exclude 'Unassigned' · consultants with no role on record</t>
        </is>
      </c>
      <c r="J29" s="202" t="n"/>
      <c r="K29" s="202" t="n"/>
      <c r="L29" s="202" t="n"/>
      <c r="M29" s="202" t="n"/>
      <c r="N29" s="201" t="n"/>
    </row>
    <row r="30" ht="15" customHeight="1">
      <c r="A30" s="13" t="inlineStr">
        <is>
          <t>IC / POD Lead / Player-Coach / People Manager</t>
        </is>
      </c>
      <c r="B30" s="202" t="n"/>
      <c r="C30" s="202" t="n"/>
      <c r="D30" s="202" t="n"/>
      <c r="E30" s="201" t="n"/>
      <c r="F30" s="15" t="inlineStr">
        <is>
          <t>20 / 0 / 0 / 3</t>
        </is>
      </c>
      <c r="G30" s="202" t="n"/>
      <c r="H30" s="201" t="n"/>
      <c r="I30" s="16" t="inlineStr">
        <is>
          <t>Track rules K1–K6</t>
        </is>
      </c>
      <c r="J30" s="202" t="n"/>
      <c r="K30" s="202" t="n"/>
      <c r="L30" s="202" t="n"/>
      <c r="M30" s="202" t="n"/>
      <c r="N30" s="201" t="n"/>
    </row>
    <row r="31" ht="15" customHeight="1">
      <c r="A31" s="13" t="inlineStr">
        <is>
          <t>Final level vs current: up / down / same / newly mapped</t>
        </is>
      </c>
      <c r="B31" s="202" t="n"/>
      <c r="C31" s="202" t="n"/>
      <c r="D31" s="202" t="n"/>
      <c r="E31" s="201" t="n"/>
      <c r="F31" s="15" t="inlineStr">
        <is>
          <t>17 / 1 / 5 / 0</t>
        </is>
      </c>
      <c r="G31" s="202" t="n"/>
      <c r="H31" s="201" t="n"/>
      <c r="I31" s="16" t="inlineStr">
        <is>
          <t>Moves down are pay- and title-protected</t>
        </is>
      </c>
      <c r="J31" s="202" t="n"/>
      <c r="K31" s="202" t="n"/>
      <c r="L31" s="202" t="n"/>
      <c r="M31" s="202" t="n"/>
      <c r="N31" s="201" t="n"/>
    </row>
    <row r="32" ht="15" customHeight="1">
      <c r="A32" s="13" t="inlineStr">
        <is>
          <t>Final level vs the earlier proposal</t>
        </is>
      </c>
      <c r="B32" s="202" t="n"/>
      <c r="C32" s="202" t="n"/>
      <c r="D32" s="202" t="n"/>
      <c r="E32" s="201" t="n"/>
      <c r="F32" s="15" t="inlineStr">
        <is>
          <t>1 changed</t>
        </is>
      </c>
      <c r="G32" s="202" t="n"/>
      <c r="H32" s="201" t="n"/>
      <c r="I32" s="16" t="inlineStr">
        <is>
          <t>Only from the derived weight model · Master M7</t>
        </is>
      </c>
      <c r="J32" s="202" t="n"/>
      <c r="K32" s="202" t="n"/>
      <c r="L32" s="202" t="n"/>
      <c r="M32" s="202" t="n"/>
      <c r="N32" s="201" t="n"/>
    </row>
    <row r="33" ht="28" customHeight="1">
      <c r="A33" s="13" t="inlineStr">
        <is>
          <t>Close calls for calibration · ±0.05 of a rounding point; the score decided the level</t>
        </is>
      </c>
      <c r="B33" s="202" t="n"/>
      <c r="C33" s="202" t="n"/>
      <c r="D33" s="202" t="n"/>
      <c r="E33" s="201" t="n"/>
      <c r="F33" s="15" t="n">
        <v>2</v>
      </c>
      <c r="G33" s="202" t="n"/>
      <c r="H33" s="201" t="n"/>
      <c r="I33" s="16" t="inlineStr">
        <is>
          <t>Governance V3</t>
        </is>
      </c>
      <c r="J33" s="202" t="n"/>
      <c r="K33" s="202" t="n"/>
      <c r="L33" s="202" t="n"/>
      <c r="M33" s="202" t="n"/>
      <c r="N33" s="201" t="n"/>
    </row>
    <row r="34" ht="28" customHeight="1">
      <c r="A34" s="13" t="inlineStr">
        <is>
          <t>Near a gate · a rule set the level; within a quarter-point of its threshold</t>
        </is>
      </c>
      <c r="B34" s="202" t="n"/>
      <c r="C34" s="202" t="n"/>
      <c r="D34" s="202" t="n"/>
      <c r="E34" s="201" t="n"/>
      <c r="F34" s="15" t="n">
        <v>1</v>
      </c>
      <c r="G34" s="202" t="n"/>
      <c r="H34" s="201" t="n"/>
      <c r="I34" s="16" t="inlineStr">
        <is>
          <t>Governance V3</t>
        </is>
      </c>
      <c r="J34" s="202" t="n"/>
      <c r="K34" s="202" t="n"/>
      <c r="L34" s="202" t="n"/>
      <c r="M34" s="202" t="n"/>
      <c r="N34" s="201" t="n"/>
    </row>
    <row r="35" ht="15" customHeight="1">
      <c r="A35" s="13" t="inlineStr">
        <is>
          <t>Titles needing a check</t>
        </is>
      </c>
      <c r="B35" s="202" t="n"/>
      <c r="C35" s="202" t="n"/>
      <c r="D35" s="202" t="n"/>
      <c r="E35" s="201" t="n"/>
      <c r="F35" s="15" t="n">
        <v>1</v>
      </c>
      <c r="G35" s="202" t="n"/>
      <c r="H35" s="201" t="n"/>
      <c r="I35" s="16" t="inlineStr">
        <is>
          <t>Title rules N1–N5</t>
        </is>
      </c>
      <c r="J35" s="202" t="n"/>
      <c r="K35" s="202" t="n"/>
      <c r="L35" s="202" t="n"/>
      <c r="M35" s="202" t="n"/>
      <c r="N35" s="201" t="n"/>
    </row>
    <row r="36" ht="15" customHeight="1"/>
    <row r="37" ht="20" customHeight="1">
      <c r="A37" s="6" t="inlineStr">
        <is>
          <t>2. STEP 2 · Classification — department → job family → sub-family</t>
        </is>
      </c>
    </row>
    <row r="38" ht="15" customHeight="1">
      <c r="A38" s="11" t="inlineStr">
        <is>
          <t>Families are disciplines anchored to ISCO-08 / NCO-2015; sub-families name the actual work; the department's type of work selects the weight tilt.</t>
        </is>
      </c>
    </row>
    <row r="39" ht="28" customHeight="1">
      <c r="A39" s="12" t="inlineStr">
        <is>
          <t>Department</t>
        </is>
      </c>
      <c r="B39" s="12" t="inlineStr">
        <is>
          <t>Type of work</t>
        </is>
      </c>
      <c r="C39" s="12" t="inlineStr">
        <is>
          <t>Job family</t>
        </is>
      </c>
      <c r="D39" s="201" t="n"/>
      <c r="E39" s="12" t="inlineStr">
        <is>
          <t>Sub-family</t>
        </is>
      </c>
      <c r="F39" s="201" t="n"/>
      <c r="G39" s="12" t="inlineStr">
        <is>
          <t>What they do</t>
        </is>
      </c>
      <c r="H39" s="202" t="n"/>
      <c r="I39" s="201" t="n"/>
      <c r="J39" s="12" t="inlineStr">
        <is>
          <t>ISCO-08 anchor</t>
        </is>
      </c>
      <c r="K39" s="201" t="n"/>
      <c r="L39" s="12" t="inlineStr">
        <is>
          <t>People</t>
        </is>
      </c>
      <c r="M39" s="12" t="inlineStr">
        <is>
          <t>Levels</t>
        </is>
      </c>
      <c r="N39" s="12" t="inlineStr">
        <is>
          <t>Tracks</t>
        </is>
      </c>
    </row>
    <row r="40" ht="54" customHeight="1">
      <c r="A40" s="16" t="inlineStr">
        <is>
          <t>Digitizing</t>
        </is>
      </c>
      <c r="B40" s="16" t="inlineStr">
        <is>
          <t>Service delivery &amp; data operations</t>
        </is>
      </c>
      <c r="C40" s="16" t="inlineStr">
        <is>
          <t>Data Operations &amp; Digitization</t>
        </is>
      </c>
      <c r="D40" s="201" t="n"/>
      <c r="E40" s="16" t="inlineStr">
        <is>
          <t>Document Conversion, Formatting &amp; Web Publishing</t>
        </is>
      </c>
      <c r="F40" s="201" t="n"/>
      <c r="G40" s="16" t="inlineStr">
        <is>
          <t>Converts and formats documents into HTML/PDF/Word to filing or web standards, and publishes content · incl. RBI website.</t>
        </is>
      </c>
      <c r="H40" s="202" t="n"/>
      <c r="I40" s="201" t="n"/>
      <c r="J40" s="16" t="inlineStr">
        <is>
          <t>41 General &amp; keyboard clerks · 4132 Data-entry clerks; 33 Associate professionals</t>
        </is>
      </c>
      <c r="K40" s="201" t="n"/>
      <c r="L40" s="15" t="n">
        <v>9</v>
      </c>
      <c r="M40" s="15" t="inlineStr">
        <is>
          <t>A2–B2</t>
        </is>
      </c>
      <c r="N40" s="16" t="inlineStr">
        <is>
          <t>People Manager 1 · IC 8</t>
        </is>
      </c>
    </row>
    <row r="41" ht="54" customHeight="1">
      <c r="A41" s="16" t="inlineStr">
        <is>
          <t>India Content</t>
        </is>
      </c>
      <c r="B41" s="16" t="inlineStr">
        <is>
          <t>Service delivery &amp; data operations</t>
        </is>
      </c>
      <c r="C41" s="16" t="inlineStr">
        <is>
          <t>Data &amp; Analytics</t>
        </is>
      </c>
      <c r="D41" s="201" t="n"/>
      <c r="E41" s="16" t="inlineStr">
        <is>
          <t>Financial Data Processing</t>
        </is>
      </c>
      <c r="F41" s="201" t="n"/>
      <c r="G41" s="16" t="inlineStr">
        <is>
          <t>Processes and delivers mutual-fund, scheme and capital-market data feeds and reports.</t>
        </is>
      </c>
      <c r="H41" s="202" t="n"/>
      <c r="I41" s="201" t="n"/>
      <c r="J41" s="16" t="inlineStr">
        <is>
          <t>25 ICT professionals · 2521 Database designers; 21 · 2120 Statisticians</t>
        </is>
      </c>
      <c r="K41" s="201" t="n"/>
      <c r="L41" s="15" t="n">
        <v>9</v>
      </c>
      <c r="M41" s="15" t="inlineStr">
        <is>
          <t>A3–B2</t>
        </is>
      </c>
      <c r="N41" s="16" t="inlineStr">
        <is>
          <t>People Manager 1 · IC 8</t>
        </is>
      </c>
    </row>
    <row r="42" ht="54" customHeight="1">
      <c r="A42" s="16" t="inlineStr">
        <is>
          <t>Technology</t>
        </is>
      </c>
      <c r="B42" s="16" t="inlineStr">
        <is>
          <t>Technology &amp; engineering</t>
        </is>
      </c>
      <c r="C42" s="16" t="inlineStr">
        <is>
          <t>Engineering &amp; Development</t>
        </is>
      </c>
      <c r="D42" s="201" t="n"/>
      <c r="E42" s="16" t="inlineStr">
        <is>
          <t>Application Maintenance &amp; Production Support</t>
        </is>
      </c>
      <c r="F42" s="201" t="n"/>
      <c r="G42" s="16" t="inlineStr">
        <is>
          <t>Keeps live applications/portals running — production fixes, patches, small enhancements, CRs.</t>
        </is>
      </c>
      <c r="H42" s="202" t="n"/>
      <c r="I42" s="201" t="n"/>
      <c r="J42" s="16" t="inlineStr">
        <is>
          <t>25 ICT professionals · 2512 Software developers / 2514 Applications programmers</t>
        </is>
      </c>
      <c r="K42" s="201" t="n"/>
      <c r="L42" s="15" t="n">
        <v>4</v>
      </c>
      <c r="M42" s="15" t="inlineStr">
        <is>
          <t>A3–B3</t>
        </is>
      </c>
      <c r="N42" s="16" t="inlineStr">
        <is>
          <t>IC 4</t>
        </is>
      </c>
    </row>
    <row r="43" ht="54" customHeight="1">
      <c r="A43" s="16" t="inlineStr"/>
      <c r="B43" s="16" t="inlineStr"/>
      <c r="C43" s="16" t="inlineStr">
        <is>
          <t>Project &amp; Program Management</t>
        </is>
      </c>
      <c r="D43" s="201" t="n"/>
      <c r="E43" s="16" t="inlineStr">
        <is>
          <t>Project &amp; Program Delivery</t>
        </is>
      </c>
      <c r="F43" s="201" t="n"/>
      <c r="G43" s="16" t="inlineStr">
        <is>
          <t>Plans and delivers projects/programmes to scope, time and cost; manages CRs, risks and stakeholders.</t>
        </is>
      </c>
      <c r="H43" s="202" t="n"/>
      <c r="I43" s="201" t="n"/>
      <c r="J43" s="16" t="inlineStr">
        <is>
          <t>24 Business &amp; administration professionals; 1330 ICT services managers at manager levels</t>
        </is>
      </c>
      <c r="K43" s="201" t="n"/>
      <c r="L43" s="15" t="n">
        <v>1</v>
      </c>
      <c r="M43" s="15" t="inlineStr">
        <is>
          <t>B2</t>
        </is>
      </c>
      <c r="N43" s="16" t="inlineStr">
        <is>
          <t>People Manager 1</t>
        </is>
      </c>
    </row>
    <row r="44" ht="15" customHeight="1"/>
    <row r="45" ht="20" customHeight="1">
      <c r="A45" s="6" t="inlineStr">
        <is>
          <t>3. STEP 3 · Tracks — band × track</t>
        </is>
      </c>
    </row>
    <row r="46" ht="15" customHeight="1">
      <c r="A46" s="12" t="inlineStr">
        <is>
          <t>Band</t>
        </is>
      </c>
      <c r="B46" s="202" t="n"/>
      <c r="C46" s="201" t="n"/>
      <c r="D46" s="12" t="inlineStr">
        <is>
          <t>IC</t>
        </is>
      </c>
      <c r="E46" s="201" t="n"/>
      <c r="F46" s="12" t="inlineStr">
        <is>
          <t>POD Lead</t>
        </is>
      </c>
      <c r="G46" s="201" t="n"/>
      <c r="H46" s="12" t="inlineStr">
        <is>
          <t>Player-Coach</t>
        </is>
      </c>
      <c r="I46" s="201" t="n"/>
      <c r="J46" s="12" t="inlineStr">
        <is>
          <t>People Manager</t>
        </is>
      </c>
      <c r="K46" s="201" t="n"/>
      <c r="L46" s="12" t="inlineStr">
        <is>
          <t>Consultant</t>
        </is>
      </c>
      <c r="M46" s="201" t="n"/>
      <c r="N46" s="12" t="inlineStr">
        <is>
          <t>Total</t>
        </is>
      </c>
    </row>
    <row r="47" ht="15" customHeight="1">
      <c r="A47" s="24" t="inlineStr">
        <is>
          <t>A</t>
        </is>
      </c>
      <c r="B47" s="202" t="n"/>
      <c r="C47" s="201" t="n"/>
      <c r="D47" s="26" t="n">
        <v>16</v>
      </c>
      <c r="E47" s="201" t="n"/>
      <c r="F47" s="26" t="n">
        <v>0</v>
      </c>
      <c r="G47" s="201" t="n"/>
      <c r="H47" s="26" t="n">
        <v>0</v>
      </c>
      <c r="I47" s="201" t="n"/>
      <c r="J47" s="26" t="n">
        <v>0</v>
      </c>
      <c r="K47" s="201" t="n"/>
      <c r="L47" s="26" t="n">
        <v>0</v>
      </c>
      <c r="M47" s="201" t="n"/>
      <c r="N47" s="26" t="n">
        <v>16</v>
      </c>
    </row>
    <row r="48" ht="15" customHeight="1">
      <c r="A48" s="27" t="inlineStr">
        <is>
          <t>B</t>
        </is>
      </c>
      <c r="B48" s="202" t="n"/>
      <c r="C48" s="201" t="n"/>
      <c r="D48" s="23" t="n">
        <v>4</v>
      </c>
      <c r="E48" s="201" t="n"/>
      <c r="F48" s="23" t="n">
        <v>0</v>
      </c>
      <c r="G48" s="201" t="n"/>
      <c r="H48" s="23" t="n">
        <v>0</v>
      </c>
      <c r="I48" s="201" t="n"/>
      <c r="J48" s="23" t="n">
        <v>3</v>
      </c>
      <c r="K48" s="201" t="n"/>
      <c r="L48" s="23" t="n">
        <v>0</v>
      </c>
      <c r="M48" s="201" t="n"/>
      <c r="N48" s="23" t="n">
        <v>7</v>
      </c>
    </row>
    <row r="49" ht="15" customHeight="1">
      <c r="A49" s="28" t="inlineStr">
        <is>
          <t>B+</t>
        </is>
      </c>
      <c r="B49" s="202" t="n"/>
      <c r="C49" s="201" t="n"/>
      <c r="D49" s="30" t="n">
        <v>0</v>
      </c>
      <c r="E49" s="201" t="n"/>
      <c r="F49" s="30" t="n">
        <v>0</v>
      </c>
      <c r="G49" s="201" t="n"/>
      <c r="H49" s="30" t="n">
        <v>0</v>
      </c>
      <c r="I49" s="201" t="n"/>
      <c r="J49" s="30" t="n">
        <v>0</v>
      </c>
      <c r="K49" s="201" t="n"/>
      <c r="L49" s="30" t="n">
        <v>0</v>
      </c>
      <c r="M49" s="201" t="n"/>
      <c r="N49" s="30" t="n">
        <v>0</v>
      </c>
    </row>
    <row r="50" ht="15" customHeight="1">
      <c r="A50" s="31" t="inlineStr">
        <is>
          <t>C</t>
        </is>
      </c>
      <c r="B50" s="202" t="n"/>
      <c r="C50" s="201" t="n"/>
      <c r="D50" s="33" t="n">
        <v>0</v>
      </c>
      <c r="E50" s="201" t="n"/>
      <c r="F50" s="33" t="n">
        <v>0</v>
      </c>
      <c r="G50" s="201" t="n"/>
      <c r="H50" s="33" t="n">
        <v>0</v>
      </c>
      <c r="I50" s="201" t="n"/>
      <c r="J50" s="33" t="n">
        <v>0</v>
      </c>
      <c r="K50" s="201" t="n"/>
      <c r="L50" s="33" t="n">
        <v>0</v>
      </c>
      <c r="M50" s="201" t="n"/>
      <c r="N50" s="33" t="n">
        <v>0</v>
      </c>
    </row>
    <row r="51" ht="15" customHeight="1">
      <c r="A51" s="34" t="inlineStr">
        <is>
          <t>C+</t>
        </is>
      </c>
      <c r="B51" s="202" t="n"/>
      <c r="C51" s="201" t="n"/>
      <c r="D51" s="36" t="n">
        <v>0</v>
      </c>
      <c r="E51" s="201" t="n"/>
      <c r="F51" s="36" t="n">
        <v>0</v>
      </c>
      <c r="G51" s="201" t="n"/>
      <c r="H51" s="36" t="n">
        <v>0</v>
      </c>
      <c r="I51" s="201" t="n"/>
      <c r="J51" s="36" t="n">
        <v>0</v>
      </c>
      <c r="K51" s="201" t="n"/>
      <c r="L51" s="36" t="n">
        <v>0</v>
      </c>
      <c r="M51" s="201" t="n"/>
      <c r="N51" s="36" t="n">
        <v>0</v>
      </c>
    </row>
    <row r="52" ht="15" customHeight="1">
      <c r="A52" s="37" t="inlineStr">
        <is>
          <t>D</t>
        </is>
      </c>
      <c r="B52" s="202" t="n"/>
      <c r="C52" s="201" t="n"/>
      <c r="D52" s="39" t="n">
        <v>0</v>
      </c>
      <c r="E52" s="201" t="n"/>
      <c r="F52" s="39" t="n">
        <v>0</v>
      </c>
      <c r="G52" s="201" t="n"/>
      <c r="H52" s="39" t="n">
        <v>0</v>
      </c>
      <c r="I52" s="201" t="n"/>
      <c r="J52" s="39" t="n">
        <v>0</v>
      </c>
      <c r="K52" s="201" t="n"/>
      <c r="L52" s="39" t="n">
        <v>0</v>
      </c>
      <c r="M52" s="201" t="n"/>
      <c r="N52" s="39" t="n">
        <v>0</v>
      </c>
    </row>
    <row r="53" ht="15" customHeight="1">
      <c r="A53" s="40" t="inlineStr">
        <is>
          <t>E</t>
        </is>
      </c>
      <c r="B53" s="202" t="n"/>
      <c r="C53" s="201" t="n"/>
      <c r="D53" s="42" t="n">
        <v>0</v>
      </c>
      <c r="E53" s="201" t="n"/>
      <c r="F53" s="42" t="n">
        <v>0</v>
      </c>
      <c r="G53" s="201" t="n"/>
      <c r="H53" s="42" t="n">
        <v>0</v>
      </c>
      <c r="I53" s="201" t="n"/>
      <c r="J53" s="42" t="n">
        <v>0</v>
      </c>
      <c r="K53" s="201" t="n"/>
      <c r="L53" s="42" t="n">
        <v>0</v>
      </c>
      <c r="M53" s="201" t="n"/>
      <c r="N53" s="42" t="n">
        <v>0</v>
      </c>
    </row>
    <row r="54" ht="15" customHeight="1">
      <c r="A54" s="43" t="inlineStr">
        <is>
          <t>X</t>
        </is>
      </c>
      <c r="B54" s="202" t="n"/>
      <c r="C54" s="201" t="n"/>
      <c r="D54" s="45" t="n">
        <v>0</v>
      </c>
      <c r="E54" s="201" t="n"/>
      <c r="F54" s="45" t="n">
        <v>0</v>
      </c>
      <c r="G54" s="201" t="n"/>
      <c r="H54" s="45" t="n">
        <v>0</v>
      </c>
      <c r="I54" s="201" t="n"/>
      <c r="J54" s="45" t="n">
        <v>0</v>
      </c>
      <c r="K54" s="201" t="n"/>
      <c r="L54" s="45" t="n">
        <v>0</v>
      </c>
      <c r="M54" s="201" t="n"/>
      <c r="N54" s="45" t="n">
        <v>0</v>
      </c>
    </row>
    <row r="55" ht="15" customHeight="1">
      <c r="A55" s="46" t="inlineStr">
        <is>
          <t>Total</t>
        </is>
      </c>
      <c r="B55" s="202" t="n"/>
      <c r="C55" s="201" t="n"/>
      <c r="D55" s="47" t="n">
        <v>20</v>
      </c>
      <c r="E55" s="201" t="n"/>
      <c r="F55" s="47" t="n">
        <v>0</v>
      </c>
      <c r="G55" s="201" t="n"/>
      <c r="H55" s="47" t="n">
        <v>0</v>
      </c>
      <c r="I55" s="201" t="n"/>
      <c r="J55" s="47" t="n">
        <v>3</v>
      </c>
      <c r="K55" s="201" t="n"/>
      <c r="L55" s="47" t="n">
        <v>0</v>
      </c>
      <c r="M55" s="201" t="n"/>
      <c r="N55" s="47" t="n">
        <v>23</v>
      </c>
    </row>
    <row r="56" ht="15" customHeight="1"/>
    <row r="57" ht="20" customHeight="1">
      <c r="A57" s="6" t="inlineStr">
        <is>
          <t>4. STEPS 4–6 · Factors, weights and score</t>
        </is>
      </c>
    </row>
    <row r="58" ht="28" customHeight="1">
      <c r="A58" s="11" t="inlineStr">
        <is>
          <t>Weight set = base by band × track · Master W1 + tilt by the department's type of work; no tilt at Bands D–E; leaders can edit each department's row on the Weightage Matrix. Score = Σ rating × weight; the level is the nearest whole value.</t>
        </is>
      </c>
    </row>
    <row r="59" ht="15" customHeight="1">
      <c r="A59" s="12" t="inlineStr">
        <is>
          <t>ID</t>
        </is>
      </c>
      <c r="B59" s="12" t="inlineStr">
        <is>
          <t>Factor</t>
        </is>
      </c>
      <c r="C59" s="201" t="n"/>
      <c r="D59" s="12" t="inlineStr">
        <is>
          <t>What it measures</t>
        </is>
      </c>
      <c r="E59" s="202" t="n"/>
      <c r="F59" s="202" t="n"/>
      <c r="G59" s="202" t="n"/>
      <c r="H59" s="201" t="n"/>
      <c r="I59" s="12" t="inlineStr">
        <is>
          <t>Market equivalent</t>
        </is>
      </c>
      <c r="J59" s="202" t="n"/>
      <c r="K59" s="202" t="n"/>
      <c r="L59" s="202" t="n"/>
      <c r="M59" s="202" t="n"/>
      <c r="N59" s="201" t="n"/>
    </row>
    <row r="60" ht="28" customHeight="1">
      <c r="A60" s="13" t="inlineStr">
        <is>
          <t>F1</t>
        </is>
      </c>
      <c r="B60" s="16" t="inlineStr">
        <is>
          <t>Complexity &amp; Expertise</t>
        </is>
      </c>
      <c r="C60" s="201" t="n"/>
      <c r="D60" s="16" t="inlineStr">
        <is>
          <t>How hard and how specialised the work is; the knowledge it needs</t>
        </is>
      </c>
      <c r="E60" s="202" t="n"/>
      <c r="F60" s="202" t="n"/>
      <c r="G60" s="202" t="n"/>
      <c r="H60" s="201" t="n"/>
      <c r="I60" s="16" t="inlineStr">
        <is>
          <t>Hay Know-How · technical + Problem Solving · Mercer IPE Knowledge + Innovation · SFIA complexity · WTW GGS knowledge / problem solving</t>
        </is>
      </c>
      <c r="J60" s="202" t="n"/>
      <c r="K60" s="202" t="n"/>
      <c r="L60" s="202" t="n"/>
      <c r="M60" s="202" t="n"/>
      <c r="N60" s="201" t="n"/>
    </row>
    <row r="61" ht="28" customHeight="1">
      <c r="A61" s="13" t="inlineStr">
        <is>
          <t>F2</t>
        </is>
      </c>
      <c r="B61" s="16" t="inlineStr">
        <is>
          <t>Autonomy &amp; Decision</t>
        </is>
      </c>
      <c r="C61" s="201" t="n"/>
      <c r="D61" s="16" t="inlineStr">
        <is>
          <t>What the person can decide and act on without asking</t>
        </is>
      </c>
      <c r="E61" s="202" t="n"/>
      <c r="F61" s="202" t="n"/>
      <c r="G61" s="202" t="n"/>
      <c r="H61" s="201" t="n"/>
      <c r="I61" s="16" t="inlineStr">
        <is>
          <t>Hay Accountability — freedom to act · SFIA autonomy · Mercer IPE Impact</t>
        </is>
      </c>
      <c r="J61" s="202" t="n"/>
      <c r="K61" s="202" t="n"/>
      <c r="L61" s="202" t="n"/>
      <c r="M61" s="202" t="n"/>
      <c r="N61" s="201" t="n"/>
    </row>
    <row r="62" ht="28" customHeight="1">
      <c r="A62" s="13" t="inlineStr">
        <is>
          <t>F3</t>
        </is>
      </c>
      <c r="B62" s="16" t="inlineStr">
        <is>
          <t>Accountability &amp; Impact</t>
        </is>
      </c>
      <c r="C62" s="201" t="n"/>
      <c r="D62" s="16" t="inlineStr">
        <is>
          <t>What the role answers for, and the cost of getting it wrong</t>
        </is>
      </c>
      <c r="E62" s="202" t="n"/>
      <c r="F62" s="202" t="n"/>
      <c r="G62" s="202" t="n"/>
      <c r="H62" s="201" t="n"/>
      <c r="I62" s="16" t="inlineStr">
        <is>
          <t>Hay Accountability — magnitude and impact · Mercer IPE Impact</t>
        </is>
      </c>
      <c r="J62" s="202" t="n"/>
      <c r="K62" s="202" t="n"/>
      <c r="L62" s="202" t="n"/>
      <c r="M62" s="202" t="n"/>
      <c r="N62" s="201" t="n"/>
    </row>
    <row r="63" ht="28" customHeight="1">
      <c r="A63" s="13" t="inlineStr">
        <is>
          <t>F4</t>
        </is>
      </c>
      <c r="B63" s="16" t="inlineStr">
        <is>
          <t>Leadership &amp; Strategy</t>
        </is>
      </c>
      <c r="C63" s="201" t="n"/>
      <c r="D63" s="16" t="inlineStr">
        <is>
          <t>Leading people and shaping direction</t>
        </is>
      </c>
      <c r="E63" s="202" t="n"/>
      <c r="F63" s="202" t="n"/>
      <c r="G63" s="202" t="n"/>
      <c r="H63" s="201" t="n"/>
      <c r="I63" s="16" t="inlineStr">
        <is>
          <t>Hay Know-How · managerial, human relations · Mercer IPE Communication · SFIA influence</t>
        </is>
      </c>
      <c r="J63" s="202" t="n"/>
      <c r="K63" s="202" t="n"/>
      <c r="L63" s="202" t="n"/>
      <c r="M63" s="202" t="n"/>
      <c r="N63" s="201" t="n"/>
    </row>
    <row r="64" ht="41" customHeight="1">
      <c r="A64" s="13" t="inlineStr">
        <is>
          <t>F5</t>
        </is>
      </c>
      <c r="B64" s="16" t="inlineStr">
        <is>
          <t>Experience &amp; Qualification</t>
        </is>
      </c>
      <c r="C64" s="201" t="n"/>
      <c r="D64" s="16" t="inlineStr">
        <is>
          <t>Total experience on the same ladder scale, adjusted for qualification — weighted low by design: 10% in Bands A–B, 5% in Bands C–E</t>
        </is>
      </c>
      <c r="E64" s="202" t="n"/>
      <c r="F64" s="202" t="n"/>
      <c r="G64" s="202" t="n"/>
      <c r="H64" s="201" t="n"/>
      <c r="I64" s="16" t="inlineStr">
        <is>
          <t>Hay Know-How · depth / breadth · Radford / Infosys / Accenture experience norms</t>
        </is>
      </c>
      <c r="J64" s="202" t="n"/>
      <c r="K64" s="202" t="n"/>
      <c r="L64" s="202" t="n"/>
      <c r="M64" s="202" t="n"/>
      <c r="N64" s="201" t="n"/>
    </row>
    <row r="65" ht="28" customHeight="1">
      <c r="A65" s="13" t="inlineStr">
        <is>
          <t>F6</t>
        </is>
      </c>
      <c r="B65" s="16" t="inlineStr">
        <is>
          <t>Business Impact</t>
        </is>
      </c>
      <c r="C65" s="201" t="n"/>
      <c r="D65" s="16" t="inlineStr">
        <is>
          <t>The difference the role makes to revenue, clients, compliance or cost</t>
        </is>
      </c>
      <c r="E65" s="202" t="n"/>
      <c r="F65" s="202" t="n"/>
      <c r="G65" s="202" t="n"/>
      <c r="H65" s="201" t="n"/>
      <c r="I65" s="16" t="inlineStr">
        <is>
          <t>Mercer IPE Impact · Hay Accountability — nature of impact · WTW GGS business impact</t>
        </is>
      </c>
      <c r="J65" s="202" t="n"/>
      <c r="K65" s="202" t="n"/>
      <c r="L65" s="202" t="n"/>
      <c r="M65" s="202" t="n"/>
      <c r="N65" s="201" t="n"/>
    </row>
    <row r="66" ht="15" customHeight="1"/>
    <row r="67" ht="28" customHeight="1">
      <c r="A67" s="12" t="inlineStr">
        <is>
          <t>Set ID</t>
        </is>
      </c>
      <c r="B67" s="12" t="inlineStr">
        <is>
          <t>Type of work</t>
        </is>
      </c>
      <c r="C67" s="201" t="n"/>
      <c r="D67" s="12" t="inlineStr">
        <is>
          <t>Band / track</t>
        </is>
      </c>
      <c r="E67" s="201" t="n"/>
      <c r="F67" s="12" t="inlineStr">
        <is>
          <t>Base</t>
        </is>
      </c>
      <c r="G67" s="201" t="n"/>
      <c r="H67" s="12" t="inlineStr">
        <is>
          <t>Tilt</t>
        </is>
      </c>
      <c r="I67" s="201" t="n"/>
      <c r="J67" s="12" t="inlineStr">
        <is>
          <t>Complexity %</t>
        </is>
      </c>
      <c r="K67" s="12" t="inlineStr">
        <is>
          <t>Autonomy %</t>
        </is>
      </c>
      <c r="L67" s="12" t="inlineStr">
        <is>
          <t>Accountability %</t>
        </is>
      </c>
      <c r="M67" s="12" t="inlineStr">
        <is>
          <t>Leadership %</t>
        </is>
      </c>
      <c r="N67" s="12" t="inlineStr">
        <is>
          <t>Exp. &amp; Qual. %</t>
        </is>
      </c>
      <c r="O67" s="12" t="inlineStr">
        <is>
          <t>Bus. Impact %</t>
        </is>
      </c>
      <c r="P67" s="12" t="inlineStr">
        <is>
          <t>People</t>
        </is>
      </c>
    </row>
    <row r="68" ht="28" customHeight="1">
      <c r="A68" s="13" t="inlineStr">
        <is>
          <t>SD-A</t>
        </is>
      </c>
      <c r="B68" s="16" t="inlineStr">
        <is>
          <t>Service delivery &amp; data operations</t>
        </is>
      </c>
      <c r="C68" s="201" t="n"/>
      <c r="D68" s="16" t="inlineStr">
        <is>
          <t>Band A</t>
        </is>
      </c>
      <c r="E68" s="201" t="n"/>
      <c r="F68" s="15" t="inlineStr">
        <is>
          <t>59 / 16 / 9 / 0 / 10 / 6</t>
        </is>
      </c>
      <c r="G68" s="201" t="n"/>
      <c r="H68" s="15" t="inlineStr">
        <is>
          <t>-5 / 0 / +5 / 0 / 0 / 0</t>
        </is>
      </c>
      <c r="I68" s="201" t="n"/>
      <c r="J68" s="193" t="n">
        <v>0.54</v>
      </c>
      <c r="K68" s="193" t="n">
        <v>0.16</v>
      </c>
      <c r="L68" s="193" t="n">
        <v>0.14</v>
      </c>
      <c r="M68" s="193" t="n">
        <v>0</v>
      </c>
      <c r="N68" s="193" t="n">
        <v>0.1</v>
      </c>
      <c r="O68" s="193" t="n">
        <v>0.06</v>
      </c>
      <c r="P68" s="15" t="n">
        <v>14</v>
      </c>
    </row>
    <row r="69" ht="28" customHeight="1">
      <c r="A69" s="13" t="inlineStr">
        <is>
          <t>SD-B-IC</t>
        </is>
      </c>
      <c r="B69" s="16" t="inlineStr">
        <is>
          <t>Service delivery &amp; data operations</t>
        </is>
      </c>
      <c r="C69" s="201" t="n"/>
      <c r="D69" s="16" t="inlineStr">
        <is>
          <t>Band B · IC / POD Lead</t>
        </is>
      </c>
      <c r="E69" s="201" t="n"/>
      <c r="F69" s="15" t="inlineStr">
        <is>
          <t>51 / 17 / 10 / 5 / 10 / 7</t>
        </is>
      </c>
      <c r="G69" s="201" t="n"/>
      <c r="H69" s="15" t="inlineStr">
        <is>
          <t>-5 / 0 / +5 / 0 / 0 / 0</t>
        </is>
      </c>
      <c r="I69" s="201" t="n"/>
      <c r="J69" s="193" t="n">
        <v>0.46</v>
      </c>
      <c r="K69" s="193" t="n">
        <v>0.17</v>
      </c>
      <c r="L69" s="193" t="n">
        <v>0.15</v>
      </c>
      <c r="M69" s="193" t="n">
        <v>0.05</v>
      </c>
      <c r="N69" s="193" t="n">
        <v>0.1</v>
      </c>
      <c r="O69" s="193" t="n">
        <v>0.07000000000000001</v>
      </c>
      <c r="P69" s="15" t="n">
        <v>2</v>
      </c>
    </row>
    <row r="70" ht="28" customHeight="1">
      <c r="A70" s="13" t="inlineStr">
        <is>
          <t>SD-B-M</t>
        </is>
      </c>
      <c r="B70" s="16" t="inlineStr">
        <is>
          <t>Service delivery &amp; data operations</t>
        </is>
      </c>
      <c r="C70" s="201" t="n"/>
      <c r="D70" s="16" t="inlineStr">
        <is>
          <t>Band B · People Manager</t>
        </is>
      </c>
      <c r="E70" s="201" t="n"/>
      <c r="F70" s="15" t="inlineStr">
        <is>
          <t>37 / 18 / 11 / 15 / 10 / 9</t>
        </is>
      </c>
      <c r="G70" s="201" t="n"/>
      <c r="H70" s="15" t="inlineStr">
        <is>
          <t>-5 / 0 / +5 / 0 / 0 / 0</t>
        </is>
      </c>
      <c r="I70" s="201" t="n"/>
      <c r="J70" s="193" t="n">
        <v>0.32</v>
      </c>
      <c r="K70" s="193" t="n">
        <v>0.18</v>
      </c>
      <c r="L70" s="193" t="n">
        <v>0.16</v>
      </c>
      <c r="M70" s="193" t="n">
        <v>0.15</v>
      </c>
      <c r="N70" s="193" t="n">
        <v>0.1</v>
      </c>
      <c r="O70" s="193" t="n">
        <v>0.09</v>
      </c>
      <c r="P70" s="15" t="n">
        <v>2</v>
      </c>
    </row>
    <row r="71" ht="28" customHeight="1">
      <c r="A71" s="13" t="inlineStr">
        <is>
          <t>TE-A</t>
        </is>
      </c>
      <c r="B71" s="16" t="inlineStr">
        <is>
          <t>Technology &amp; engineering</t>
        </is>
      </c>
      <c r="C71" s="201" t="n"/>
      <c r="D71" s="16" t="inlineStr">
        <is>
          <t>Band A</t>
        </is>
      </c>
      <c r="E71" s="201" t="n"/>
      <c r="F71" s="15" t="inlineStr">
        <is>
          <t>59 / 16 / 9 / 0 / 10 / 6</t>
        </is>
      </c>
      <c r="G71" s="201" t="n"/>
      <c r="H71" s="15" t="inlineStr">
        <is>
          <t>+5 / 0 / -5 / 0 / 0 / 0</t>
        </is>
      </c>
      <c r="I71" s="201" t="n"/>
      <c r="J71" s="193" t="n">
        <v>0.64</v>
      </c>
      <c r="K71" s="193" t="n">
        <v>0.16</v>
      </c>
      <c r="L71" s="193" t="n">
        <v>0.04</v>
      </c>
      <c r="M71" s="193" t="n">
        <v>0</v>
      </c>
      <c r="N71" s="193" t="n">
        <v>0.1</v>
      </c>
      <c r="O71" s="193" t="n">
        <v>0.06</v>
      </c>
      <c r="P71" s="15" t="n">
        <v>2</v>
      </c>
    </row>
    <row r="72" ht="28" customHeight="1">
      <c r="A72" s="13" t="inlineStr">
        <is>
          <t>TE-B-IC</t>
        </is>
      </c>
      <c r="B72" s="16" t="inlineStr">
        <is>
          <t>Technology &amp; engineering</t>
        </is>
      </c>
      <c r="C72" s="201" t="n"/>
      <c r="D72" s="16" t="inlineStr">
        <is>
          <t>Band B · IC / POD Lead</t>
        </is>
      </c>
      <c r="E72" s="201" t="n"/>
      <c r="F72" s="15" t="inlineStr">
        <is>
          <t>51 / 17 / 10 / 5 / 10 / 7</t>
        </is>
      </c>
      <c r="G72" s="201" t="n"/>
      <c r="H72" s="15" t="inlineStr">
        <is>
          <t>+5 / 0 / -5 / 0 / 0 / 0</t>
        </is>
      </c>
      <c r="I72" s="201" t="n"/>
      <c r="J72" s="193" t="n">
        <v>0.5600000000000001</v>
      </c>
      <c r="K72" s="193" t="n">
        <v>0.17</v>
      </c>
      <c r="L72" s="193" t="n">
        <v>0.05</v>
      </c>
      <c r="M72" s="193" t="n">
        <v>0.05</v>
      </c>
      <c r="N72" s="193" t="n">
        <v>0.1</v>
      </c>
      <c r="O72" s="193" t="n">
        <v>0.07000000000000001</v>
      </c>
      <c r="P72" s="15" t="n">
        <v>2</v>
      </c>
    </row>
    <row r="73" ht="28" customHeight="1">
      <c r="A73" s="13" t="inlineStr">
        <is>
          <t>TE-B-M</t>
        </is>
      </c>
      <c r="B73" s="16" t="inlineStr">
        <is>
          <t>Technology &amp; engineering</t>
        </is>
      </c>
      <c r="C73" s="201" t="n"/>
      <c r="D73" s="16" t="inlineStr">
        <is>
          <t>Band B · People Manager</t>
        </is>
      </c>
      <c r="E73" s="201" t="n"/>
      <c r="F73" s="15" t="inlineStr">
        <is>
          <t>37 / 18 / 11 / 15 / 10 / 9</t>
        </is>
      </c>
      <c r="G73" s="201" t="n"/>
      <c r="H73" s="15" t="inlineStr">
        <is>
          <t>+5 / 0 / -5 / 0 / 0 / 0</t>
        </is>
      </c>
      <c r="I73" s="201" t="n"/>
      <c r="J73" s="193" t="n">
        <v>0.42</v>
      </c>
      <c r="K73" s="193" t="n">
        <v>0.18</v>
      </c>
      <c r="L73" s="193" t="n">
        <v>0.06</v>
      </c>
      <c r="M73" s="193" t="n">
        <v>0.15</v>
      </c>
      <c r="N73" s="193" t="n">
        <v>0.1</v>
      </c>
      <c r="O73" s="193" t="n">
        <v>0.09</v>
      </c>
      <c r="P73" s="15" t="n">
        <v>1</v>
      </c>
    </row>
    <row r="74" ht="15" customHeight="1"/>
    <row r="75" ht="15" customHeight="1">
      <c r="A75" s="11" t="inlineStr">
        <is>
          <t>Default sets by the department's main type of work. Leaders can change any department's row on the Weightage Matrix; sheet 2 uses the matrix.</t>
        </is>
      </c>
    </row>
    <row r="76" ht="41" customHeight="1">
      <c r="A76" s="11" t="inlineStr">
        <is>
          <r>
            <rPr>
              <rFont val="Calibri"/>
              <b val="1"/>
              <i val="1"/>
              <color rgb="00595959"/>
              <sz val="10"/>
            </rPr>
            <t>Why the tilts:</t>
          </r>
          <r>
            <rPr>
              <rFont val="Calibri"/>
              <i val="1"/>
              <color rgb="00595959"/>
              <sz val="10"/>
            </rPr>
            <t xml:space="preserve"> Service delivery &amp; data operations — Results-led: standardised delivery judged on accuracy and turnaround → +5 Accountability, −5 Complexity. Basis: S06 Hay short profile; the ±5 size is an IRIS rule. · Technology &amp; engineering — Thinking-led: value comes from technical depth → +5 Complexity, −5 Accountability. Basis: S06 Hay short profile; the ±5 size is an IRIS rule.</t>
          </r>
        </is>
      </c>
    </row>
    <row r="77" ht="15" customHeight="1"/>
    <row r="78" ht="20" customHeight="1">
      <c r="A78" s="6" t="inlineStr">
        <is>
          <t>5. STEP 7 · Limits and gates — rules R1–R10, in the order applied</t>
        </is>
      </c>
    </row>
    <row r="79" ht="15" customHeight="1">
      <c r="A79" s="12" t="inlineStr">
        <is>
          <t>ID</t>
        </is>
      </c>
      <c r="B79" s="12" t="inlineStr">
        <is>
          <t>Rule</t>
        </is>
      </c>
      <c r="C79" s="202" t="n"/>
      <c r="D79" s="202" t="n"/>
      <c r="E79" s="202" t="n"/>
      <c r="F79" s="202" t="n"/>
      <c r="G79" s="202" t="n"/>
      <c r="H79" s="202" t="n"/>
      <c r="I79" s="202" t="n"/>
      <c r="J79" s="202" t="n"/>
      <c r="K79" s="202" t="n"/>
      <c r="L79" s="201" t="n"/>
      <c r="M79" s="12" t="inlineStr">
        <is>
          <t>People here</t>
        </is>
      </c>
      <c r="N79" s="201" t="n"/>
    </row>
    <row r="80" ht="15" customHeight="1">
      <c r="A80" s="13" t="inlineStr">
        <is>
          <t>R1</t>
        </is>
      </c>
      <c r="B80" s="16" t="inlineStr">
        <is>
          <r>
            <rPr>
              <rFont val="Calibri"/>
              <b val="1"/>
              <sz val="10"/>
            </rPr>
            <t>Category rule:</t>
          </r>
          <r>
            <rPr>
              <rFont val="Calibri"/>
              <sz val="10"/>
            </rPr>
            <t xml:space="preserve"> interns and trainees in their first year at IRIS → A1; consultants → X1–X3 · outside the ladder</t>
          </r>
        </is>
      </c>
      <c r="C80" s="202" t="n"/>
      <c r="D80" s="202" t="n"/>
      <c r="E80" s="202" t="n"/>
      <c r="F80" s="202" t="n"/>
      <c r="G80" s="202" t="n"/>
      <c r="H80" s="202" t="n"/>
      <c r="I80" s="202" t="n"/>
      <c r="J80" s="202" t="n"/>
      <c r="K80" s="202" t="n"/>
      <c r="L80" s="201" t="n"/>
      <c r="M80" s="15" t="n">
        <v>0</v>
      </c>
      <c r="N80" s="201" t="n"/>
    </row>
    <row r="81" ht="15" customHeight="1">
      <c r="A81" s="13" t="inlineStr">
        <is>
          <t>R2</t>
        </is>
      </c>
      <c r="B81" s="16" t="inlineStr">
        <is>
          <r>
            <rPr>
              <rFont val="Calibri"/>
              <b val="1"/>
              <sz val="10"/>
            </rPr>
            <t>Provisional:</t>
          </r>
          <r>
            <rPr>
              <rFont val="Calibri"/>
              <sz val="10"/>
            </rPr>
            <t xml:space="preserve"> experience to be confirmed by HR — level kept until confirmed</t>
          </r>
        </is>
      </c>
      <c r="C81" s="202" t="n"/>
      <c r="D81" s="202" t="n"/>
      <c r="E81" s="202" t="n"/>
      <c r="F81" s="202" t="n"/>
      <c r="G81" s="202" t="n"/>
      <c r="H81" s="202" t="n"/>
      <c r="I81" s="202" t="n"/>
      <c r="J81" s="202" t="n"/>
      <c r="K81" s="202" t="n"/>
      <c r="L81" s="201" t="n"/>
      <c r="M81" s="15" t="n">
        <v>0</v>
      </c>
      <c r="N81" s="201" t="n"/>
    </row>
    <row r="82" ht="28" customHeight="1">
      <c r="A82" s="13" t="inlineStr">
        <is>
          <t>R3</t>
        </is>
      </c>
      <c r="B82" s="16" t="inlineStr">
        <is>
          <t>Weighted score on each band's own weights; the person sits in the highest band where the score holds, rounded to the nearest level</t>
        </is>
      </c>
      <c r="C82" s="202" t="n"/>
      <c r="D82" s="202" t="n"/>
      <c r="E82" s="202" t="n"/>
      <c r="F82" s="202" t="n"/>
      <c r="G82" s="202" t="n"/>
      <c r="H82" s="202" t="n"/>
      <c r="I82" s="202" t="n"/>
      <c r="J82" s="202" t="n"/>
      <c r="K82" s="202" t="n"/>
      <c r="L82" s="201" t="n"/>
      <c r="M82" s="15" t="n">
        <v>23</v>
      </c>
      <c r="N82" s="201" t="n"/>
    </row>
    <row r="83" ht="28" customHeight="1">
      <c r="A83" s="13" t="inlineStr">
        <is>
          <t>R4</t>
        </is>
      </c>
      <c r="B83" s="16"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83" s="202" t="n"/>
      <c r="D83" s="202" t="n"/>
      <c r="E83" s="202" t="n"/>
      <c r="F83" s="202" t="n"/>
      <c r="G83" s="202" t="n"/>
      <c r="H83" s="202" t="n"/>
      <c r="I83" s="202" t="n"/>
      <c r="J83" s="202" t="n"/>
      <c r="K83" s="202" t="n"/>
      <c r="L83" s="201" t="n"/>
      <c r="M83" s="15" t="n">
        <v>1</v>
      </c>
      <c r="N83" s="201" t="n"/>
    </row>
    <row r="84" ht="28" customHeight="1">
      <c r="A84" s="13" t="inlineStr">
        <is>
          <t>R5</t>
        </is>
      </c>
      <c r="B84" s="16"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84" s="202" t="n"/>
      <c r="D84" s="202" t="n"/>
      <c r="E84" s="202" t="n"/>
      <c r="F84" s="202" t="n"/>
      <c r="G84" s="202" t="n"/>
      <c r="H84" s="202" t="n"/>
      <c r="I84" s="202" t="n"/>
      <c r="J84" s="202" t="n"/>
      <c r="K84" s="202" t="n"/>
      <c r="L84" s="201" t="n"/>
      <c r="M84" s="15" t="n">
        <v>1</v>
      </c>
      <c r="N84" s="201" t="n"/>
    </row>
    <row r="85" ht="15" customHeight="1">
      <c r="A85" s="13" t="inlineStr">
        <is>
          <t>R6</t>
        </is>
      </c>
      <c r="B85" s="16" t="inlineStr">
        <is>
          <r>
            <rPr>
              <rFont val="Calibri"/>
              <b val="1"/>
              <sz val="10"/>
            </rPr>
            <t>Top of band:</t>
          </r>
          <r>
            <rPr>
              <rFont val="Calibri"/>
              <sz val="10"/>
            </rPr>
            <t xml:space="preserve"> the score passes the band but does not hold on the next band's weights</t>
          </r>
        </is>
      </c>
      <c r="C85" s="202" t="n"/>
      <c r="D85" s="202" t="n"/>
      <c r="E85" s="202" t="n"/>
      <c r="F85" s="202" t="n"/>
      <c r="G85" s="202" t="n"/>
      <c r="H85" s="202" t="n"/>
      <c r="I85" s="202" t="n"/>
      <c r="J85" s="202" t="n"/>
      <c r="K85" s="202" t="n"/>
      <c r="L85" s="201" t="n"/>
      <c r="M85" s="15" t="n">
        <v>0</v>
      </c>
      <c r="N85" s="201" t="n"/>
    </row>
    <row r="86" ht="15" customHeight="1">
      <c r="A86" s="13" t="inlineStr">
        <is>
          <t>R7</t>
        </is>
      </c>
      <c r="B86" s="16" t="inlineStr">
        <is>
          <r>
            <rPr>
              <rFont val="Calibri"/>
              <b val="1"/>
              <sz val="10"/>
            </rPr>
            <t>Band A experience rule:</t>
          </r>
          <r>
            <rPr>
              <rFont val="Calibri"/>
              <sz val="10"/>
            </rPr>
            <t xml:space="preserve"> under 1 yr → A2 at most; 2+ yrs → A3 · still subject to R4; between 1 and 2 yrs the score decides</t>
          </r>
        </is>
      </c>
      <c r="C86" s="202" t="n"/>
      <c r="D86" s="202" t="n"/>
      <c r="E86" s="202" t="n"/>
      <c r="F86" s="202" t="n"/>
      <c r="G86" s="202" t="n"/>
      <c r="H86" s="202" t="n"/>
      <c r="I86" s="202" t="n"/>
      <c r="J86" s="202" t="n"/>
      <c r="K86" s="202" t="n"/>
      <c r="L86" s="201" t="n"/>
      <c r="M86" s="15" t="n">
        <v>3</v>
      </c>
      <c r="N86" s="201" t="n"/>
    </row>
    <row r="87" ht="15" customHeight="1">
      <c r="A87" s="13" t="inlineStr">
        <is>
          <t>R8</t>
        </is>
      </c>
      <c r="B87" s="16" t="inlineStr">
        <is>
          <r>
            <rPr>
              <rFont val="Calibri"/>
              <b val="1"/>
              <sz val="10"/>
            </rPr>
            <t>Experience limit:</t>
          </r>
          <r>
            <rPr>
              <rFont val="Calibri"/>
              <sz val="10"/>
            </rPr>
            <t xml:space="preserve"> in Bands A–B at most one level above the experience-fit level · people managers exempt — structure is the proof</t>
          </r>
        </is>
      </c>
      <c r="C87" s="202" t="n"/>
      <c r="D87" s="202" t="n"/>
      <c r="E87" s="202" t="n"/>
      <c r="F87" s="202" t="n"/>
      <c r="G87" s="202" t="n"/>
      <c r="H87" s="202" t="n"/>
      <c r="I87" s="202" t="n"/>
      <c r="J87" s="202" t="n"/>
      <c r="K87" s="202" t="n"/>
      <c r="L87" s="201" t="n"/>
      <c r="M87" s="15" t="n">
        <v>0</v>
      </c>
      <c r="N87" s="201" t="n"/>
    </row>
    <row r="88" ht="15" customHeight="1">
      <c r="A88" s="13" t="inlineStr">
        <is>
          <t>R9</t>
        </is>
      </c>
      <c r="B88" s="16" t="inlineStr">
        <is>
          <r>
            <rPr>
              <rFont val="Calibri"/>
              <b val="1"/>
              <sz val="10"/>
            </rPr>
            <t>Track minimum:</t>
          </r>
          <r>
            <rPr>
              <rFont val="Calibri"/>
              <sz val="10"/>
            </rPr>
            <t xml:space="preserve"> POD Leads and People Managers sit at B1 or above</t>
          </r>
        </is>
      </c>
      <c r="C88" s="202" t="n"/>
      <c r="D88" s="202" t="n"/>
      <c r="E88" s="202" t="n"/>
      <c r="F88" s="202" t="n"/>
      <c r="G88" s="202" t="n"/>
      <c r="H88" s="202" t="n"/>
      <c r="I88" s="202" t="n"/>
      <c r="J88" s="202" t="n"/>
      <c r="K88" s="202" t="n"/>
      <c r="L88" s="201" t="n"/>
      <c r="M88" s="15" t="n">
        <v>0</v>
      </c>
      <c r="N88" s="201" t="n"/>
    </row>
    <row r="89" ht="67" customHeight="1">
      <c r="A89" s="13" t="inlineStr">
        <is>
          <t>R10</t>
        </is>
      </c>
      <c r="B89" s="16"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89" s="202" t="n"/>
      <c r="D89" s="202" t="n"/>
      <c r="E89" s="202" t="n"/>
      <c r="F89" s="202" t="n"/>
      <c r="G89" s="202" t="n"/>
      <c r="H89" s="202" t="n"/>
      <c r="I89" s="202" t="n"/>
      <c r="J89" s="202" t="n"/>
      <c r="K89" s="202" t="n"/>
      <c r="L89" s="201" t="n"/>
      <c r="M89" s="15" t="n">
        <v>0</v>
      </c>
      <c r="N89" s="201" t="n"/>
    </row>
    <row r="90" ht="28" customHeight="1">
      <c r="A90" s="13" t="inlineStr">
        <is>
          <t>R11</t>
        </is>
      </c>
      <c r="B90" s="16" t="inlineStr">
        <is>
          <r>
            <rPr>
              <rFont val="Calibri"/>
              <b val="1"/>
              <sz val="10"/>
            </rPr>
            <t>Leadership decision:</t>
          </r>
          <r>
            <rPr>
              <rFont val="Calibri"/>
              <sz val="10"/>
            </rPr>
            <t xml:space="preserve"> the level is set by the approved leadership structure · validated input in inputs/overrides.csv, field 'Approved level'</t>
          </r>
        </is>
      </c>
      <c r="C90" s="202" t="n"/>
      <c r="D90" s="202" t="n"/>
      <c r="E90" s="202" t="n"/>
      <c r="F90" s="202" t="n"/>
      <c r="G90" s="202" t="n"/>
      <c r="H90" s="202" t="n"/>
      <c r="I90" s="202" t="n"/>
      <c r="J90" s="202" t="n"/>
      <c r="K90" s="202" t="n"/>
      <c r="L90" s="201" t="n"/>
      <c r="M90" s="15" t="n">
        <v>0</v>
      </c>
      <c r="N90" s="201" t="n"/>
    </row>
    <row r="91" ht="15" customHeight="1">
      <c r="A91" s="13" t="inlineStr">
        <is>
          <t>R12</t>
        </is>
      </c>
      <c r="B91" s="16" t="inlineStr">
        <is>
          <t>Reporting-line cap in Bands D–E: no one sits above their reporting manager's level</t>
        </is>
      </c>
      <c r="C91" s="202" t="n"/>
      <c r="D91" s="202" t="n"/>
      <c r="E91" s="202" t="n"/>
      <c r="F91" s="202" t="n"/>
      <c r="G91" s="202" t="n"/>
      <c r="H91" s="202" t="n"/>
      <c r="I91" s="202" t="n"/>
      <c r="J91" s="202" t="n"/>
      <c r="K91" s="202" t="n"/>
      <c r="L91" s="201" t="n"/>
      <c r="M91" s="15" t="n">
        <v>0</v>
      </c>
      <c r="N91" s="201" t="n"/>
    </row>
    <row r="92" ht="15" customHeight="1">
      <c r="A92" s="13" t="inlineStr">
        <is>
          <t>R13</t>
        </is>
      </c>
      <c r="B92" s="16" t="inlineStr">
        <is>
          <r>
            <rPr>
              <rFont val="Calibri"/>
              <b val="1"/>
              <sz val="10"/>
            </rPr>
            <t>Reports to the top:</t>
          </r>
          <r>
            <rPr>
              <rFont val="Calibri"/>
              <sz val="10"/>
            </rPr>
            <t xml:space="preserve"> anyone in Band D who reports directly to an E1 or E2 sits at D2</t>
          </r>
        </is>
      </c>
      <c r="C92" s="202" t="n"/>
      <c r="D92" s="202" t="n"/>
      <c r="E92" s="202" t="n"/>
      <c r="F92" s="202" t="n"/>
      <c r="G92" s="202" t="n"/>
      <c r="H92" s="202" t="n"/>
      <c r="I92" s="202" t="n"/>
      <c r="J92" s="202" t="n"/>
      <c r="K92" s="202" t="n"/>
      <c r="L92" s="201" t="n"/>
      <c r="M92" s="15" t="n">
        <v>0</v>
      </c>
      <c r="N92" s="201" t="n"/>
    </row>
    <row r="93" ht="15" customHeight="1"/>
    <row r="94" ht="20" customHeight="1">
      <c r="A94" s="6" t="inlineStr">
        <is>
          <t>6. STEP 8 · Levels and titles · bottom to top</t>
        </is>
      </c>
    </row>
    <row r="95" ht="28" customHeight="1">
      <c r="A95" s="12" t="inlineStr">
        <is>
          <t>Band</t>
        </is>
      </c>
      <c r="B95" s="12" t="inlineStr">
        <is>
          <t>Level</t>
        </is>
      </c>
      <c r="C95" s="12" t="inlineStr">
        <is>
          <t>IC title</t>
        </is>
      </c>
      <c r="D95" s="12" t="inlineStr">
        <is>
          <t>Manager title</t>
        </is>
      </c>
      <c r="E95" s="201" t="n"/>
      <c r="F95" s="12" t="inlineStr">
        <is>
          <t>What the role owns</t>
        </is>
      </c>
      <c r="G95" s="202" t="n"/>
      <c r="H95" s="201" t="n"/>
      <c r="I95" s="12" t="inlineStr">
        <is>
          <t>Experience · yrs</t>
        </is>
      </c>
      <c r="J95" s="12" t="inlineStr">
        <is>
          <t>Span</t>
        </is>
      </c>
      <c r="K95" s="12" t="inlineStr">
        <is>
          <t>Radford / Mercer</t>
        </is>
      </c>
      <c r="L95" s="12" t="inlineStr">
        <is>
          <t>SFIA</t>
        </is>
      </c>
      <c r="M95" s="12" t="inlineStr">
        <is>
          <t>IC / POD / Mgr</t>
        </is>
      </c>
      <c r="N95" s="12" t="inlineStr">
        <is>
          <t>Total</t>
        </is>
      </c>
    </row>
    <row r="96" ht="41" customHeight="1">
      <c r="A96" s="26" t="inlineStr">
        <is>
          <t>A</t>
        </is>
      </c>
      <c r="B96" s="26" t="inlineStr">
        <is>
          <t>A1</t>
        </is>
      </c>
      <c r="C96" s="139" t="inlineStr">
        <is>
          <t>Intern / Trainee</t>
        </is>
      </c>
      <c r="D96" s="139" t="inlineStr">
        <is>
          <t>common path</t>
        </is>
      </c>
      <c r="E96" s="201" t="n"/>
      <c r="F96" s="139" t="inlineStr">
        <is>
          <t>Learning the role; all work reviewed</t>
        </is>
      </c>
      <c r="G96" s="202" t="n"/>
      <c r="H96" s="201" t="n"/>
      <c r="I96" s="26" t="inlineStr">
        <is>
          <t>0 yrs · fresher / intern</t>
        </is>
      </c>
      <c r="J96" s="139" t="inlineStr">
        <is>
          <t>No direct reports</t>
        </is>
      </c>
      <c r="K96" s="26" t="inlineStr">
        <is>
          <t>Entry / P1 · intern</t>
        </is>
      </c>
      <c r="L96" s="26" t="inlineStr">
        <is>
          <t>1 Follow</t>
        </is>
      </c>
      <c r="M96" s="26" t="inlineStr">
        <is>
          <t>0 / 0 / 0</t>
        </is>
      </c>
      <c r="N96" s="26" t="n">
        <v>0</v>
      </c>
    </row>
    <row r="97" ht="28" customHeight="1">
      <c r="A97" s="26" t="inlineStr">
        <is>
          <t>A</t>
        </is>
      </c>
      <c r="B97" s="26" t="inlineStr">
        <is>
          <t>A2</t>
        </is>
      </c>
      <c r="C97" s="139" t="inlineStr">
        <is>
          <t>Associate</t>
        </is>
      </c>
      <c r="D97" s="139" t="inlineStr">
        <is>
          <t>common path</t>
        </is>
      </c>
      <c r="E97" s="201" t="n"/>
      <c r="F97" s="139" t="inlineStr">
        <is>
          <t>Standard work delivered independently</t>
        </is>
      </c>
      <c r="G97" s="202" t="n"/>
      <c r="H97" s="201" t="n"/>
      <c r="I97" s="26" t="inlineStr">
        <is>
          <t>0–2 yrs</t>
        </is>
      </c>
      <c r="J97" s="139" t="inlineStr">
        <is>
          <t>No direct reports</t>
        </is>
      </c>
      <c r="K97" s="26" t="inlineStr">
        <is>
          <t>P1–P2</t>
        </is>
      </c>
      <c r="L97" s="26" t="inlineStr">
        <is>
          <t>2 Assist</t>
        </is>
      </c>
      <c r="M97" s="26" t="inlineStr">
        <is>
          <t>1 / 0 / 0</t>
        </is>
      </c>
      <c r="N97" s="26" t="n">
        <v>1</v>
      </c>
    </row>
    <row r="98" ht="54" customHeight="1">
      <c r="A98" s="26" t="inlineStr">
        <is>
          <t>A</t>
        </is>
      </c>
      <c r="B98" s="26" t="inlineStr">
        <is>
          <t>A3</t>
        </is>
      </c>
      <c r="C98" s="139" t="inlineStr">
        <is>
          <t>Senior Associate</t>
        </is>
      </c>
      <c r="D98" s="139" t="inlineStr">
        <is>
          <t>common path</t>
        </is>
      </c>
      <c r="E98" s="201" t="n"/>
      <c r="F98" s="139" t="inlineStr">
        <is>
          <t>Varied work; reviews juniors; go-to for a process</t>
        </is>
      </c>
      <c r="G98" s="202" t="n"/>
      <c r="H98" s="201" t="n"/>
      <c r="I98" s="26" t="inlineStr">
        <is>
          <t>2–4 yrs</t>
        </is>
      </c>
      <c r="J98" s="139" t="inlineStr">
        <is>
          <t>None · guides 1–3 juniors informally</t>
        </is>
      </c>
      <c r="K98" s="26" t="inlineStr">
        <is>
          <t>P2</t>
        </is>
      </c>
      <c r="L98" s="26" t="inlineStr">
        <is>
          <t>3 Apply</t>
        </is>
      </c>
      <c r="M98" s="26" t="inlineStr">
        <is>
          <t>15 / 0 / 0</t>
        </is>
      </c>
      <c r="N98" s="26" t="n">
        <v>15</v>
      </c>
    </row>
    <row r="99" ht="41" customHeight="1">
      <c r="A99" s="23" t="inlineStr">
        <is>
          <t>B</t>
        </is>
      </c>
      <c r="B99" s="23" t="inlineStr">
        <is>
          <t>B1</t>
        </is>
      </c>
      <c r="C99" s="21" t="inlineStr">
        <is>
          <t>Specialist</t>
        </is>
      </c>
      <c r="D99" s="21" t="inlineStr">
        <is>
          <t>Team Lead</t>
        </is>
      </c>
      <c r="E99" s="201" t="n"/>
      <c r="F99" s="21" t="inlineStr">
        <is>
          <t>A domain / module, or a small team</t>
        </is>
      </c>
      <c r="G99" s="202" t="n"/>
      <c r="H99" s="201" t="n"/>
      <c r="I99" s="23" t="inlineStr">
        <is>
          <t>4–7 yrs</t>
        </is>
      </c>
      <c r="J99" s="21" t="inlineStr">
        <is>
          <r>
            <rPr>
              <rFont val="Calibri"/>
              <b val="1"/>
              <sz val="10"/>
            </rPr>
            <t>IC:</t>
          </r>
          <r>
            <rPr>
              <rFont val="Calibri"/>
              <sz val="10"/>
            </rPr>
            <t xml:space="preserve"> none · Team Lead: 3–5</t>
          </r>
        </is>
      </c>
      <c r="K99" s="23" t="inlineStr">
        <is>
          <t>P3 / M2</t>
        </is>
      </c>
      <c r="L99" s="23" t="inlineStr">
        <is>
          <t>4 Enable</t>
        </is>
      </c>
      <c r="M99" s="23" t="inlineStr">
        <is>
          <t>3 / 0 / 0</t>
        </is>
      </c>
      <c r="N99" s="23" t="n">
        <v>3</v>
      </c>
    </row>
    <row r="100" ht="80" customHeight="1">
      <c r="A100" s="23" t="inlineStr">
        <is>
          <t>B</t>
        </is>
      </c>
      <c r="B100" s="23" t="inlineStr">
        <is>
          <t>B2</t>
        </is>
      </c>
      <c r="C100" s="21" t="inlineStr">
        <is>
          <t>Senior Specialist</t>
        </is>
      </c>
      <c r="D100" s="21" t="inlineStr">
        <is>
          <t>Manager</t>
        </is>
      </c>
      <c r="E100" s="201" t="n"/>
      <c r="F100" s="21" t="inlineStr">
        <is>
          <t>Deep domain expertise, or one team</t>
        </is>
      </c>
      <c r="G100" s="202" t="n"/>
      <c r="H100" s="201" t="n"/>
      <c r="I100" s="23" t="inlineStr">
        <is>
          <t>6–9 yrs</t>
        </is>
      </c>
      <c r="J100" s="21" t="inlineStr">
        <is>
          <r>
            <rPr>
              <rFont val="Calibri"/>
              <b val="1"/>
              <sz val="10"/>
            </rPr>
            <t>IC:</t>
          </r>
          <r>
            <rPr>
              <rFont val="Calibri"/>
              <sz val="10"/>
            </rPr>
            <t xml:space="preserve"> none · People: 6–8 knowledge work, 8–12 standardised delivery</t>
          </r>
        </is>
      </c>
      <c r="K100" s="23" t="inlineStr">
        <is>
          <t>P4 / M3</t>
        </is>
      </c>
      <c r="L100" s="23" t="inlineStr">
        <is>
          <t>4–5</t>
        </is>
      </c>
      <c r="M100" s="23" t="inlineStr">
        <is>
          <t>0 / 0 / 3</t>
        </is>
      </c>
      <c r="N100" s="23" t="n">
        <v>3</v>
      </c>
    </row>
    <row r="101" ht="54" customHeight="1">
      <c r="A101" s="23" t="inlineStr">
        <is>
          <t>B</t>
        </is>
      </c>
      <c r="B101" s="23" t="inlineStr">
        <is>
          <t>B3</t>
        </is>
      </c>
      <c r="C101" s="21" t="inlineStr">
        <is>
          <t>Lead Specialist</t>
        </is>
      </c>
      <c r="D101" s="21" t="inlineStr">
        <is>
          <t>Senior Manager</t>
        </is>
      </c>
      <c r="E101" s="201" t="n"/>
      <c r="F101" s="21" t="inlineStr">
        <is>
          <t>A practice, or several teams through team leads</t>
        </is>
      </c>
      <c r="G101" s="202" t="n"/>
      <c r="H101" s="201" t="n"/>
      <c r="I101" s="23" t="inlineStr">
        <is>
          <t>8–12 yrs</t>
        </is>
      </c>
      <c r="J101" s="21" t="inlineStr">
        <is>
          <r>
            <rPr>
              <rFont val="Calibri"/>
              <b val="1"/>
              <sz val="10"/>
            </rPr>
            <t>IC:</t>
          </r>
          <r>
            <rPr>
              <rFont val="Calibri"/>
              <sz val="10"/>
            </rPr>
            <t xml:space="preserve"> none · People: 5–8 incl. team leads</t>
          </r>
        </is>
      </c>
      <c r="K101" s="23" t="inlineStr">
        <is>
          <t>P5 / M4</t>
        </is>
      </c>
      <c r="L101" s="23" t="inlineStr">
        <is>
          <t>5 Ensure, advise</t>
        </is>
      </c>
      <c r="M101" s="23" t="inlineStr">
        <is>
          <t>1 / 0 / 0</t>
        </is>
      </c>
      <c r="N101" s="23" t="n">
        <v>1</v>
      </c>
    </row>
    <row r="102" ht="132" customHeight="1">
      <c r="A102" s="30" t="inlineStr">
        <is>
          <t>B+</t>
        </is>
      </c>
      <c r="B102" s="30" t="inlineStr">
        <is>
          <t>B+</t>
        </is>
      </c>
      <c r="C102" s="194" t="inlineStr">
        <is>
          <t>Practice Lead · Player-Coach</t>
        </is>
      </c>
      <c r="D102" s="194" t="inlineStr">
        <is>
          <t>Practice Lead · Player-Coach</t>
        </is>
      </c>
      <c r="E102" s="201" t="n"/>
      <c r="F102" s="194" t="inlineStr">
        <is>
          <r>
            <rPr>
              <rFont val="Calibri"/>
              <b val="1"/>
              <sz val="10"/>
            </rPr>
            <t>A practice or product area:</t>
          </r>
          <r>
            <rPr>
              <rFont val="Calibri"/>
              <sz val="10"/>
            </rPr>
            <t xml:space="preserve"> does the hardest hands-on work itself and leads 3–6 people · player-coach</t>
          </r>
        </is>
      </c>
      <c r="G102" s="202" t="n"/>
      <c r="H102" s="201" t="n"/>
      <c r="I102" s="30" t="inlineStr">
        <is>
          <t>9–14 yrs</t>
        </is>
      </c>
      <c r="J102" s="194" t="inlineStr">
        <is>
          <t>3–6 direct reports with ≥ 40% of time on own delivery · McKinsey player/coach 3–5; Google Tech Lead Manager</t>
        </is>
      </c>
      <c r="K102" s="30" t="inlineStr">
        <is>
          <t>P5–P6 / M4–M5</t>
        </is>
      </c>
      <c r="L102" s="30" t="inlineStr">
        <is>
          <t>5 Ensure, advise</t>
        </is>
      </c>
      <c r="M102" s="30" t="inlineStr">
        <is>
          <t>0 / 0 / 0</t>
        </is>
      </c>
      <c r="N102" s="30" t="n">
        <v>0</v>
      </c>
    </row>
    <row r="103" ht="28" customHeight="1">
      <c r="A103" s="33" t="inlineStr">
        <is>
          <t>C</t>
        </is>
      </c>
      <c r="B103" s="33" t="inlineStr">
        <is>
          <t>C1</t>
        </is>
      </c>
      <c r="C103" s="195" t="inlineStr">
        <is>
          <t>Principal</t>
        </is>
      </c>
      <c r="D103" s="195" t="inlineStr">
        <is>
          <t>Associate Head</t>
        </is>
      </c>
      <c r="E103" s="201" t="n"/>
      <c r="F103" s="195" t="inlineStr">
        <is>
          <t>A sub-function, or principal authority across products</t>
        </is>
      </c>
      <c r="G103" s="202" t="n"/>
      <c r="H103" s="201" t="n"/>
      <c r="I103" s="33" t="inlineStr">
        <is>
          <t>10–14 yrs</t>
        </is>
      </c>
      <c r="J103" s="195" t="inlineStr">
        <is>
          <t>5–8, mostly managers</t>
        </is>
      </c>
      <c r="K103" s="33" t="inlineStr">
        <is>
          <t>P6 / M5</t>
        </is>
      </c>
      <c r="L103" s="33" t="inlineStr">
        <is>
          <t>5–6</t>
        </is>
      </c>
      <c r="M103" s="33" t="inlineStr">
        <is>
          <t>0 / 0 / 0</t>
        </is>
      </c>
      <c r="N103" s="33" t="n">
        <v>0</v>
      </c>
    </row>
    <row r="104" ht="41" customHeight="1">
      <c r="A104" s="33" t="inlineStr">
        <is>
          <t>C</t>
        </is>
      </c>
      <c r="B104" s="33" t="inlineStr">
        <is>
          <t>C2</t>
        </is>
      </c>
      <c r="C104" s="195" t="inlineStr">
        <is>
          <t>Senior Principal / Architect</t>
        </is>
      </c>
      <c r="D104" s="195" t="inlineStr">
        <is>
          <t>Head of Function</t>
        </is>
      </c>
      <c r="E104" s="201" t="n"/>
      <c r="F104" s="195" t="inlineStr">
        <is>
          <t>A function or department, or a company-wide discipline</t>
        </is>
      </c>
      <c r="G104" s="202" t="n"/>
      <c r="H104" s="201" t="n"/>
      <c r="I104" s="33" t="inlineStr">
        <is>
          <t>12–17 yrs</t>
        </is>
      </c>
      <c r="J104" s="195" t="inlineStr">
        <is>
          <t>5–8 managers / associate heads</t>
        </is>
      </c>
      <c r="K104" s="33" t="inlineStr">
        <is>
          <t>P7 / M6</t>
        </is>
      </c>
      <c r="L104" s="33" t="inlineStr">
        <is>
          <t>6 Initiate, influence</t>
        </is>
      </c>
      <c r="M104" s="33" t="inlineStr">
        <is>
          <t>0 / 0 / 0</t>
        </is>
      </c>
      <c r="N104" s="33" t="n">
        <v>0</v>
      </c>
    </row>
    <row r="105" ht="80" customHeight="1">
      <c r="A105" s="36" t="inlineStr">
        <is>
          <t>C+</t>
        </is>
      </c>
      <c r="B105" s="36" t="inlineStr">
        <is>
          <t>C+</t>
        </is>
      </c>
      <c r="C105" s="196" t="inlineStr">
        <is>
          <t>Group Head · Player-Coach</t>
        </is>
      </c>
      <c r="D105" s="196" t="inlineStr">
        <is>
          <t>Group Head · Player-Coach</t>
        </is>
      </c>
      <c r="E105" s="201" t="n"/>
      <c r="F105" s="196" t="inlineStr">
        <is>
          <r>
            <rPr>
              <rFont val="Calibri"/>
              <b val="1"/>
              <sz val="10"/>
            </rPr>
            <t>A function or group of practices:</t>
          </r>
          <r>
            <rPr>
              <rFont val="Calibri"/>
              <sz val="10"/>
            </rPr>
            <t xml:space="preserve"> answers for its results and personally delivers or sells the most critical work · player-coach</t>
          </r>
        </is>
      </c>
      <c r="G105" s="202" t="n"/>
      <c r="H105" s="201" t="n"/>
      <c r="I105" s="36" t="inlineStr">
        <is>
          <t>13–18 yrs</t>
        </is>
      </c>
      <c r="J105" s="196" t="inlineStr">
        <is>
          <t>4–8 managers / leads with ≥ 25% of time on own principal delivery</t>
        </is>
      </c>
      <c r="K105" s="36" t="inlineStr">
        <is>
          <t>M6 / E1</t>
        </is>
      </c>
      <c r="L105" s="36" t="inlineStr">
        <is>
          <t>6 Initiate, influence</t>
        </is>
      </c>
      <c r="M105" s="36" t="inlineStr">
        <is>
          <t>0 / 0 / 0</t>
        </is>
      </c>
      <c r="N105" s="36" t="n">
        <v>0</v>
      </c>
    </row>
    <row r="106" ht="54" customHeight="1">
      <c r="A106" s="39" t="inlineStr">
        <is>
          <t>D</t>
        </is>
      </c>
      <c r="B106" s="39" t="inlineStr">
        <is>
          <t>D1</t>
        </is>
      </c>
      <c r="C106" s="197" t="inlineStr">
        <is>
          <t>Chief Specialist / Distinguished Principal</t>
        </is>
      </c>
      <c r="D106" s="197" t="inlineStr">
        <is>
          <t>Associate Vice President / Business Head</t>
        </is>
      </c>
      <c r="E106" s="201" t="n"/>
      <c r="F106" s="197" t="inlineStr">
        <is>
          <t>A business line P&amp;L, region or enterprise function</t>
        </is>
      </c>
      <c r="G106" s="202" t="n"/>
      <c r="H106" s="201" t="n"/>
      <c r="I106" s="39" t="inlineStr">
        <is>
          <t>15–20 yrs</t>
        </is>
      </c>
      <c r="J106" s="197" t="inlineStr">
        <is>
          <t>5–8 heads</t>
        </is>
      </c>
      <c r="K106" s="39" t="inlineStr">
        <is>
          <t>E1–E2</t>
        </is>
      </c>
      <c r="L106" s="39" t="inlineStr">
        <is>
          <t>6–7</t>
        </is>
      </c>
      <c r="M106" s="39" t="inlineStr">
        <is>
          <t>0 / 0 / 0</t>
        </is>
      </c>
      <c r="N106" s="39" t="n">
        <v>0</v>
      </c>
    </row>
    <row r="107" ht="28" customHeight="1">
      <c r="A107" s="39" t="inlineStr">
        <is>
          <t>D</t>
        </is>
      </c>
      <c r="B107" s="39" t="inlineStr">
        <is>
          <t>D2</t>
        </is>
      </c>
      <c r="C107" s="197" t="inlineStr">
        <is>
          <t>—</t>
        </is>
      </c>
      <c r="D107" s="197" t="inlineStr">
        <is>
          <t>Vice President</t>
        </is>
      </c>
      <c r="E107" s="201" t="n"/>
      <c r="F107" s="197" t="inlineStr">
        <is>
          <t>Several business lines or an executive-scope enterprise function</t>
        </is>
      </c>
      <c r="G107" s="202" t="n"/>
      <c r="H107" s="201" t="n"/>
      <c r="I107" s="39" t="inlineStr">
        <is>
          <t>18–24 yrs</t>
        </is>
      </c>
      <c r="J107" s="197" t="inlineStr">
        <is>
          <t>5–8 AVPs / heads</t>
        </is>
      </c>
      <c r="K107" s="39" t="inlineStr">
        <is>
          <t>E3–E4</t>
        </is>
      </c>
      <c r="L107" s="39" t="inlineStr">
        <is>
          <t>7 Set strategy</t>
        </is>
      </c>
      <c r="M107" s="39" t="inlineStr">
        <is>
          <t>0 / 0 / 0</t>
        </is>
      </c>
      <c r="N107" s="39" t="n">
        <v>0</v>
      </c>
    </row>
    <row r="108" ht="28" customHeight="1">
      <c r="A108" s="42" t="inlineStr">
        <is>
          <t>E</t>
        </is>
      </c>
      <c r="B108" s="42" t="inlineStr">
        <is>
          <t>E1</t>
        </is>
      </c>
      <c r="C108" s="198" t="inlineStr">
        <is>
          <t>—</t>
        </is>
      </c>
      <c r="D108" s="198" t="inlineStr">
        <is>
          <t>CXO / President</t>
        </is>
      </c>
      <c r="E108" s="201" t="n"/>
      <c r="F108" s="198" t="inlineStr">
        <is>
          <t>An enterprise-wide function</t>
        </is>
      </c>
      <c r="G108" s="202" t="n"/>
      <c r="H108" s="201" t="n"/>
      <c r="I108" s="42" t="inlineStr">
        <is>
          <t>20+ yrs</t>
        </is>
      </c>
      <c r="J108" s="198" t="inlineStr">
        <is>
          <t>5–8 function heads</t>
        </is>
      </c>
      <c r="K108" s="42" t="inlineStr">
        <is>
          <t>E5</t>
        </is>
      </c>
      <c r="L108" s="42" t="inlineStr">
        <is>
          <t>7</t>
        </is>
      </c>
      <c r="M108" s="42" t="inlineStr">
        <is>
          <t>0 / 0 / 0</t>
        </is>
      </c>
      <c r="N108" s="42" t="n">
        <v>0</v>
      </c>
    </row>
    <row r="109" ht="28" customHeight="1">
      <c r="A109" s="42" t="inlineStr">
        <is>
          <t>E</t>
        </is>
      </c>
      <c r="B109" s="42" t="inlineStr">
        <is>
          <t>E2</t>
        </is>
      </c>
      <c r="C109" s="198" t="inlineStr">
        <is>
          <t>—</t>
        </is>
      </c>
      <c r="D109" s="198" t="inlineStr">
        <is>
          <t>Chief Executive Officer</t>
        </is>
      </c>
      <c r="E109" s="201" t="n"/>
      <c r="F109" s="198" t="inlineStr">
        <is>
          <t>The enterprise</t>
        </is>
      </c>
      <c r="G109" s="202" t="n"/>
      <c r="H109" s="201" t="n"/>
      <c r="I109" s="42" t="inlineStr">
        <is>
          <t>20+ yrs</t>
        </is>
      </c>
      <c r="J109" s="198" t="inlineStr">
        <is>
          <t>Executive team</t>
        </is>
      </c>
      <c r="K109" s="42" t="inlineStr">
        <is>
          <t>E6</t>
        </is>
      </c>
      <c r="L109" s="42" t="inlineStr">
        <is>
          <t>7</t>
        </is>
      </c>
      <c r="M109" s="42" t="inlineStr">
        <is>
          <t>0 / 0 / 0</t>
        </is>
      </c>
      <c r="N109" s="42" t="n">
        <v>0</v>
      </c>
    </row>
    <row r="110" ht="28" customHeight="1">
      <c r="A110" s="45" t="inlineStr">
        <is>
          <t>X</t>
        </is>
      </c>
      <c r="B110" s="45" t="inlineStr">
        <is>
          <t>X1</t>
        </is>
      </c>
      <c r="C110" s="136" t="inlineStr">
        <is>
          <t>Associate Consultant</t>
        </is>
      </c>
      <c r="D110" s="136" t="inlineStr">
        <is>
          <t>Outside the employee ladder</t>
        </is>
      </c>
      <c r="E110" s="201" t="n"/>
      <c r="F110" s="136" t="inlineStr">
        <is>
          <t>Defined deliverables under a statement of work · ≈ A2–A3</t>
        </is>
      </c>
      <c r="G110" s="202" t="n"/>
      <c r="H110" s="201" t="n"/>
      <c r="I110" s="45" t="inlineStr">
        <is>
          <t>0–5 yrs</t>
        </is>
      </c>
      <c r="J110" s="136" t="inlineStr">
        <is>
          <t>Not counted in spans</t>
        </is>
      </c>
      <c r="K110" s="45" t="inlineStr">
        <is>
          <t>Contractor</t>
        </is>
      </c>
      <c r="L110" s="45" t="inlineStr">
        <is>
          <t>—</t>
        </is>
      </c>
      <c r="M110" s="45" t="inlineStr">
        <is>
          <t>0</t>
        </is>
      </c>
      <c r="N110" s="45" t="n">
        <v>0</v>
      </c>
    </row>
    <row r="111" ht="28" customHeight="1">
      <c r="A111" s="45" t="inlineStr">
        <is>
          <t>X</t>
        </is>
      </c>
      <c r="B111" s="45" t="inlineStr">
        <is>
          <t>X2</t>
        </is>
      </c>
      <c r="C111" s="136" t="inlineStr">
        <is>
          <t>Consultant</t>
        </is>
      </c>
      <c r="D111" s="136" t="inlineStr">
        <is>
          <t>Outside the employee ladder</t>
        </is>
      </c>
      <c r="E111" s="201" t="n"/>
      <c r="F111" s="136" t="inlineStr">
        <is>
          <t>Specialist scope or workstream · ≈ B1–B2</t>
        </is>
      </c>
      <c r="G111" s="202" t="n"/>
      <c r="H111" s="201" t="n"/>
      <c r="I111" s="45" t="inlineStr">
        <is>
          <t>4–10 yrs</t>
        </is>
      </c>
      <c r="J111" s="136" t="inlineStr">
        <is>
          <t>Not counted in spans</t>
        </is>
      </c>
      <c r="K111" s="45" t="inlineStr">
        <is>
          <t>Contractor</t>
        </is>
      </c>
      <c r="L111" s="45" t="inlineStr">
        <is>
          <t>—</t>
        </is>
      </c>
      <c r="M111" s="45" t="inlineStr">
        <is>
          <t>0</t>
        </is>
      </c>
      <c r="N111" s="45" t="n">
        <v>0</v>
      </c>
    </row>
    <row r="112" ht="41" customHeight="1">
      <c r="A112" s="45" t="inlineStr">
        <is>
          <t>X</t>
        </is>
      </c>
      <c r="B112" s="45" t="inlineStr">
        <is>
          <t>X3</t>
        </is>
      </c>
      <c r="C112" s="136" t="inlineStr">
        <is>
          <t>Senior Consultant / Advisor</t>
        </is>
      </c>
      <c r="D112" s="136" t="inlineStr">
        <is>
          <t>Outside the employee ladder</t>
        </is>
      </c>
      <c r="E112" s="201" t="n"/>
      <c r="F112" s="136" t="inlineStr">
        <is>
          <t>Expert or advisory scope · ≈ B3–C2</t>
        </is>
      </c>
      <c r="G112" s="202" t="n"/>
      <c r="H112" s="201" t="n"/>
      <c r="I112" s="45" t="inlineStr">
        <is>
          <t>10+ yrs</t>
        </is>
      </c>
      <c r="J112" s="136" t="inlineStr">
        <is>
          <t>Not counted in spans</t>
        </is>
      </c>
      <c r="K112" s="45" t="inlineStr">
        <is>
          <t>Contractor</t>
        </is>
      </c>
      <c r="L112" s="45" t="inlineStr">
        <is>
          <t>—</t>
        </is>
      </c>
      <c r="M112" s="45" t="inlineStr">
        <is>
          <t>0</t>
        </is>
      </c>
      <c r="N112" s="45" t="n">
        <v>0</v>
      </c>
    </row>
    <row r="113" ht="15" customHeight="1"/>
    <row r="114" ht="15" customHeight="1">
      <c r="A114" s="12" t="inlineStr">
        <is>
          <t>Department × level</t>
        </is>
      </c>
      <c r="B114" s="202" t="n"/>
      <c r="C114" s="202" t="n"/>
      <c r="D114" s="202" t="n"/>
      <c r="E114" s="202" t="n"/>
      <c r="F114" s="202" t="n"/>
      <c r="G114" s="202" t="n"/>
      <c r="H114" s="201" t="n"/>
      <c r="I114" s="12" t="inlineStr">
        <is>
          <t>A2</t>
        </is>
      </c>
      <c r="J114" s="12" t="inlineStr">
        <is>
          <t>A3</t>
        </is>
      </c>
      <c r="K114" s="12" t="inlineStr">
        <is>
          <t>B1</t>
        </is>
      </c>
      <c r="L114" s="12" t="inlineStr">
        <is>
          <t>B2</t>
        </is>
      </c>
      <c r="M114" s="12" t="inlineStr">
        <is>
          <t>B3</t>
        </is>
      </c>
      <c r="N114" s="12" t="inlineStr">
        <is>
          <t>Total</t>
        </is>
      </c>
    </row>
    <row r="115" ht="15" customHeight="1">
      <c r="A115" s="13" t="inlineStr">
        <is>
          <t>Digitizing</t>
        </is>
      </c>
      <c r="B115" s="202" t="n"/>
      <c r="C115" s="202" t="n"/>
      <c r="D115" s="202" t="n"/>
      <c r="E115" s="202" t="n"/>
      <c r="F115" s="202" t="n"/>
      <c r="G115" s="202" t="n"/>
      <c r="H115" s="201" t="n"/>
      <c r="I115" s="15" t="n">
        <v>1</v>
      </c>
      <c r="J115" s="15" t="n">
        <v>6</v>
      </c>
      <c r="K115" s="15" t="n">
        <v>1</v>
      </c>
      <c r="L115" s="15" t="n">
        <v>1</v>
      </c>
      <c r="M115" s="15" t="inlineStr"/>
      <c r="N115" s="15" t="n">
        <v>9</v>
      </c>
    </row>
    <row r="116" ht="15" customHeight="1">
      <c r="A116" s="13" t="inlineStr">
        <is>
          <t>India Content</t>
        </is>
      </c>
      <c r="B116" s="202" t="n"/>
      <c r="C116" s="202" t="n"/>
      <c r="D116" s="202" t="n"/>
      <c r="E116" s="202" t="n"/>
      <c r="F116" s="202" t="n"/>
      <c r="G116" s="202" t="n"/>
      <c r="H116" s="201" t="n"/>
      <c r="I116" s="15" t="inlineStr"/>
      <c r="J116" s="15" t="n">
        <v>7</v>
      </c>
      <c r="K116" s="15" t="n">
        <v>1</v>
      </c>
      <c r="L116" s="15" t="n">
        <v>1</v>
      </c>
      <c r="M116" s="15" t="inlineStr"/>
      <c r="N116" s="15" t="n">
        <v>9</v>
      </c>
    </row>
    <row r="117" ht="15" customHeight="1">
      <c r="A117" s="13" t="inlineStr">
        <is>
          <t>Technology</t>
        </is>
      </c>
      <c r="B117" s="202" t="n"/>
      <c r="C117" s="202" t="n"/>
      <c r="D117" s="202" t="n"/>
      <c r="E117" s="202" t="n"/>
      <c r="F117" s="202" t="n"/>
      <c r="G117" s="202" t="n"/>
      <c r="H117" s="201" t="n"/>
      <c r="I117" s="15" t="inlineStr"/>
      <c r="J117" s="15" t="n">
        <v>2</v>
      </c>
      <c r="K117" s="15" t="n">
        <v>1</v>
      </c>
      <c r="L117" s="15" t="n">
        <v>1</v>
      </c>
      <c r="M117" s="15" t="n">
        <v>1</v>
      </c>
      <c r="N117" s="15" t="n">
        <v>5</v>
      </c>
    </row>
    <row r="118" ht="15" customHeight="1"/>
    <row r="119" ht="15" customHeight="1">
      <c r="A119" s="11" t="inlineStr">
        <is>
          <r>
            <rPr>
              <rFont val="Calibri"/>
              <b val="1"/>
              <i val="1"/>
              <color rgb="00595959"/>
              <sz val="10"/>
            </rPr>
            <t>Title check:</t>
          </r>
          <r>
            <rPr>
              <rFont val="Calibri"/>
              <i val="1"/>
              <color rgb="00595959"/>
              <sz val="10"/>
            </rPr>
            <t xml:space="preserve"> OK: 22 · Check title against ladder: 1</t>
          </r>
        </is>
      </c>
    </row>
    <row r="120" ht="15" customHeight="1"/>
    <row r="121" ht="20" customHeight="1">
      <c r="A121" s="6" t="inlineStr">
        <is>
          <t>7. STEP 9 · Market benchmark — level crosswalk · Master M13 and family ladders</t>
        </is>
      </c>
    </row>
    <row r="122" ht="54" customHeight="1">
      <c r="A122" s="12" t="inlineStr">
        <is>
          <t>IRIS level</t>
        </is>
      </c>
      <c r="B122" s="12" t="inlineStr">
        <is>
          <t>Radford / Mercer code</t>
        </is>
      </c>
      <c r="C122" s="12" t="inlineStr">
        <is>
          <t>Pave level name</t>
        </is>
      </c>
      <c r="D122" s="12" t="inlineStr">
        <is>
          <t>SFIA 9 level</t>
        </is>
      </c>
      <c r="E122" s="12" t="inlineStr">
        <is>
          <t>GitLab</t>
        </is>
      </c>
      <c r="F122" s="12" t="inlineStr">
        <is>
          <t>Google</t>
        </is>
      </c>
      <c r="G122" s="12" t="inlineStr">
        <is>
          <t>Microsoft</t>
        </is>
      </c>
      <c r="H122" s="12" t="inlineStr">
        <is>
          <t>Amazon</t>
        </is>
      </c>
      <c r="I122" s="12" t="inlineStr">
        <is>
          <t>Workiva</t>
        </is>
      </c>
      <c r="J122" s="12" t="inlineStr">
        <is>
          <t>Infosys</t>
        </is>
      </c>
      <c r="K122" s="12" t="inlineStr">
        <is>
          <t>TCS</t>
        </is>
      </c>
      <c r="L122" s="12" t="inlineStr">
        <is>
          <t>Accenture India</t>
        </is>
      </c>
      <c r="M122" s="12" t="inlineStr">
        <is>
          <t>Big Four — Deloitte</t>
        </is>
      </c>
      <c r="N122" s="12" t="inlineStr">
        <is>
          <t>DataTracks · S31; only 2 rungs published</t>
        </is>
      </c>
    </row>
    <row r="123" ht="41" customHeight="1">
      <c r="A123" s="26" t="inlineStr">
        <is>
          <t>A2</t>
        </is>
      </c>
      <c r="B123" s="139" t="inlineStr">
        <is>
          <t>P1–P2</t>
        </is>
      </c>
      <c r="C123" s="139" t="inlineStr">
        <is>
          <t>Entry / Developing</t>
        </is>
      </c>
      <c r="D123" s="139" t="inlineStr">
        <is>
          <t>2 Assist</t>
        </is>
      </c>
      <c r="E123" s="139" t="inlineStr">
        <is>
          <t>Associate</t>
        </is>
      </c>
      <c r="F123" s="139" t="inlineStr">
        <is>
          <t>L3</t>
        </is>
      </c>
      <c r="G123" s="139" t="inlineStr">
        <is>
          <t>59–60</t>
        </is>
      </c>
      <c r="H123" s="139" t="inlineStr">
        <is>
          <t>L4 · SDE I</t>
        </is>
      </c>
      <c r="I123" s="139" t="inlineStr">
        <is>
          <t>Associate SE</t>
        </is>
      </c>
      <c r="J123" s="139" t="inlineStr">
        <is>
          <t>JL3B Systems Engineer</t>
        </is>
      </c>
      <c r="K123" s="139" t="inlineStr">
        <is>
          <t>C1 Assistant System Engineer</t>
        </is>
      </c>
      <c r="L123" s="139" t="inlineStr">
        <is>
          <t>L11 Analyst</t>
        </is>
      </c>
      <c r="M123" s="139" t="inlineStr">
        <is>
          <t>Analyst</t>
        </is>
      </c>
      <c r="N123" s="139" t="inlineStr">
        <is>
          <t>Associate</t>
        </is>
      </c>
    </row>
    <row r="124" ht="41" customHeight="1">
      <c r="A124" s="26" t="inlineStr">
        <is>
          <t>A3</t>
        </is>
      </c>
      <c r="B124" s="139" t="inlineStr">
        <is>
          <t>P2</t>
        </is>
      </c>
      <c r="C124" s="139" t="inlineStr">
        <is>
          <t>Developing</t>
        </is>
      </c>
      <c r="D124" s="139" t="inlineStr">
        <is>
          <t>3 Apply</t>
        </is>
      </c>
      <c r="E124" s="139" t="inlineStr">
        <is>
          <t>Intermediate</t>
        </is>
      </c>
      <c r="F124" s="139" t="inlineStr">
        <is>
          <t>L3–L4</t>
        </is>
      </c>
      <c r="G124" s="139" t="inlineStr">
        <is>
          <t>61–62</t>
        </is>
      </c>
      <c r="H124" s="139" t="inlineStr">
        <is>
          <t>L4</t>
        </is>
      </c>
      <c r="I124" s="139" t="inlineStr">
        <is>
          <t>Software Engineer</t>
        </is>
      </c>
      <c r="J124" s="139" t="inlineStr">
        <is>
          <t>JL3A Senior Systems Engineer</t>
        </is>
      </c>
      <c r="K124" s="139" t="inlineStr">
        <is>
          <t>C1 System Engineer</t>
        </is>
      </c>
      <c r="L124" s="139" t="inlineStr">
        <is>
          <t>L11–L10 · Senior Analyst</t>
        </is>
      </c>
      <c r="M124" s="139" t="inlineStr">
        <is>
          <t>Consultant</t>
        </is>
      </c>
      <c r="N124" s="139" t="inlineStr">
        <is>
          <t>Senior Associate · 2–5 yrs</t>
        </is>
      </c>
    </row>
    <row r="125" ht="54" customHeight="1">
      <c r="A125" s="23" t="inlineStr">
        <is>
          <t>B1</t>
        </is>
      </c>
      <c r="B125" s="21" t="inlineStr">
        <is>
          <t>P3 / M2</t>
        </is>
      </c>
      <c r="C125" s="21" t="inlineStr">
        <is>
          <t>Career / · Team Lead</t>
        </is>
      </c>
      <c r="D125" s="21" t="inlineStr">
        <is>
          <t>4 Enable</t>
        </is>
      </c>
      <c r="E125" s="21" t="inlineStr">
        <is>
          <t>Senior</t>
        </is>
      </c>
      <c r="F125" s="21" t="inlineStr">
        <is>
          <t>L4</t>
        </is>
      </c>
      <c r="G125" s="21" t="inlineStr">
        <is>
          <t>62</t>
        </is>
      </c>
      <c r="H125" s="21" t="inlineStr">
        <is>
          <t>L5 · SDE II</t>
        </is>
      </c>
      <c r="I125" s="21" t="inlineStr">
        <is>
          <t>Software Engineer – Senior SE</t>
        </is>
      </c>
      <c r="J125" s="21" t="inlineStr">
        <is>
          <t>JL4 Technology Analyst</t>
        </is>
      </c>
      <c r="K125" s="21" t="inlineStr">
        <is>
          <t>C2 IT Analyst</t>
        </is>
      </c>
      <c r="L125" s="21" t="inlineStr">
        <is>
          <t>L9 Team Lead / Consultant</t>
        </is>
      </c>
      <c r="M125" s="21" t="inlineStr">
        <is>
          <t>Senior Consultant / Assistant Manager</t>
        </is>
      </c>
      <c r="N125" s="21" t="inlineStr">
        <is>
          <t>—</t>
        </is>
      </c>
    </row>
    <row r="126" ht="41" customHeight="1">
      <c r="A126" s="23" t="inlineStr">
        <is>
          <t>B2</t>
        </is>
      </c>
      <c r="B126" s="21" t="inlineStr">
        <is>
          <t>P4 / M3</t>
        </is>
      </c>
      <c r="C126" s="21" t="inlineStr">
        <is>
          <t>Senior / Manager</t>
        </is>
      </c>
      <c r="D126" s="21" t="inlineStr">
        <is>
          <t>4–5</t>
        </is>
      </c>
      <c r="E126" s="21" t="inlineStr">
        <is>
          <t>Senior</t>
        </is>
      </c>
      <c r="F126" s="21" t="inlineStr">
        <is>
          <t>L5 · Senior</t>
        </is>
      </c>
      <c r="G126" s="21" t="inlineStr">
        <is>
          <t>63</t>
        </is>
      </c>
      <c r="H126" s="21" t="inlineStr">
        <is>
          <t>L5–L6</t>
        </is>
      </c>
      <c r="I126" s="21" t="inlineStr">
        <is>
          <t>Senior SE</t>
        </is>
      </c>
      <c r="J126" s="21" t="inlineStr">
        <is>
          <t>JL5 Technology Lead</t>
        </is>
      </c>
      <c r="K126" s="21" t="inlineStr">
        <is>
          <t>C3A Assistant Consultant</t>
        </is>
      </c>
      <c r="L126" s="21" t="inlineStr">
        <is>
          <t>L8 Associate Manager</t>
        </is>
      </c>
      <c r="M126" s="21" t="inlineStr">
        <is>
          <t>Manager</t>
        </is>
      </c>
      <c r="N126" s="21" t="inlineStr">
        <is>
          <t>—</t>
        </is>
      </c>
    </row>
    <row r="127" ht="41" customHeight="1">
      <c r="A127" s="23" t="inlineStr">
        <is>
          <t>B3</t>
        </is>
      </c>
      <c r="B127" s="21" t="inlineStr">
        <is>
          <t>P5 / M4</t>
        </is>
      </c>
      <c r="C127" s="21" t="inlineStr">
        <is>
          <t>Expert / Senior Manager</t>
        </is>
      </c>
      <c r="D127" s="21" t="inlineStr">
        <is>
          <t>5 Ensure, advise</t>
        </is>
      </c>
      <c r="E127" s="21" t="inlineStr">
        <is>
          <t>Senior–Staff / Manager</t>
        </is>
      </c>
      <c r="F127" s="21" t="inlineStr">
        <is>
          <t>L5 · Senior</t>
        </is>
      </c>
      <c r="G127" s="21" t="inlineStr">
        <is>
          <t>63–64</t>
        </is>
      </c>
      <c r="H127" s="21" t="inlineStr">
        <is>
          <t>L6 · Senior SDE</t>
        </is>
      </c>
      <c r="I127" s="21" t="inlineStr">
        <is>
          <t>Senior SE</t>
        </is>
      </c>
      <c r="J127" s="21" t="inlineStr">
        <is>
          <t>JL5–JL6B</t>
        </is>
      </c>
      <c r="K127" s="21" t="inlineStr">
        <is>
          <t>C3B Associate Consultant</t>
        </is>
      </c>
      <c r="L127" s="21" t="inlineStr">
        <is>
          <t>L7 Manager</t>
        </is>
      </c>
      <c r="M127" s="21" t="inlineStr">
        <is>
          <t>Senior Manager</t>
        </is>
      </c>
      <c r="N127" s="21" t="inlineStr">
        <is>
          <t>—</t>
        </is>
      </c>
    </row>
    <row r="128" ht="15" customHeight="1"/>
    <row r="129" ht="41" customHeight="1">
      <c r="A129" s="11" t="inlineStr">
        <is>
          <t>Equivalence of scope, not pay. Each company cell is the level whose typical experience matches the IRIS level's experience range, or one step lower where the IRIS role carries less scope than the same title at a much larger firm · global product companies from B3 up. It is never higher than the experience match. Google / Microsoft / Amazon / Workiva / Infosys / TCS titles are engineering-ladder titles; per role · sheets 6–7 non-technology roles show the grade code only.</t>
        </is>
      </c>
    </row>
    <row r="130" ht="15" customHeight="1">
      <c r="A130" s="12" t="inlineStr">
        <is>
          <t>Job family</t>
        </is>
      </c>
      <c r="B130" s="201" t="n"/>
      <c r="C130" s="12" t="inlineStr">
        <is>
          <t>IRIS IC ladder · A2 → C1</t>
        </is>
      </c>
      <c r="D130" s="202" t="n"/>
      <c r="E130" s="202" t="n"/>
      <c r="F130" s="201" t="n"/>
      <c r="G130" s="12" t="inlineStr">
        <is>
          <t>IRIS manager ladder</t>
        </is>
      </c>
      <c r="H130" s="202" t="n"/>
      <c r="I130" s="201" t="n"/>
      <c r="J130" s="12" t="inlineStr">
        <is>
          <t>Market comparison</t>
        </is>
      </c>
      <c r="K130" s="202" t="n"/>
      <c r="L130" s="201" t="n"/>
      <c r="M130" s="12" t="inlineStr">
        <is>
          <t>Reference</t>
        </is>
      </c>
      <c r="N130" s="12" t="inlineStr">
        <is>
          <t>People</t>
        </is>
      </c>
    </row>
    <row r="131" ht="54" customHeight="1">
      <c r="A131" s="13" t="inlineStr">
        <is>
          <t>Engineering &amp; Development</t>
        </is>
      </c>
      <c r="B131" s="201" t="n"/>
      <c r="C131" s="16" t="inlineStr">
        <is>
          <t>Software Engineer → Senior Software Engineer → Technical Specialist → Senior Technical Specialist → Lead Software Engineer → Principal Software Engineer</t>
        </is>
      </c>
      <c r="D131" s="202" t="n"/>
      <c r="E131" s="202" t="n"/>
      <c r="F131" s="201" t="n"/>
      <c r="G131" s="16" t="inlineStr">
        <is>
          <t>Team Lead → Engineering Manager → Senior Engineering Manager → Head – Product Engineering</t>
        </is>
      </c>
      <c r="H131" s="202" t="n"/>
      <c r="I131" s="201" t="n"/>
      <c r="J131" s="16" t="inlineStr">
        <is>
          <r>
            <rPr>
              <rFont val="Calibri"/>
              <b val="1"/>
              <sz val="10"/>
            </rPr>
            <t>Workiva:</t>
          </r>
          <r>
            <rPr>
              <rFont val="Calibri"/>
              <sz val="10"/>
            </rPr>
            <t xml:space="preserve"> Associate SE → SE → Senior → Staff; Radford engineering P1–P6 / M3–M6</t>
          </r>
        </is>
      </c>
      <c r="K131" s="202" t="n"/>
      <c r="L131" s="201" t="n"/>
      <c r="M131" s="16" t="inlineStr">
        <is>
          <t>Workiva · Levels.fyi, Radford / Pave</t>
        </is>
      </c>
      <c r="N131" s="15" t="n">
        <v>4</v>
      </c>
    </row>
    <row r="132" ht="41" customHeight="1">
      <c r="A132" s="13" t="inlineStr">
        <is>
          <t>Data Operations &amp; Digitization</t>
        </is>
      </c>
      <c r="B132" s="201" t="n"/>
      <c r="C132" s="16" t="inlineStr">
        <is>
          <t>Digitization Associate → Senior Digitization Associate → Digitization Specialist → Senior Specialist → Lead Specialist</t>
        </is>
      </c>
      <c r="D132" s="202" t="n"/>
      <c r="E132" s="202" t="n"/>
      <c r="F132" s="201" t="n"/>
      <c r="G132" s="16" t="inlineStr">
        <is>
          <t>Team Lead → Digitization Manager → Senior Manager → Head – Digitization</t>
        </is>
      </c>
      <c r="H132" s="202" t="n"/>
      <c r="I132" s="201" t="n"/>
      <c r="J132" s="16" t="inlineStr">
        <is>
          <r>
            <rPr>
              <rFont val="Calibri"/>
              <b val="1"/>
              <sz val="10"/>
            </rPr>
            <t>DataTracks:</t>
          </r>
          <r>
            <rPr>
              <rFont val="Calibri"/>
              <sz val="10"/>
            </rPr>
            <t xml:space="preserve"> Associate → Senior Associate · two published rungs</t>
          </r>
        </is>
      </c>
      <c r="K132" s="202" t="n"/>
      <c r="L132" s="201" t="n"/>
      <c r="M132" s="16" t="inlineStr">
        <is>
          <t>DataTracks</t>
        </is>
      </c>
      <c r="N132" s="15" t="n">
        <v>9</v>
      </c>
    </row>
    <row r="133" ht="41" customHeight="1">
      <c r="A133" s="13" t="inlineStr">
        <is>
          <t>Project &amp; Program Management</t>
        </is>
      </c>
      <c r="B133" s="201" t="n"/>
      <c r="C133" s="16" t="inlineStr">
        <is>
          <t>Project Coordinator → Senior Coordinator → Associate Project Manager → Project Manager → Program Manager → Senior Program Manager</t>
        </is>
      </c>
      <c r="D133" s="202" t="n"/>
      <c r="E133" s="202" t="n"/>
      <c r="F133" s="201" t="n"/>
      <c r="G133" s="16" t="inlineStr">
        <is>
          <t>Delivery Manager → Associate Head – Delivery → Head – Delivery</t>
        </is>
      </c>
      <c r="H133" s="202" t="n"/>
      <c r="I133" s="201" t="n"/>
      <c r="J133" s="16" t="inlineStr">
        <is>
          <t>Project / Program Manager P3–P6; Delivery Manager M3–M5</t>
        </is>
      </c>
      <c r="K133" s="202" t="n"/>
      <c r="L133" s="201" t="n"/>
      <c r="M133" s="16" t="inlineStr">
        <is>
          <t>Radford / Pave</t>
        </is>
      </c>
      <c r="N133" s="15" t="n">
        <v>1</v>
      </c>
    </row>
    <row r="134" ht="41" customHeight="1">
      <c r="A134" s="13" t="inlineStr">
        <is>
          <t>Data &amp; Analytics</t>
        </is>
      </c>
      <c r="B134" s="201" t="n"/>
      <c r="C134" s="16" t="inlineStr">
        <is>
          <t>Data Analyst → Senior Data Analyst → Data Analytics Specialist → Senior Specialist → Lead Data Analyst</t>
        </is>
      </c>
      <c r="D134" s="202" t="n"/>
      <c r="E134" s="202" t="n"/>
      <c r="F134" s="201" t="n"/>
      <c r="G134" s="16" t="inlineStr">
        <is>
          <t>Team Lead → Data Operations Manager → Senior Manager</t>
        </is>
      </c>
      <c r="H134" s="202" t="n"/>
      <c r="I134" s="201" t="n"/>
      <c r="J134" s="16" t="inlineStr">
        <is>
          <t>Analyst P1–P5 / Manager M3–M4</t>
        </is>
      </c>
      <c r="K134" s="202" t="n"/>
      <c r="L134" s="201" t="n"/>
      <c r="M134" s="16" t="inlineStr">
        <is>
          <t>Radford / Pave</t>
        </is>
      </c>
      <c r="N134" s="15" t="n">
        <v>9</v>
      </c>
    </row>
    <row r="135" ht="15" customHeight="1"/>
    <row r="136" ht="20" customHeight="1">
      <c r="A136" s="6" t="inlineStr">
        <is>
          <t>8. STEPS 10–11 · Capability and development — headline</t>
        </is>
      </c>
    </row>
    <row r="137" ht="28" customHeight="1">
      <c r="A137" s="12" t="inlineStr">
        <is>
          <t>Department</t>
        </is>
      </c>
      <c r="B137" s="201" t="n"/>
      <c r="C137" s="12" t="inlineStr">
        <is>
          <t>People</t>
        </is>
      </c>
      <c r="D137" s="12" t="inlineStr">
        <is>
          <t>Avg competency index %</t>
        </is>
      </c>
      <c r="E137" s="12" t="inlineStr">
        <is>
          <t>Most common gaps</t>
        </is>
      </c>
      <c r="F137" s="202" t="n"/>
      <c r="G137" s="202" t="n"/>
      <c r="H137" s="201" t="n"/>
      <c r="I137" s="12" t="inlineStr">
        <is>
          <t>What helped people learn · survey</t>
        </is>
      </c>
      <c r="J137" s="202" t="n"/>
      <c r="K137" s="201" t="n"/>
      <c r="L137" s="12" t="inlineStr">
        <is>
          <t>AI / automation impact</t>
        </is>
      </c>
      <c r="M137" s="202" t="n"/>
      <c r="N137" s="201" t="n"/>
    </row>
    <row r="138" ht="41" customHeight="1">
      <c r="A138" s="13" t="inlineStr">
        <is>
          <t>Digitizing</t>
        </is>
      </c>
      <c r="B138" s="201" t="n"/>
      <c r="C138" s="15" t="n">
        <v>9</v>
      </c>
      <c r="D138" s="15" t="n">
        <v>85</v>
      </c>
      <c r="E138" s="16" t="inlineStr">
        <is>
          <t>XBRL &amp; taxonomy · AI / GenAI · Excel &amp; tools · Prioritisation</t>
        </is>
      </c>
      <c r="F138" s="202" t="n"/>
      <c r="G138" s="202" t="n"/>
      <c r="H138" s="201" t="n"/>
      <c r="I138" s="16" t="inlineStr">
        <is>
          <t>Mentoring / guidance from seniors · Formal / classroom training · On-the-job / hands-on</t>
        </is>
      </c>
      <c r="J138" s="202" t="n"/>
      <c r="K138" s="201" t="n"/>
      <c r="L138" s="16" t="inlineStr">
        <is>
          <t>2 of 9 say the role is changing because of AI / automation</t>
        </is>
      </c>
      <c r="M138" s="202" t="n"/>
      <c r="N138" s="201" t="n"/>
    </row>
    <row r="139" ht="41" customHeight="1">
      <c r="A139" s="13" t="inlineStr">
        <is>
          <t>India Content</t>
        </is>
      </c>
      <c r="B139" s="201" t="n"/>
      <c r="C139" s="15" t="n">
        <v>9</v>
      </c>
      <c r="D139" s="15" t="n">
        <v>92</v>
      </c>
      <c r="E139" s="16" t="inlineStr">
        <is>
          <t>Analytics &amp; BI · Accounting standards · Learning agility · Excel &amp; tools</t>
        </is>
      </c>
      <c r="F139" s="202" t="n"/>
      <c r="G139" s="202" t="n"/>
      <c r="H139" s="201" t="n"/>
      <c r="I139" s="16" t="inlineStr">
        <is>
          <t>Formal / classroom training · On-the-job / hands-on · Mentoring / guidance from seniors</t>
        </is>
      </c>
      <c r="J139" s="202" t="n"/>
      <c r="K139" s="201" t="n"/>
      <c r="L139" s="16" t="inlineStr">
        <is>
          <t>1 of 8 say the role is changing because of AI / automation</t>
        </is>
      </c>
      <c r="M139" s="202" t="n"/>
      <c r="N139" s="201" t="n"/>
    </row>
    <row r="140" ht="41" customHeight="1">
      <c r="A140" s="13" t="inlineStr">
        <is>
          <t>Technology</t>
        </is>
      </c>
      <c r="B140" s="201" t="n"/>
      <c r="C140" s="15" t="n">
        <v>5</v>
      </c>
      <c r="D140" s="15" t="n">
        <v>99</v>
      </c>
      <c r="E140" s="16" t="inlineStr">
        <is>
          <t>System design · AI / GenAI · Learning agility · Programming &amp; stack</t>
        </is>
      </c>
      <c r="F140" s="202" t="n"/>
      <c r="G140" s="202" t="n"/>
      <c r="H140" s="201" t="n"/>
      <c r="I140" s="16" t="inlineStr">
        <is>
          <t>Mentoring / guidance from seniors · Formal / classroom training</t>
        </is>
      </c>
      <c r="J140" s="202" t="n"/>
      <c r="K140" s="201" t="n"/>
      <c r="L140" s="16" t="inlineStr">
        <is>
          <t>2 of 5 say the role is changing because of AI / automation</t>
        </is>
      </c>
      <c r="M140" s="202" t="n"/>
      <c r="N140" s="201" t="n"/>
    </row>
    <row r="141" ht="15" customHeight="1"/>
    <row r="142" ht="20" customHeight="1">
      <c r="A142" s="6" t="inlineStr">
        <is>
          <t>9. STEP 12 · Validation, change log and open decisions</t>
        </is>
      </c>
    </row>
    <row r="143" ht="28" customHeight="1">
      <c r="A143" s="12" t="inlineStr">
        <is>
          <t>Person</t>
        </is>
      </c>
      <c r="B143" s="201" t="n"/>
      <c r="C143" s="12" t="inlineStr">
        <is>
          <t>Department</t>
        </is>
      </c>
      <c r="D143" s="201" t="n"/>
      <c r="E143" s="12" t="inlineStr">
        <is>
          <t>Earlier proposal</t>
        </is>
      </c>
      <c r="F143" s="12" t="inlineStr">
        <is>
          <t>Final</t>
        </is>
      </c>
      <c r="G143" s="12" t="inlineStr">
        <is>
          <t>Why</t>
        </is>
      </c>
      <c r="H143" s="202" t="n"/>
      <c r="I143" s="202" t="n"/>
      <c r="J143" s="202" t="n"/>
      <c r="K143" s="202" t="n"/>
      <c r="L143" s="202" t="n"/>
      <c r="M143" s="202" t="n"/>
      <c r="N143" s="201" t="n"/>
    </row>
    <row r="144" ht="15" customHeight="1">
      <c r="A144" s="13" t="inlineStr">
        <is>
          <t>Sharad Mane</t>
        </is>
      </c>
      <c r="B144" s="201" t="n"/>
      <c r="C144" s="16" t="inlineStr">
        <is>
          <t>Technology</t>
        </is>
      </c>
      <c r="D144" s="201" t="n"/>
      <c r="E144" s="15" t="inlineStr">
        <is>
          <t>B1</t>
        </is>
      </c>
      <c r="F144" s="15" t="inlineStr">
        <is>
          <t>A3</t>
        </is>
      </c>
      <c r="G144" s="16" t="inlineStr">
        <is>
          <t>Derived weight set TE-A gives 3.35; designation now Technical Specialist</t>
        </is>
      </c>
      <c r="H144" s="202" t="n"/>
      <c r="I144" s="202" t="n"/>
      <c r="J144" s="202" t="n"/>
      <c r="K144" s="202" t="n"/>
      <c r="L144" s="202" t="n"/>
      <c r="M144" s="202" t="n"/>
      <c r="N144" s="201" t="n"/>
    </row>
    <row r="145" ht="15" customHeight="1"/>
    <row r="146" ht="28" customHeight="1">
      <c r="A146" s="199" t="inlineStr">
        <is>
          <t>Close calls and near-gate cases for the calibration panel · 3; reasons on sheet 9, sections C and C2: Manish Paithankar · A3, 3.58, Manoj Ravidas · A3, 3.48, Waqar Tarique · B1, 3.53</t>
        </is>
      </c>
    </row>
    <row r="147" ht="15" customHeight="1">
      <c r="A147" s="12" t="inlineStr">
        <is>
          <t>Open decision</t>
        </is>
      </c>
      <c r="B147" s="202" t="n"/>
      <c r="C147" s="201" t="n"/>
      <c r="D147" s="12" t="inlineStr">
        <is>
          <t>Facts here</t>
        </is>
      </c>
      <c r="E147" s="202" t="n"/>
      <c r="F147" s="202" t="n"/>
      <c r="G147" s="202" t="n"/>
      <c r="H147" s="201" t="n"/>
      <c r="I147" s="12" t="inlineStr">
        <is>
          <t>Recommendation</t>
        </is>
      </c>
      <c r="J147" s="202" t="n"/>
      <c r="K147" s="202" t="n"/>
      <c r="L147" s="202" t="n"/>
      <c r="M147" s="202" t="n"/>
      <c r="N147" s="201" t="n"/>
    </row>
    <row r="148" ht="28" customHeight="1">
      <c r="A148" s="13" t="inlineStr">
        <is>
          <t>Long-tenure people at A3</t>
        </is>
      </c>
      <c r="B148" s="202" t="n"/>
      <c r="C148" s="201" t="n"/>
      <c r="D148" s="16" t="inlineStr">
        <is>
          <t>12 people with 8+ yrs sit at A3 because their role shows Band A work.</t>
        </is>
      </c>
      <c r="E148" s="202" t="n"/>
      <c r="F148" s="202" t="n"/>
      <c r="G148" s="202" t="n"/>
      <c r="H148" s="201" t="n"/>
      <c r="I148" s="16" t="inlineStr">
        <is>
          <t>Keep the gate. Use the top of the A3 pay range for proven experts, and widen roles where real B1 work exists.</t>
        </is>
      </c>
      <c r="J148" s="202" t="n"/>
      <c r="K148" s="202" t="n"/>
      <c r="L148" s="202" t="n"/>
      <c r="M148" s="202" t="n"/>
      <c r="N148" s="201" t="n"/>
    </row>
    <row r="149" ht="28" customHeight="1">
      <c r="A149" s="13" t="inlineStr">
        <is>
          <t>Senior titles without a team</t>
        </is>
      </c>
      <c r="B149" s="202" t="n"/>
      <c r="C149" s="201" t="n"/>
      <c r="D149" s="16" t="inlineStr">
        <is>
          <t>Placed by role substance and structure; titles protected for one cycle.</t>
        </is>
      </c>
      <c r="E149" s="202" t="n"/>
      <c r="F149" s="202" t="n"/>
      <c r="G149" s="202" t="n"/>
      <c r="H149" s="201" t="n"/>
      <c r="I149" s="16" t="inlineStr">
        <is>
          <t>Business head to confirm scope.</t>
        </is>
      </c>
      <c r="J149" s="202" t="n"/>
      <c r="K149" s="202" t="n"/>
      <c r="L149" s="202" t="n"/>
      <c r="M149" s="202" t="n"/>
      <c r="N149" s="201" t="n"/>
    </row>
    <row r="150" ht="15" customHeight="1">
      <c r="A150" s="13" t="inlineStr">
        <is>
          <t>Pay ranges</t>
        </is>
      </c>
      <c r="B150" s="202" t="n"/>
      <c r="C150" s="201" t="n"/>
      <c r="D150" s="16" t="inlineStr">
        <is>
          <t>No pay data supplied.</t>
        </is>
      </c>
      <c r="E150" s="202" t="n"/>
      <c r="F150" s="202" t="n"/>
      <c r="G150" s="202" t="n"/>
      <c r="H150" s="201" t="n"/>
      <c r="I150" s="16" t="inlineStr">
        <is>
          <t>Buy one survey and apply Master M14.</t>
        </is>
      </c>
      <c r="J150" s="202" t="n"/>
      <c r="K150" s="202" t="n"/>
      <c r="L150" s="202" t="n"/>
      <c r="M150" s="202" t="n"/>
      <c r="N150" s="201" t="n"/>
    </row>
    <row r="151" ht="15" customHeight="1">
      <c r="A151" s="13" t="inlineStr">
        <is>
          <t>Consultants</t>
        </is>
      </c>
      <c r="B151" s="202" t="n"/>
      <c r="C151" s="201" t="n"/>
      <c r="D151" s="16" t="inlineStr">
        <is>
          <t>0 on statements of work.</t>
        </is>
      </c>
      <c r="E151" s="202" t="n"/>
      <c r="F151" s="202" t="n"/>
      <c r="G151" s="202" t="n"/>
      <c r="H151" s="201" t="n"/>
      <c r="I151" s="16" t="inlineStr">
        <is>
          <t>Confirm owner and SOW for each one.</t>
        </is>
      </c>
      <c r="J151" s="202" t="n"/>
      <c r="K151" s="202" t="n"/>
      <c r="L151" s="202" t="n"/>
      <c r="M151" s="202" t="n"/>
      <c r="N151" s="201" t="n"/>
    </row>
    <row r="152" ht="15" customHeight="1"/>
    <row r="153" ht="20" customHeight="1">
      <c r="A153" s="6" t="inlineStr">
        <is>
          <t>10. Data completeness</t>
        </is>
      </c>
    </row>
    <row r="154" ht="15" customHeight="1">
      <c r="A154" s="12" t="inlineStr">
        <is>
          <t>Input</t>
        </is>
      </c>
      <c r="B154" s="202" t="n"/>
      <c r="C154" s="202" t="n"/>
      <c r="D154" s="201" t="n"/>
      <c r="E154" s="12" t="inlineStr">
        <is>
          <t>Provided</t>
        </is>
      </c>
      <c r="F154" s="201" t="n"/>
      <c r="G154" s="12" t="inlineStr">
        <is>
          <t>Missing</t>
        </is>
      </c>
      <c r="H154" s="201" t="n"/>
      <c r="I154" s="12" t="inlineStr">
        <is>
          <t>Complete %</t>
        </is>
      </c>
      <c r="J154" s="201" t="n"/>
      <c r="K154" s="12" t="inlineStr">
        <is>
          <t>Who provides it</t>
        </is>
      </c>
      <c r="L154" s="202" t="n"/>
      <c r="M154" s="202" t="n"/>
      <c r="N154" s="201" t="n"/>
    </row>
    <row r="155" ht="15" customHeight="1">
      <c r="A155" s="13" t="inlineStr">
        <is>
          <t>Total experience</t>
        </is>
      </c>
      <c r="B155" s="202" t="n"/>
      <c r="C155" s="202" t="n"/>
      <c r="D155" s="201" t="n"/>
      <c r="E155" s="15" t="n">
        <v>23</v>
      </c>
      <c r="F155" s="201" t="n"/>
      <c r="G155" s="15" t="n">
        <v>0</v>
      </c>
      <c r="H155" s="201" t="n"/>
      <c r="I155" s="193" t="n">
        <v>1</v>
      </c>
      <c r="J155" s="201" t="n"/>
      <c r="K155" s="16" t="inlineStr">
        <is>
          <t>HR · HRIS</t>
        </is>
      </c>
      <c r="L155" s="202" t="n"/>
      <c r="M155" s="202" t="n"/>
      <c r="N155" s="201" t="n"/>
    </row>
    <row r="156" ht="15" customHeight="1">
      <c r="A156" s="13" t="inlineStr">
        <is>
          <t>Qualification</t>
        </is>
      </c>
      <c r="B156" s="202" t="n"/>
      <c r="C156" s="202" t="n"/>
      <c r="D156" s="201" t="n"/>
      <c r="E156" s="15" t="n">
        <v>23</v>
      </c>
      <c r="F156" s="201" t="n"/>
      <c r="G156" s="15" t="n">
        <v>0</v>
      </c>
      <c r="H156" s="201" t="n"/>
      <c r="I156" s="193" t="n">
        <v>1</v>
      </c>
      <c r="J156" s="201" t="n"/>
      <c r="K156" s="16" t="inlineStr">
        <is>
          <t>HR · HRIS</t>
        </is>
      </c>
      <c r="L156" s="202" t="n"/>
      <c r="M156" s="202" t="n"/>
      <c r="N156" s="201" t="n"/>
    </row>
    <row r="157" ht="15" customHeight="1">
      <c r="A157" s="13" t="inlineStr">
        <is>
          <t>Survey: purpose / deliverables</t>
        </is>
      </c>
      <c r="B157" s="202" t="n"/>
      <c r="C157" s="202" t="n"/>
      <c r="D157" s="201" t="n"/>
      <c r="E157" s="15" t="n">
        <v>23</v>
      </c>
      <c r="F157" s="201" t="n"/>
      <c r="G157" s="15" t="n">
        <v>0</v>
      </c>
      <c r="H157" s="201" t="n"/>
      <c r="I157" s="193" t="n">
        <v>1</v>
      </c>
      <c r="J157" s="201" t="n"/>
      <c r="K157" s="16" t="inlineStr">
        <is>
          <t>Employee survey</t>
        </is>
      </c>
      <c r="L157" s="202" t="n"/>
      <c r="M157" s="202" t="n"/>
      <c r="N157" s="201" t="n"/>
    </row>
    <row r="158" ht="15" customHeight="1">
      <c r="A158" s="13" t="inlineStr">
        <is>
          <t>KRAs · self or manager</t>
        </is>
      </c>
      <c r="B158" s="202" t="n"/>
      <c r="C158" s="202" t="n"/>
      <c r="D158" s="201" t="n"/>
      <c r="E158" s="15" t="n">
        <v>23</v>
      </c>
      <c r="F158" s="201" t="n"/>
      <c r="G158" s="15" t="n">
        <v>0</v>
      </c>
      <c r="H158" s="201" t="n"/>
      <c r="I158" s="193" t="n">
        <v>1</v>
      </c>
      <c r="J158" s="201" t="n"/>
      <c r="K158" s="16" t="inlineStr">
        <is>
          <t>Talent-mapping files</t>
        </is>
      </c>
      <c r="L158" s="202" t="n"/>
      <c r="M158" s="202" t="n"/>
      <c r="N158" s="201" t="n"/>
    </row>
    <row r="159" ht="15" customHeight="1">
      <c r="A159" s="13" t="inlineStr">
        <is>
          <t>Manager training need</t>
        </is>
      </c>
      <c r="B159" s="202" t="n"/>
      <c r="C159" s="202" t="n"/>
      <c r="D159" s="201" t="n"/>
      <c r="E159" s="15" t="n">
        <v>13</v>
      </c>
      <c r="F159" s="201" t="n"/>
      <c r="G159" s="15" t="n">
        <v>10</v>
      </c>
      <c r="H159" s="201" t="n"/>
      <c r="I159" s="193" t="n">
        <v>0.5652173913043478</v>
      </c>
      <c r="J159" s="201" t="n"/>
      <c r="K159" s="16" t="inlineStr">
        <is>
          <t>Manager</t>
        </is>
      </c>
      <c r="L159" s="202" t="n"/>
      <c r="M159" s="202" t="n"/>
      <c r="N159" s="201" t="n"/>
    </row>
    <row r="160" ht="15" customHeight="1">
      <c r="A160" s="13" t="inlineStr">
        <is>
          <t>Rating</t>
        </is>
      </c>
      <c r="B160" s="202" t="n"/>
      <c r="C160" s="202" t="n"/>
      <c r="D160" s="201" t="n"/>
      <c r="E160" s="15" t="n">
        <v>23</v>
      </c>
      <c r="F160" s="201" t="n"/>
      <c r="G160" s="15" t="n">
        <v>0</v>
      </c>
      <c r="H160" s="201" t="n"/>
      <c r="I160" s="193" t="n">
        <v>1</v>
      </c>
      <c r="J160" s="201" t="n"/>
      <c r="K160" s="16" t="inlineStr">
        <is>
          <t>Manager</t>
        </is>
      </c>
      <c r="L160" s="202" t="n"/>
      <c r="M160" s="202" t="n"/>
      <c r="N160" s="201" t="n"/>
    </row>
    <row r="161" ht="15" customHeight="1">
      <c r="A161" s="13" t="inlineStr">
        <is>
          <t>9-box</t>
        </is>
      </c>
      <c r="B161" s="202" t="n"/>
      <c r="C161" s="202" t="n"/>
      <c r="D161" s="201" t="n"/>
      <c r="E161" s="15" t="n">
        <v>23</v>
      </c>
      <c r="F161" s="201" t="n"/>
      <c r="G161" s="15" t="n">
        <v>0</v>
      </c>
      <c r="H161" s="201" t="n"/>
      <c r="I161" s="193" t="n">
        <v>1</v>
      </c>
      <c r="J161" s="201" t="n"/>
      <c r="K161" s="16" t="inlineStr">
        <is>
          <t>Manager</t>
        </is>
      </c>
      <c r="L161" s="202" t="n"/>
      <c r="M161" s="202" t="n"/>
      <c r="N161" s="201" t="n"/>
    </row>
    <row r="162" ht="15" customHeight="1">
      <c r="A162" s="13" t="inlineStr">
        <is>
          <t>Pay range</t>
        </is>
      </c>
      <c r="B162" s="202" t="n"/>
      <c r="C162" s="202" t="n"/>
      <c r="D162" s="201" t="n"/>
      <c r="E162" s="15" t="n">
        <v>0</v>
      </c>
      <c r="F162" s="201" t="n"/>
      <c r="G162" s="15" t="n">
        <v>23</v>
      </c>
      <c r="H162" s="201" t="n"/>
      <c r="I162" s="193" t="n">
        <v>0</v>
      </c>
      <c r="J162" s="201" t="n"/>
      <c r="K162" s="16" t="inlineStr">
        <is>
          <t>HR · payroll</t>
        </is>
      </c>
      <c r="L162" s="202" t="n"/>
      <c r="M162" s="202" t="n"/>
      <c r="N162" s="201" t="n"/>
    </row>
    <row r="163" ht="15" customHeight="1"/>
    <row r="164" ht="20" customHeight="1">
      <c r="A164" s="6" t="inlineStr">
        <is>
          <t>11. Sources · full register: Master M16</t>
        </is>
      </c>
    </row>
    <row r="165" ht="15" customHeight="1">
      <c r="A165" s="12" t="inlineStr">
        <is>
          <t>ID</t>
        </is>
      </c>
      <c r="B165" s="12" t="inlineStr">
        <is>
          <t>Source</t>
        </is>
      </c>
      <c r="C165" s="202" t="n"/>
      <c r="D165" s="201" t="n"/>
      <c r="E165" s="12" t="inlineStr">
        <is>
          <t>What it contributed</t>
        </is>
      </c>
      <c r="F165" s="202" t="n"/>
      <c r="G165" s="202" t="n"/>
      <c r="H165" s="202" t="n"/>
      <c r="I165" s="201" t="n"/>
      <c r="J165" s="12" t="inlineStr">
        <is>
          <t>Link / where</t>
        </is>
      </c>
      <c r="K165" s="202" t="n"/>
      <c r="L165" s="202" t="n"/>
      <c r="M165" s="201" t="n"/>
      <c r="N165" s="12" t="inlineStr">
        <is>
          <t>Grade</t>
        </is>
      </c>
    </row>
    <row r="166" ht="28" customHeight="1">
      <c r="A166" s="13" t="inlineStr">
        <is>
          <t>S01</t>
        </is>
      </c>
      <c r="B166" s="16" t="inlineStr">
        <is>
          <t>Aon Radford — Global Job Architecture &amp; Leveling</t>
        </is>
      </c>
      <c r="C166" s="202" t="n"/>
      <c r="D166" s="201" t="n"/>
      <c r="E166" s="16" t="inlineStr">
        <is>
          <t>P1–P7 / M1–M6 / E1–E6 market codes on every IRIS level; dual IC / management streams</t>
        </is>
      </c>
      <c r="F166" s="202" t="n"/>
      <c r="G166" s="202" t="n"/>
      <c r="H166" s="202" t="n"/>
      <c r="I166" s="201" t="n"/>
      <c r="J166" s="16" t="inlineStr">
        <is>
          <t>https://radford.aon.com/en-us/products/release-notes/2021/radford-job-architecture-leveling</t>
        </is>
      </c>
      <c r="K166" s="202" t="n"/>
      <c r="L166" s="202" t="n"/>
      <c r="M166" s="201" t="n"/>
      <c r="N166" s="16" t="inlineStr">
        <is>
          <t>Primary</t>
        </is>
      </c>
    </row>
    <row r="167" ht="41" customHeight="1">
      <c r="A167" s="13" t="inlineStr">
        <is>
          <t>S02</t>
        </is>
      </c>
      <c r="B167" s="16" t="inlineStr">
        <is>
          <t>Pave — job levels and Radford / Mercer crosswalk</t>
        </is>
      </c>
      <c r="C167" s="202" t="n"/>
      <c r="D167" s="201" t="n"/>
      <c r="E167" s="16" t="inlineStr">
        <is>
          <t>Level names · P1 Entry, P2 Developing, P3 Career, P4 Senior, P5 Expert, P6 Principal; M3 Manager … M6 Senior Director and the Radford ↔ Mercer mapping</t>
        </is>
      </c>
      <c r="F167" s="202" t="n"/>
      <c r="G167" s="202" t="n"/>
      <c r="H167" s="202" t="n"/>
      <c r="I167" s="201" t="n"/>
      <c r="J167" s="16" t="inlineStr">
        <is>
          <t>https://support.pave.com/articles/understand-job-levels-SiKTjMHZtr.md</t>
        </is>
      </c>
      <c r="K167" s="202" t="n"/>
      <c r="L167" s="202" t="n"/>
      <c r="M167" s="201" t="n"/>
      <c r="N167" s="16" t="inlineStr">
        <is>
          <t>Primary</t>
        </is>
      </c>
    </row>
    <row r="168" ht="54" customHeight="1">
      <c r="A168" s="13" t="inlineStr">
        <is>
          <t>S03</t>
        </is>
      </c>
      <c r="B168" s="16" t="inlineStr">
        <is>
          <t>Mercer career levels · Executive, Management, Professional, Para-professional</t>
        </is>
      </c>
      <c r="C168" s="202" t="n"/>
      <c r="D168" s="201" t="n"/>
      <c r="E168" s="16" t="inlineStr">
        <is>
          <t>Management · M3+ = more time managing others' work than doing own work; M2 can be a team lead who also does the work; Mercer team-leader roles lead 2+ professionals → IRIS track rules · the 3-report manager threshold is IRIS's own rule</t>
        </is>
      </c>
      <c r="F168" s="202" t="n"/>
      <c r="G168" s="202" t="n"/>
      <c r="H168" s="202" t="n"/>
      <c r="I168" s="201" t="n"/>
      <c r="J168" s="16" t="inlineStr">
        <is>
          <t>https://help.figures.hr/en/articles/389223-mercer-levels ; https://info.mercer.com/rs/521-DEV-513/images/MLS-Job-Catalogue.pdf</t>
        </is>
      </c>
      <c r="K168" s="202" t="n"/>
      <c r="L168" s="202" t="n"/>
      <c r="M168" s="201" t="n"/>
      <c r="N168" s="16" t="inlineStr">
        <is>
          <t>Secondary</t>
        </is>
      </c>
    </row>
    <row r="169" ht="41" customHeight="1">
      <c r="A169" s="13" t="inlineStr">
        <is>
          <t>S04</t>
        </is>
      </c>
      <c r="B169" s="16" t="inlineStr">
        <is>
          <t>Mercer IPE · International Position Evaluation</t>
        </is>
      </c>
      <c r="C169" s="202" t="n"/>
      <c r="D169" s="201" t="n"/>
      <c r="E169" s="16" t="inlineStr">
        <is>
          <t>Factors Impact, Communication, Innovation, Knowledge · plus Effort &amp; Working Conditions, not used by IRIS → mapped to the IRIS six factors</t>
        </is>
      </c>
      <c r="F169" s="202" t="n"/>
      <c r="G169" s="202" t="n"/>
      <c r="H169" s="202" t="n"/>
      <c r="I169" s="201" t="n"/>
      <c r="J169" s="16" t="inlineStr">
        <is>
          <t>https://www.mercer.com/en-in/solutions/talent-and-rewards/job-architecture/job-evaluation-ipe/</t>
        </is>
      </c>
      <c r="K169" s="202" t="n"/>
      <c r="L169" s="202" t="n"/>
      <c r="M169" s="201" t="n"/>
      <c r="N169" s="16" t="inlineStr">
        <is>
          <t>Primary</t>
        </is>
      </c>
    </row>
    <row r="170" ht="67" customHeight="1">
      <c r="A170" s="13" t="inlineStr">
        <is>
          <t>S05</t>
        </is>
      </c>
      <c r="B170" s="16" t="inlineStr">
        <is>
          <t>Korn Ferry Hay Guide Chart-Profile method</t>
        </is>
      </c>
      <c r="C170" s="202" t="n"/>
      <c r="D170" s="201" t="n"/>
      <c r="E170" s="16" t="inlineStr">
        <is>
          <t>Factors Know-How, Problem Solving, Accountability · plus Working Conditions where it applies; used by 5,000+ private and public organisations</t>
        </is>
      </c>
      <c r="F170" s="202" t="n"/>
      <c r="G170" s="202" t="n"/>
      <c r="H170" s="202" t="n"/>
      <c r="I170" s="201" t="n"/>
      <c r="J170" s="16" t="inlineStr">
        <is>
          <t>https://www.gov.nl.ca/exec/tbs/department/branches/classification/what-is-the-korn-ferry-hay-group-guide-chart-profile-method-of-job-evaluation/ ; https://www.uwo.ca/humanresources/wjec/docs/hay_method_overview.pdf</t>
        </is>
      </c>
      <c r="K170" s="202" t="n"/>
      <c r="L170" s="202" t="n"/>
      <c r="M170" s="201" t="n"/>
      <c r="N170" s="16" t="inlineStr">
        <is>
          <t>Primary</t>
        </is>
      </c>
    </row>
    <row r="171" ht="54" customHeight="1">
      <c r="A171" s="13" t="inlineStr">
        <is>
          <t>S06</t>
        </is>
      </c>
      <c r="B171" s="16" t="inlineStr">
        <is>
          <t>Hay short profile · A / L / P</t>
        </is>
      </c>
      <c r="C171" s="202" t="n"/>
      <c r="D171" s="201" t="n"/>
      <c r="E171" s="16" t="inlineStr">
        <is>
          <t>A-profile = accountability exceeds problem solving · line, results-led; L = problem solving equals accountability · level profile; P = problem solving exceeds accountability · research, thinking-led → IRIS work-type tilts</t>
        </is>
      </c>
      <c r="F171" s="202" t="n"/>
      <c r="G171" s="202" t="n"/>
      <c r="H171" s="202" t="n"/>
      <c r="I171" s="201" t="n"/>
      <c r="J171" s="16" t="inlineStr">
        <is>
          <t>https://peoplecentre.wordpress.com/2016/10/02/hay-job-evaluation-methodology-the-short-profile/</t>
        </is>
      </c>
      <c r="K171" s="202" t="n"/>
      <c r="L171" s="202" t="n"/>
      <c r="M171" s="201" t="n"/>
      <c r="N171" s="16" t="inlineStr">
        <is>
          <t>Secondary</t>
        </is>
      </c>
    </row>
    <row r="172" ht="41" customHeight="1">
      <c r="A172" s="13" t="inlineStr">
        <is>
          <t>S07</t>
        </is>
      </c>
      <c r="B172" s="16" t="inlineStr">
        <is>
          <t>WTW Global Grading System</t>
        </is>
      </c>
      <c r="C172" s="202" t="n"/>
      <c r="D172" s="201" t="n"/>
      <c r="E172" s="16" t="inlineStr">
        <is>
          <t>Two-step banding then grading; separate management and IC paths; 16–25 grades by organisation size → IRIS band-then-level design</t>
        </is>
      </c>
      <c r="F172" s="202" t="n"/>
      <c r="G172" s="202" t="n"/>
      <c r="H172" s="202" t="n"/>
      <c r="I172" s="201" t="n"/>
      <c r="J172" s="16" t="inlineStr">
        <is>
          <t>https://assets.publishing.service.gov.uk/media/66a370440808eaf43b50d7b2/WTW_OME-STRB_Job_Levelling_FOR_PUBLICATION.pdf</t>
        </is>
      </c>
      <c r="K172" s="202" t="n"/>
      <c r="L172" s="202" t="n"/>
      <c r="M172" s="201" t="n"/>
      <c r="N172" s="16" t="inlineStr">
        <is>
          <t>Primary</t>
        </is>
      </c>
    </row>
    <row r="173" ht="54" customHeight="1">
      <c r="A173" s="13" t="inlineStr">
        <is>
          <t>S08</t>
        </is>
      </c>
      <c r="B173" s="16" t="inlineStr">
        <is>
          <t>SFIA 9 — levels of responsibility</t>
        </is>
      </c>
      <c r="C173" s="202" t="n"/>
      <c r="D173" s="201" t="n"/>
      <c r="E173" s="16" t="inlineStr">
        <is>
          <t>7 levels · Follow, Assist, Apply, Enable, Ensure/advise, Initiate/influence, Set strategy defined by autonomy, influence, complexity → factor anchors and the 1–5 proficiency scale</t>
        </is>
      </c>
      <c r="F173" s="202" t="n"/>
      <c r="G173" s="202" t="n"/>
      <c r="H173" s="202" t="n"/>
      <c r="I173" s="201" t="n"/>
      <c r="J173" s="16" t="inlineStr">
        <is>
          <t>https://sfia-online.org/en/about-sfia/how-sfia-works</t>
        </is>
      </c>
      <c r="K173" s="202" t="n"/>
      <c r="L173" s="202" t="n"/>
      <c r="M173" s="201" t="n"/>
      <c r="N173" s="16" t="inlineStr">
        <is>
          <t>Primary</t>
        </is>
      </c>
    </row>
    <row r="174" ht="54" customHeight="1">
      <c r="A174" s="13" t="inlineStr">
        <is>
          <t>S09</t>
        </is>
      </c>
      <c r="B174" s="16" t="inlineStr">
        <is>
          <t>McKinsey — spans of control archetypes</t>
        </is>
      </c>
      <c r="C174" s="202" t="n"/>
      <c r="D174" s="201" t="n"/>
      <c r="E174" s="16" t="inlineStr">
        <is>
          <t>Player/coach 3–5, coach 6–7, supervisor 8–10, facilitator 11–15, coordinator 15+ → IRIS span norms</t>
        </is>
      </c>
      <c r="F174" s="202" t="n"/>
      <c r="G174" s="202" t="n"/>
      <c r="H174" s="202" t="n"/>
      <c r="I174" s="201" t="n"/>
      <c r="J174" s="16" t="inlineStr">
        <is>
          <t>https://www.mckinsey.com/capabilities/people-and-organizational-performance/our-insights/how-to-identify-the-right-spans-of-control-for-your-organization</t>
        </is>
      </c>
      <c r="K174" s="202" t="n"/>
      <c r="L174" s="202" t="n"/>
      <c r="M174" s="201" t="n"/>
      <c r="N174" s="16" t="inlineStr">
        <is>
          <t>Primary</t>
        </is>
      </c>
    </row>
    <row r="175" ht="28" customHeight="1">
      <c r="A175" s="13" t="inlineStr">
        <is>
          <t>S10</t>
        </is>
      </c>
      <c r="B175" s="16" t="inlineStr">
        <is>
          <t>Levelling guides · Ravio, CareerBird, Careerminds</t>
        </is>
      </c>
      <c r="C175" s="202" t="n"/>
      <c r="D175" s="201" t="n"/>
      <c r="E175" s="16" t="inlineStr">
        <is>
          <t>≈ 12 levels suit 500–1,500 people → IRIS uses 12 employee levels</t>
        </is>
      </c>
      <c r="F175" s="202" t="n"/>
      <c r="G175" s="202" t="n"/>
      <c r="H175" s="202" t="n"/>
      <c r="I175" s="201" t="n"/>
      <c r="J175" s="16" t="inlineStr">
        <is>
          <t>Public web guides</t>
        </is>
      </c>
      <c r="K175" s="202" t="n"/>
      <c r="L175" s="202" t="n"/>
      <c r="M175" s="201" t="n"/>
      <c r="N175" s="16" t="inlineStr">
        <is>
          <t>Secondary</t>
        </is>
      </c>
    </row>
    <row r="176" ht="54" customHeight="1">
      <c r="A176" s="13" t="inlineStr">
        <is>
          <t>S11</t>
        </is>
      </c>
      <c r="B176" s="16" t="inlineStr">
        <is>
          <t>WorldatWork — salary structure policies and practices</t>
        </is>
      </c>
      <c r="C176" s="202" t="n"/>
      <c r="D176" s="201" t="n"/>
      <c r="E176" s="16" t="inlineStr">
        <is>
          <t>Graded salary structures, range spread and midpoint concepts. It does not give range spreads by level: the spreads and midpoint steps in M14 are IRIS working assumptions until a pay survey is bought</t>
        </is>
      </c>
      <c r="F176" s="202" t="n"/>
      <c r="G176" s="202" t="n"/>
      <c r="H176" s="202" t="n"/>
      <c r="I176" s="201" t="n"/>
      <c r="J176" s="16" t="inlineStr">
        <is>
          <t>https://worldatwork.org/media/CDN/dist/CDN2/documents/pdf/resources/research/Salary-Structure-Policies-Practices-2012.pdf</t>
        </is>
      </c>
      <c r="K176" s="202" t="n"/>
      <c r="L176" s="202" t="n"/>
      <c r="M176" s="201" t="n"/>
      <c r="N176" s="16" t="inlineStr">
        <is>
          <t>Secondary</t>
        </is>
      </c>
    </row>
    <row r="177" ht="54" customHeight="1">
      <c r="A177" s="13" t="inlineStr">
        <is>
          <t>S12</t>
        </is>
      </c>
      <c r="B177" s="16" t="inlineStr">
        <is>
          <t>World Economic Forum — Future of Jobs Report 2025</t>
        </is>
      </c>
      <c r="C177" s="202" t="n"/>
      <c r="D177" s="201" t="n"/>
      <c r="E177"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F177" s="202" t="n"/>
      <c r="G177" s="202" t="n"/>
      <c r="H177" s="202" t="n"/>
      <c r="I177" s="201" t="n"/>
      <c r="J177" s="16" t="inlineStr">
        <is>
          <t>https://www.weforum.org/publications/the-future-of-jobs-report-2025/digest/</t>
        </is>
      </c>
      <c r="K177" s="202" t="n"/>
      <c r="L177" s="202" t="n"/>
      <c r="M177" s="201" t="n"/>
      <c r="N177" s="16" t="inlineStr">
        <is>
          <t>Primary</t>
        </is>
      </c>
    </row>
    <row r="178" ht="28" customHeight="1">
      <c r="A178" s="13" t="inlineStr">
        <is>
          <t>S13</t>
        </is>
      </c>
      <c r="B178" s="16" t="inlineStr">
        <is>
          <t>PMI Talent Triangle</t>
        </is>
      </c>
      <c r="C178" s="202" t="n"/>
      <c r="D178" s="201" t="n"/>
      <c r="E178" s="16" t="inlineStr">
        <is>
          <t>Ways of Working, Power Skills, Business Acumen → leadership and project competencies</t>
        </is>
      </c>
      <c r="F178" s="202" t="n"/>
      <c r="G178" s="202" t="n"/>
      <c r="H178" s="202" t="n"/>
      <c r="I178" s="201" t="n"/>
      <c r="J178" s="16" t="inlineStr">
        <is>
          <t>https://www.pmi.org/certifications/certification-resources/maintain/talent-triangle</t>
        </is>
      </c>
      <c r="K178" s="202" t="n"/>
      <c r="L178" s="202" t="n"/>
      <c r="M178" s="201" t="n"/>
      <c r="N178" s="16" t="inlineStr">
        <is>
          <t>Primary</t>
        </is>
      </c>
    </row>
    <row r="179" ht="54" customHeight="1">
      <c r="A179" s="13" t="inlineStr">
        <is>
          <t>S14</t>
        </is>
      </c>
      <c r="B179" s="16" t="inlineStr">
        <is>
          <t>SHL Universal Competency Framework — the Great Eight</t>
        </is>
      </c>
      <c r="C179" s="202" t="n"/>
      <c r="D179" s="201" t="n"/>
      <c r="E179" s="16" t="inlineStr">
        <is>
          <t>Leading &amp; Deciding; Supporting &amp; Co-operating; Interacting &amp; Presenting; Analysing &amp; Interpreting; Creating &amp; Conceptualising; Organising &amp; Executing; Adapting &amp; Coping; Enterprising &amp; Performing → coverage check of the IRIS clusters</t>
        </is>
      </c>
      <c r="F179" s="202" t="n"/>
      <c r="G179" s="202" t="n"/>
      <c r="H179" s="202" t="n"/>
      <c r="I179" s="201" t="n"/>
      <c r="J179" s="16" t="inlineStr">
        <is>
          <t>https://www.shl.com/assets/campaigns/global/competency-fit/universal-competency-framework-whitepaper-en.pdf</t>
        </is>
      </c>
      <c r="K179" s="202" t="n"/>
      <c r="L179" s="202" t="n"/>
      <c r="M179" s="201" t="n"/>
      <c r="N179" s="16" t="inlineStr">
        <is>
          <t>Primary</t>
        </is>
      </c>
    </row>
    <row r="180" ht="41" customHeight="1">
      <c r="A180" s="13" t="inlineStr">
        <is>
          <t>S15</t>
        </is>
      </c>
      <c r="B180" s="16" t="inlineStr">
        <is>
          <t>Korn Ferry Leadership Architect · 38 competencies in four factors: Thought, Results, People, Self</t>
        </is>
      </c>
      <c r="C180" s="202" t="n"/>
      <c r="D180" s="201" t="n"/>
      <c r="E180" s="16" t="inlineStr">
        <is>
          <t>Behavioural anchors and coverage check for Core and Leadership clusters</t>
        </is>
      </c>
      <c r="F180" s="202" t="n"/>
      <c r="G180" s="202" t="n"/>
      <c r="H180" s="202" t="n"/>
      <c r="I180" s="201" t="n"/>
      <c r="J180" s="16" t="inlineStr">
        <is>
          <t>https://cardinalatwork.stanford.edu/careers/performance-management/competencies</t>
        </is>
      </c>
      <c r="K180" s="202" t="n"/>
      <c r="L180" s="202" t="n"/>
      <c r="M180" s="201" t="n"/>
      <c r="N180" s="16" t="inlineStr">
        <is>
          <t>Secondary</t>
        </is>
      </c>
    </row>
    <row r="181" ht="41" customHeight="1">
      <c r="A181" s="13" t="inlineStr">
        <is>
          <t>S16</t>
        </is>
      </c>
      <c r="B181" s="16" t="inlineStr">
        <is>
          <t>Google Project Oxygen — 10 behaviours of great managers</t>
        </is>
      </c>
      <c r="C181" s="202" t="n"/>
      <c r="D181" s="201" t="n"/>
      <c r="E181" s="16" t="inlineStr">
        <is>
          <t>Coach, empower, inclusive team, results, communicate, career development, vision, technical skill, collaborate, decide → Leadership cluster indicators</t>
        </is>
      </c>
      <c r="F181" s="202" t="n"/>
      <c r="G181" s="202" t="n"/>
      <c r="H181" s="202" t="n"/>
      <c r="I181" s="201" t="n"/>
      <c r="J181" s="16" t="inlineStr">
        <is>
          <t>https://rework.withgoogle.com/intl/en/guides/following-the-data-the-research-behind-great-managers</t>
        </is>
      </c>
      <c r="K181" s="202" t="n"/>
      <c r="L181" s="202" t="n"/>
      <c r="M181" s="201" t="n"/>
      <c r="N181" s="16" t="inlineStr">
        <is>
          <t>Secondary</t>
        </is>
      </c>
    </row>
    <row r="182" ht="28" customHeight="1">
      <c r="A182" s="13" t="inlineStr">
        <is>
          <t>S17</t>
        </is>
      </c>
      <c r="B182" s="16" t="inlineStr">
        <is>
          <t>Digital Education Council — AI literacy framework</t>
        </is>
      </c>
      <c r="C182" s="202" t="n"/>
      <c r="D182" s="201" t="n"/>
      <c r="E182" s="16" t="inlineStr">
        <is>
          <t>Understanding, critical evaluation and responsible use of AI → AI Literacy indicators</t>
        </is>
      </c>
      <c r="F182" s="202" t="n"/>
      <c r="G182" s="202" t="n"/>
      <c r="H182" s="202" t="n"/>
      <c r="I182" s="201" t="n"/>
      <c r="J182" s="16" t="inlineStr">
        <is>
          <t>Digital Education Council · public</t>
        </is>
      </c>
      <c r="K182" s="202" t="n"/>
      <c r="L182" s="202" t="n"/>
      <c r="M182" s="201" t="n"/>
      <c r="N182" s="16" t="inlineStr">
        <is>
          <t>Secondary</t>
        </is>
      </c>
    </row>
    <row r="183" ht="28" customHeight="1">
      <c r="A183" s="13" t="inlineStr">
        <is>
          <t>S18</t>
        </is>
      </c>
      <c r="B183" s="16" t="inlineStr">
        <is>
          <t>SHRM BASK</t>
        </is>
      </c>
      <c r="C183" s="202" t="n"/>
      <c r="D183" s="201" t="n"/>
      <c r="E183" s="16" t="inlineStr">
        <is>
          <t>HR department technical competencies</t>
        </is>
      </c>
      <c r="F183" s="202" t="n"/>
      <c r="G183" s="202" t="n"/>
      <c r="H183" s="202" t="n"/>
      <c r="I183" s="201" t="n"/>
      <c r="J183" s="16" t="inlineStr">
        <is>
          <t>https://www.shrm.org/credentials/certification/shrm-bask</t>
        </is>
      </c>
      <c r="K183" s="202" t="n"/>
      <c r="L183" s="202" t="n"/>
      <c r="M183" s="201" t="n"/>
      <c r="N183" s="16" t="inlineStr">
        <is>
          <t>Primary</t>
        </is>
      </c>
    </row>
    <row r="184" ht="28" customHeight="1">
      <c r="A184" s="13" t="inlineStr">
        <is>
          <t>S19</t>
        </is>
      </c>
      <c r="B184" s="16" t="inlineStr">
        <is>
          <t>CIPD Profession Map</t>
        </is>
      </c>
      <c r="C184" s="202" t="n"/>
      <c r="D184" s="201" t="n"/>
      <c r="E184" s="16" t="inlineStr">
        <is>
          <t>HR specialist areas</t>
        </is>
      </c>
      <c r="F184" s="202" t="n"/>
      <c r="G184" s="202" t="n"/>
      <c r="H184" s="202" t="n"/>
      <c r="I184" s="201" t="n"/>
      <c r="J184" s="16" t="inlineStr">
        <is>
          <t>https://www.cipd.org/en/the-people-profession/the-profession-map/</t>
        </is>
      </c>
      <c r="K184" s="202" t="n"/>
      <c r="L184" s="202" t="n"/>
      <c r="M184" s="201" t="n"/>
      <c r="N184" s="16" t="inlineStr">
        <is>
          <t>Primary</t>
        </is>
      </c>
    </row>
    <row r="185" ht="28" customHeight="1">
      <c r="A185" s="13" t="inlineStr">
        <is>
          <t>S20</t>
        </is>
      </c>
      <c r="B185" s="16" t="inlineStr">
        <is>
          <t>IMA Competency Framework · management accounting</t>
        </is>
      </c>
      <c r="C185" s="202" t="n"/>
      <c r="D185" s="201" t="n"/>
      <c r="E185" s="16" t="inlineStr">
        <is>
          <t>Finance department technical competencies</t>
        </is>
      </c>
      <c r="F185" s="202" t="n"/>
      <c r="G185" s="202" t="n"/>
      <c r="H185" s="202" t="n"/>
      <c r="I185" s="201" t="n"/>
      <c r="J185" s="16" t="inlineStr">
        <is>
          <t>https://www.imanet.org/framework</t>
        </is>
      </c>
      <c r="K185" s="202" t="n"/>
      <c r="L185" s="202" t="n"/>
      <c r="M185" s="201" t="n"/>
      <c r="N185" s="16" t="inlineStr">
        <is>
          <t>Primary</t>
        </is>
      </c>
    </row>
    <row r="186" ht="15" customHeight="1">
      <c r="A186" s="13" t="inlineStr">
        <is>
          <t>S21</t>
        </is>
      </c>
      <c r="B186" s="16" t="inlineStr">
        <is>
          <t>IIBA BABOK Guide v3</t>
        </is>
      </c>
      <c r="C186" s="202" t="n"/>
      <c r="D186" s="201" t="n"/>
      <c r="E186" s="16" t="inlineStr">
        <is>
          <t>Business Analysis competencies</t>
        </is>
      </c>
      <c r="F186" s="202" t="n"/>
      <c r="G186" s="202" t="n"/>
      <c r="H186" s="202" t="n"/>
      <c r="I186" s="201" t="n"/>
      <c r="J186" s="16" t="inlineStr">
        <is>
          <t>https://www.iiba.org</t>
        </is>
      </c>
      <c r="K186" s="202" t="n"/>
      <c r="L186" s="202" t="n"/>
      <c r="M186" s="201" t="n"/>
      <c r="N186" s="16" t="inlineStr">
        <is>
          <t>Primary</t>
        </is>
      </c>
    </row>
    <row r="187" ht="15" customHeight="1">
      <c r="A187" s="13" t="inlineStr">
        <is>
          <t>S22</t>
        </is>
      </c>
      <c r="B187" s="16" t="inlineStr">
        <is>
          <t>ISTQB</t>
        </is>
      </c>
      <c r="C187" s="202" t="n"/>
      <c r="D187" s="201" t="n"/>
      <c r="E187" s="16" t="inlineStr">
        <is>
          <t>Quality Assurance competencies and credentials</t>
        </is>
      </c>
      <c r="F187" s="202" t="n"/>
      <c r="G187" s="202" t="n"/>
      <c r="H187" s="202" t="n"/>
      <c r="I187" s="201" t="n"/>
      <c r="J187" s="16" t="inlineStr">
        <is>
          <t>https://www.istqb.org</t>
        </is>
      </c>
      <c r="K187" s="202" t="n"/>
      <c r="L187" s="202" t="n"/>
      <c r="M187" s="201" t="n"/>
      <c r="N187" s="16" t="inlineStr">
        <is>
          <t>Primary</t>
        </is>
      </c>
    </row>
    <row r="188" ht="15" customHeight="1">
      <c r="A188" s="13" t="inlineStr">
        <is>
          <t>S23</t>
        </is>
      </c>
      <c r="B188" s="16" t="inlineStr">
        <is>
          <t>ITIL 4 and ISO/IEC 27001:2022</t>
        </is>
      </c>
      <c r="C188" s="202" t="n"/>
      <c r="D188" s="201" t="n"/>
      <c r="E188" s="16" t="inlineStr">
        <is>
          <t>IT &amp; Infrastructure competencies</t>
        </is>
      </c>
      <c r="F188" s="202" t="n"/>
      <c r="G188" s="202" t="n"/>
      <c r="H188" s="202" t="n"/>
      <c r="I188" s="201" t="n"/>
      <c r="J188" s="16" t="inlineStr">
        <is>
          <t>https://www.iso.org/standard/27001</t>
        </is>
      </c>
      <c r="K188" s="202" t="n"/>
      <c r="L188" s="202" t="n"/>
      <c r="M188" s="201" t="n"/>
      <c r="N188" s="16" t="inlineStr">
        <is>
          <t>Primary</t>
        </is>
      </c>
    </row>
    <row r="189" ht="28" customHeight="1">
      <c r="A189" s="13" t="inlineStr">
        <is>
          <t>S24</t>
        </is>
      </c>
      <c r="B189" s="16" t="inlineStr">
        <is>
          <t>ICSI · Institute of Company Secretaries of India</t>
        </is>
      </c>
      <c r="C189" s="202" t="n"/>
      <c r="D189" s="201" t="n"/>
      <c r="E189" s="16" t="inlineStr">
        <is>
          <t>Secretarial &amp; Legal competencies; statutory gate for Company Secretary</t>
        </is>
      </c>
      <c r="F189" s="202" t="n"/>
      <c r="G189" s="202" t="n"/>
      <c r="H189" s="202" t="n"/>
      <c r="I189" s="201" t="n"/>
      <c r="J189" s="16" t="inlineStr">
        <is>
          <t>https://www.icsi.edu</t>
        </is>
      </c>
      <c r="K189" s="202" t="n"/>
      <c r="L189" s="202" t="n"/>
      <c r="M189" s="201" t="n"/>
      <c r="N189" s="16" t="inlineStr">
        <is>
          <t>Primary</t>
        </is>
      </c>
    </row>
    <row r="190" ht="28" customHeight="1">
      <c r="A190" s="13" t="inlineStr">
        <is>
          <t>S25</t>
        </is>
      </c>
      <c r="B190" s="16" t="inlineStr">
        <is>
          <t>AICPA &amp; XBRL US — XBRL US GAAP Certificate</t>
        </is>
      </c>
      <c r="C190" s="202" t="n"/>
      <c r="D190" s="201" t="n"/>
      <c r="E190" s="16" t="inlineStr">
        <is>
          <t>XBRL &amp; taxonomy competency and credential</t>
        </is>
      </c>
      <c r="F190" s="202" t="n"/>
      <c r="G190" s="202" t="n"/>
      <c r="H190" s="202" t="n"/>
      <c r="I190" s="201" t="n"/>
      <c r="J190" s="16" t="inlineStr">
        <is>
          <t>https://xbrl.us</t>
        </is>
      </c>
      <c r="K190" s="202" t="n"/>
      <c r="L190" s="202" t="n"/>
      <c r="M190" s="201" t="n"/>
      <c r="N190" s="16" t="inlineStr">
        <is>
          <t>Primary</t>
        </is>
      </c>
    </row>
    <row r="191" ht="28" customHeight="1">
      <c r="A191" s="13" t="inlineStr">
        <is>
          <t>S26</t>
        </is>
      </c>
      <c r="B191" s="16" t="inlineStr">
        <is>
          <t>ILO ISCO-08 · India's NCO-2015 follows the same structure</t>
        </is>
      </c>
      <c r="C191" s="202" t="n"/>
      <c r="D191" s="201" t="n"/>
      <c r="E191" s="16" t="inlineStr">
        <is>
          <t>Each job family is anchored to an ISCO-08 unit group so families are standard, not invented</t>
        </is>
      </c>
      <c r="F191" s="202" t="n"/>
      <c r="G191" s="202" t="n"/>
      <c r="H191" s="202" t="n"/>
      <c r="I191" s="201" t="n"/>
      <c r="J191" s="16" t="inlineStr">
        <is>
          <t>https://worldoftaxonomy.com/system/isco_08/node/251</t>
        </is>
      </c>
      <c r="K191" s="202" t="n"/>
      <c r="L191" s="202" t="n"/>
      <c r="M191" s="201" t="n"/>
      <c r="N191" s="16" t="inlineStr">
        <is>
          <t>Primary</t>
        </is>
      </c>
    </row>
    <row r="192" ht="54" customHeight="1">
      <c r="A192" s="13" t="inlineStr">
        <is>
          <t>S27</t>
        </is>
      </c>
      <c r="B192" s="16" t="inlineStr">
        <is>
          <t>Deloitte — The skills-based organization: a new operating model for work and the workforce</t>
        </is>
      </c>
      <c r="C192" s="202" t="n"/>
      <c r="D192" s="201" t="n"/>
      <c r="E192" s="16" t="inlineStr">
        <is>
          <t>71% of workers already perform some work outside the scope of their job descriptions · The skills-based organization, Deloitte Insights, 7 Sep 2022 → sub-families describe actual work; skills tracked per person</t>
        </is>
      </c>
      <c r="F192" s="202" t="n"/>
      <c r="G192" s="202" t="n"/>
      <c r="H192" s="202" t="n"/>
      <c r="I192" s="201" t="n"/>
      <c r="J192" s="16" t="inlineStr">
        <is>
          <t>https://www.deloitte.com/us/en/insights/topics/talent/organizational-skill-based-hiring.html</t>
        </is>
      </c>
      <c r="K192" s="202" t="n"/>
      <c r="L192" s="202" t="n"/>
      <c r="M192" s="201" t="n"/>
      <c r="N192" s="16" t="inlineStr">
        <is>
          <t>Primary</t>
        </is>
      </c>
    </row>
    <row r="193" ht="41" customHeight="1">
      <c r="A193" s="13" t="inlineStr">
        <is>
          <t>S30</t>
        </is>
      </c>
      <c r="B193" s="16" t="inlineStr">
        <is>
          <t>Workiva — engineering levels · Levels.fyi</t>
        </is>
      </c>
      <c r="C193" s="202" t="n"/>
      <c r="D193" s="201" t="n"/>
      <c r="E193" s="16" t="inlineStr">
        <is>
          <t>Associate SE → SE → Senior SE → Staff SE → Senior Staff SE · Levels.fyi pages could not be loaded; level names confirmed from Levels.fyi page titles and Workiva postings</t>
        </is>
      </c>
      <c r="F193" s="202" t="n"/>
      <c r="G193" s="202" t="n"/>
      <c r="H193" s="202" t="n"/>
      <c r="I193" s="201" t="n"/>
      <c r="J193" s="16" t="inlineStr">
        <is>
          <t>https://www.levels.fyi/companies/workiva/salaries/software-engineer</t>
        </is>
      </c>
      <c r="K193" s="202" t="n"/>
      <c r="L193" s="202" t="n"/>
      <c r="M193" s="201" t="n"/>
      <c r="N193" s="16" t="inlineStr">
        <is>
          <t>Secondary</t>
        </is>
      </c>
    </row>
    <row r="194" ht="28" customHeight="1">
      <c r="A194" s="13" t="inlineStr">
        <is>
          <t>S31</t>
        </is>
      </c>
      <c r="B194" s="16" t="inlineStr">
        <is>
          <t>DataTracks — careers site</t>
        </is>
      </c>
      <c r="C194" s="202" t="n"/>
      <c r="D194" s="201" t="n"/>
      <c r="E194" s="16" t="inlineStr">
        <is>
          <r>
            <rPr>
              <rFont val="Calibri"/>
              <b val="1"/>
              <sz val="10"/>
            </rPr>
            <t>Two published rungs:</t>
          </r>
          <r>
            <rPr>
              <rFont val="Calibri"/>
              <sz val="10"/>
            </rPr>
            <t xml:space="preserve"> Associate · freshers → Senior Associate · 2–5 yrs; nothing above is published</t>
          </r>
        </is>
      </c>
      <c r="F194" s="202" t="n"/>
      <c r="G194" s="202" t="n"/>
      <c r="H194" s="202" t="n"/>
      <c r="I194" s="201" t="n"/>
      <c r="J194" s="16" t="inlineStr">
        <is>
          <t>https://www.datatracks.com/in/careers/</t>
        </is>
      </c>
      <c r="K194" s="202" t="n"/>
      <c r="L194" s="202" t="n"/>
      <c r="M194" s="201" t="n"/>
      <c r="N194" s="16" t="inlineStr">
        <is>
          <t>Job postings</t>
        </is>
      </c>
    </row>
    <row r="195" ht="54" customHeight="1">
      <c r="A195" s="13" t="inlineStr">
        <is>
          <t>S32</t>
        </is>
      </c>
      <c r="B195" s="16" t="inlineStr">
        <is>
          <t>Google / Microsoft / Amazon engineering levels</t>
        </is>
      </c>
      <c r="C195" s="202" t="n"/>
      <c r="D195" s="201" t="n"/>
      <c r="E195"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F195" s="202" t="n"/>
      <c r="G195" s="202" t="n"/>
      <c r="H195" s="202" t="n"/>
      <c r="I195" s="201" t="n"/>
      <c r="J195" s="16" t="inlineStr">
        <is>
          <t>https://testrigor.com/blog/engineering-levels-in-different-companies-compared/ ; https://rajendrauppal.substack.com/p/understanding-levels-at-google-microsoft</t>
        </is>
      </c>
      <c r="K195" s="202" t="n"/>
      <c r="L195" s="202" t="n"/>
      <c r="M195" s="201" t="n"/>
      <c r="N195" s="16" t="inlineStr">
        <is>
          <t>Secondary</t>
        </is>
      </c>
    </row>
    <row r="196" ht="41" customHeight="1">
      <c r="A196" s="13" t="inlineStr">
        <is>
          <t>S33</t>
        </is>
      </c>
      <c r="B196" s="16" t="inlineStr">
        <is>
          <t>Infosys job levels</t>
        </is>
      </c>
      <c r="C196" s="202" t="n"/>
      <c r="D196" s="201" t="n"/>
      <c r="E196" s="16" t="inlineStr">
        <is>
          <t>JL3B Systems Engineer · 0–3 yrs → JL3A Senior SE → JL4 Technology Analyst → JL5 Technology Lead → JL6B Architect / PM → JL6A Senior Architect</t>
        </is>
      </c>
      <c r="F196" s="202" t="n"/>
      <c r="G196" s="202" t="n"/>
      <c r="H196" s="202" t="n"/>
      <c r="I196" s="201" t="n"/>
      <c r="J196" s="16" t="inlineStr">
        <is>
          <t>https://www.designgurus.io/blog/infosys-job-levels</t>
        </is>
      </c>
      <c r="K196" s="202" t="n"/>
      <c r="L196" s="202" t="n"/>
      <c r="M196" s="201" t="n"/>
      <c r="N196" s="16" t="inlineStr">
        <is>
          <t>Indicative</t>
        </is>
      </c>
    </row>
    <row r="197" ht="54" customHeight="1">
      <c r="A197" s="13" t="inlineStr">
        <is>
          <t>S34</t>
        </is>
      </c>
      <c r="B197" s="16" t="inlineStr">
        <is>
          <t>TCS grades</t>
        </is>
      </c>
      <c r="C197" s="202" t="n"/>
      <c r="D197" s="201" t="n"/>
      <c r="E197" s="16" t="inlineStr">
        <is>
          <t>C1Y ASE Trainee → C1 ASE / System Engineer → C2 IT Analyst → C3A Assistant Consultant → C3B Associate Consultant → C4 Consultant → C5 Senior Consultant → SP1 Principal Consultant</t>
        </is>
      </c>
      <c r="F197" s="202" t="n"/>
      <c r="G197" s="202" t="n"/>
      <c r="H197" s="202" t="n"/>
      <c r="I197" s="201" t="n"/>
      <c r="J197" s="16" t="inlineStr">
        <is>
          <t>https://www.designgurus.io/blog/tcs-job-levels</t>
        </is>
      </c>
      <c r="K197" s="202" t="n"/>
      <c r="L197" s="202" t="n"/>
      <c r="M197" s="201" t="n"/>
      <c r="N197" s="16" t="inlineStr">
        <is>
          <t>Indicative</t>
        </is>
      </c>
    </row>
    <row r="198" ht="54" customHeight="1">
      <c r="A198" s="13" t="inlineStr">
        <is>
          <t>S35</t>
        </is>
      </c>
      <c r="B198" s="16" t="inlineStr">
        <is>
          <t>Accenture India career levels</t>
        </is>
      </c>
      <c r="C198" s="202" t="n"/>
      <c r="D198" s="201" t="n"/>
      <c r="E198" s="16" t="inlineStr">
        <is>
          <t>L12 Associate · 0–1 yrs → L11 Analyst → L10 Senior Analyst → L9 Team Lead / Consultant → L8 Associate Manager → L7 Manager → L6 Senior Manager → L5+ leadership</t>
        </is>
      </c>
      <c r="F198" s="202" t="n"/>
      <c r="G198" s="202" t="n"/>
      <c r="H198" s="202" t="n"/>
      <c r="I198" s="201" t="n"/>
      <c r="J198" s="16" t="inlineStr">
        <is>
          <t>https://jobrise.io/hi/blog/accenture-salary-package-2026-india/</t>
        </is>
      </c>
      <c r="K198" s="202" t="n"/>
      <c r="L198" s="202" t="n"/>
      <c r="M198" s="201" t="n"/>
      <c r="N198" s="16" t="inlineStr">
        <is>
          <t>Indicative</t>
        </is>
      </c>
    </row>
    <row r="199" ht="41" customHeight="1">
      <c r="A199" s="13" t="inlineStr">
        <is>
          <t>S36</t>
        </is>
      </c>
      <c r="B199" s="16" t="inlineStr">
        <is>
          <t>Deloitte India / USI hierarchy</t>
        </is>
      </c>
      <c r="C199" s="202" t="n"/>
      <c r="D199" s="201" t="n"/>
      <c r="E199" s="16" t="inlineStr">
        <is>
          <t>Associate Analyst → Analyst → Consultant → Senior Consultant → Manager → Senior Manager → Managing Director → Partner / Principal</t>
        </is>
      </c>
      <c r="F199" s="202" t="n"/>
      <c r="G199" s="202" t="n"/>
      <c r="H199" s="202" t="n"/>
      <c r="I199" s="201" t="n"/>
      <c r="J199" s="16" t="inlineStr">
        <is>
          <t>https://networkinterview.com/technical-hierarchy-deloitte-india/</t>
        </is>
      </c>
      <c r="K199" s="202" t="n"/>
      <c r="L199" s="202" t="n"/>
      <c r="M199" s="201" t="n"/>
      <c r="N199" s="16" t="inlineStr">
        <is>
          <t>Indicative</t>
        </is>
      </c>
    </row>
    <row r="200" ht="41" customHeight="1">
      <c r="A200" s="13" t="inlineStr">
        <is>
          <t>S37</t>
        </is>
      </c>
      <c r="B200" s="16" t="inlineStr">
        <is>
          <t>GitLab — job frameworks and layers</t>
        </is>
      </c>
      <c r="C200" s="202" t="n"/>
      <c r="D200" s="201" t="n"/>
      <c r="E200" s="16" t="inlineStr">
        <is>
          <t>Two job frameworks · IC, people manager; ≤ 8 layers; Staff ↔ Manager, Principal ↔ Senior Manager, Distinguished ↔ Director, Fellow ↔ VP</t>
        </is>
      </c>
      <c r="F200" s="202" t="n"/>
      <c r="G200" s="202" t="n"/>
      <c r="H200" s="202" t="n"/>
      <c r="I200" s="201" t="n"/>
      <c r="J200" s="16" t="inlineStr">
        <is>
          <t>https://handbook.gitlab.com/handbook/company/structure/</t>
        </is>
      </c>
      <c r="K200" s="202" t="n"/>
      <c r="L200" s="202" t="n"/>
      <c r="M200" s="201" t="n"/>
      <c r="N200" s="16" t="inlineStr">
        <is>
          <t>Primary</t>
        </is>
      </c>
    </row>
    <row r="201" ht="28" customHeight="1">
      <c r="A201" s="13" t="inlineStr">
        <is>
          <t>S38</t>
        </is>
      </c>
      <c r="B201" s="16" t="inlineStr">
        <is>
          <t>Infosys, McKinsey, Unilever / HUL, Google — hiring practices</t>
        </is>
      </c>
      <c r="C201" s="202" t="n"/>
      <c r="D201" s="201" t="n"/>
      <c r="E201" s="16" t="inlineStr">
        <is>
          <t>Tiered campus entry; entry level by qualification; management-trainee programme; independent levelling panel</t>
        </is>
      </c>
      <c r="F201" s="202" t="n"/>
      <c r="G201" s="202" t="n"/>
      <c r="H201" s="202" t="n"/>
      <c r="I201" s="201" t="n"/>
      <c r="J201" s="16" t="inlineStr">
        <is>
          <t>Public careers / recruiting pages</t>
        </is>
      </c>
      <c r="K201" s="202" t="n"/>
      <c r="L201" s="202" t="n"/>
      <c r="M201" s="201" t="n"/>
      <c r="N201" s="16" t="inlineStr">
        <is>
          <t>Secondary</t>
        </is>
      </c>
    </row>
    <row r="202" ht="41" customHeight="1">
      <c r="A202" s="13" t="inlineStr">
        <is>
          <t>S44</t>
        </is>
      </c>
      <c r="B202" s="16" t="inlineStr">
        <is>
          <t>Software Engineering at Google — ch. 5 'How to Lead a Team' · Tech Lead Manager</t>
        </is>
      </c>
      <c r="C202" s="202" t="n"/>
      <c r="D202" s="201" t="n"/>
      <c r="E202" s="16" t="inlineStr">
        <is>
          <t>The Tech Lead Manager · TLM — a hybrid who leads a team and still contributes technically → B+ Player-Coach</t>
        </is>
      </c>
      <c r="F202" s="202" t="n"/>
      <c r="G202" s="202" t="n"/>
      <c r="H202" s="202" t="n"/>
      <c r="I202" s="201" t="n"/>
      <c r="J202" s="16" t="inlineStr">
        <is>
          <t>https://abseil.io/resources/swe-book/html/ch05.html ; https://newsletter.pragmaticengineer.com/p/leading-effective-engineering-teams</t>
        </is>
      </c>
      <c r="K202" s="202" t="n"/>
      <c r="L202" s="202" t="n"/>
      <c r="M202" s="201" t="n"/>
      <c r="N202" s="16" t="inlineStr">
        <is>
          <t>Primary</t>
        </is>
      </c>
    </row>
    <row r="203" ht="67" customHeight="1">
      <c r="A203" s="13" t="inlineStr">
        <is>
          <t>S45</t>
        </is>
      </c>
      <c r="B203" s="16" t="inlineStr">
        <is>
          <t>SaaS player-coach sales and revenue leaders · job postings</t>
        </is>
      </c>
      <c r="C203" s="202" t="n"/>
      <c r="D203" s="201" t="n"/>
      <c r="E203" s="16" t="inlineStr">
        <is>
          <t>Leaders who carry their own quota or book while building and coaching the team → C+ / B+ Player-Coach in commercial roles</t>
        </is>
      </c>
      <c r="F203" s="202" t="n"/>
      <c r="G203" s="202" t="n"/>
      <c r="H203" s="202" t="n"/>
      <c r="I203" s="201" t="n"/>
      <c r="J203" s="16" t="inlineStr">
        <is>
          <t>https://www.itjobswatch.co.uk/jv/Space-Executive/Sales-Lead-Player-Coach-HR-Tech-Job-City-of-London-Greater-London-UK-4vommq ; https://salesgravy.com/the-player-coach-problem-how-to-prospect-and-lead-at-the-same-time-ask-jeb/</t>
        </is>
      </c>
      <c r="K203" s="202" t="n"/>
      <c r="L203" s="202" t="n"/>
      <c r="M203" s="201" t="n"/>
      <c r="N203" s="16" t="inlineStr">
        <is>
          <t>Job postings</t>
        </is>
      </c>
    </row>
    <row r="204" ht="54" customHeight="1">
      <c r="A204" s="13" t="inlineStr">
        <is>
          <t>S46</t>
        </is>
      </c>
      <c r="B204" s="16" t="inlineStr">
        <is>
          <t>Canada Treasury Board — Executive Group Position Evaluation Plan, 2005</t>
        </is>
      </c>
      <c r="C204" s="202" t="n"/>
      <c r="D204" s="201" t="n"/>
      <c r="E204" s="16" t="inlineStr">
        <is>
          <t>Verified Hay point evaluations of real manager and executive jobs; the know-how / problem solving / accountability split by level used in the weight derivation</t>
        </is>
      </c>
      <c r="F204" s="202" t="n"/>
      <c r="G204" s="202" t="n"/>
      <c r="H204" s="202" t="n"/>
      <c r="I204" s="201" t="n"/>
      <c r="J204" s="16" t="inlineStr">
        <is>
          <t>https://www.canada.ca/en/treasury-board-secretariat/services/collective-agreements/job-evaluation/executive-group-position-evaluation-plan-september-2005.html</t>
        </is>
      </c>
      <c r="K204" s="202" t="n"/>
      <c r="L204" s="202" t="n"/>
      <c r="M204" s="201" t="n"/>
      <c r="N204" s="16" t="inlineStr">
        <is>
          <t>Primary</t>
        </is>
      </c>
    </row>
    <row r="205" ht="93" customHeight="1">
      <c r="A205" s="13" t="inlineStr">
        <is>
          <t>S47</t>
        </is>
      </c>
      <c r="B205" s="16" t="inlineStr">
        <is>
          <t>Canada Treasury Board — Executive Group Position Evaluation Plan, 2022</t>
        </is>
      </c>
      <c r="C205" s="202" t="n"/>
      <c r="D205" s="201" t="n"/>
      <c r="E205" s="16" t="inlineStr">
        <is>
          <t>Current version of the same plan with benchmark evaluations; confirms accountability's share rises with seniority</t>
        </is>
      </c>
      <c r="F205" s="202" t="n"/>
      <c r="G205" s="202" t="n"/>
      <c r="H205" s="202" t="n"/>
      <c r="I205" s="201" t="n"/>
      <c r="J205"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K205" s="202" t="n"/>
      <c r="L205" s="202" t="n"/>
      <c r="M205" s="201" t="n"/>
      <c r="N205" s="16" t="inlineStr">
        <is>
          <t>Primary</t>
        </is>
      </c>
    </row>
    <row r="206" ht="41" customHeight="1">
      <c r="A206" s="13" t="inlineStr">
        <is>
          <t>S48</t>
        </is>
      </c>
      <c r="B206" s="16" t="inlineStr">
        <is>
          <t>Hay Group — summary deck of the Guide Chart-Profile method</t>
        </is>
      </c>
      <c r="C206" s="202" t="n"/>
      <c r="D206" s="201" t="n"/>
      <c r="E206" s="16" t="inlineStr">
        <is>
          <t>Typical Hay profiles for clerical, specialist and supervisory jobs; the shares used for the junior and professional rows</t>
        </is>
      </c>
      <c r="F206" s="202" t="n"/>
      <c r="G206" s="202" t="n"/>
      <c r="H206" s="202" t="n"/>
      <c r="I206" s="201" t="n"/>
      <c r="J206" s="16" t="inlineStr">
        <is>
          <t>https://www.slideshare.net/slideshow/hay-summary/55196354</t>
        </is>
      </c>
      <c r="K206" s="202" t="n"/>
      <c r="L206" s="202" t="n"/>
      <c r="M206" s="201" t="n"/>
      <c r="N206" s="16" t="inlineStr">
        <is>
          <t>Secondary</t>
        </is>
      </c>
    </row>
    <row r="207" ht="28" customHeight="1">
      <c r="A207" s="13" t="inlineStr">
        <is>
          <t>S49</t>
        </is>
      </c>
      <c r="B207" s="16" t="inlineStr">
        <is>
          <t>Lincolnshire County Council — Hay Group job evaluation method</t>
        </is>
      </c>
      <c r="C207" s="202" t="n"/>
      <c r="D207" s="201" t="n"/>
      <c r="E207" s="16" t="inlineStr">
        <is>
          <t>Defines know-how as all knowledge and skill however acquired — the basis for not scoring experience on its own</t>
        </is>
      </c>
      <c r="F207" s="202" t="n"/>
      <c r="G207" s="202" t="n"/>
      <c r="H207" s="202" t="n"/>
      <c r="I207" s="201" t="n"/>
      <c r="J207" s="16" t="inlineStr">
        <is>
          <t>https://professionals.lincolnshire.gov.uk/downloads/file/576/hay-group-je-method</t>
        </is>
      </c>
      <c r="K207" s="202" t="n"/>
      <c r="L207" s="202" t="n"/>
      <c r="M207" s="201" t="n"/>
      <c r="N207" s="16" t="inlineStr">
        <is>
          <t>Primary</t>
        </is>
      </c>
    </row>
    <row r="208" ht="28" customHeight="1">
      <c r="A208" s="13" t="inlineStr">
        <is>
          <t>S50</t>
        </is>
      </c>
      <c r="B208" s="16" t="inlineStr">
        <is>
          <t>Western University — Hay method overview</t>
        </is>
      </c>
      <c r="C208" s="202" t="n"/>
      <c r="D208" s="201" t="n"/>
      <c r="E208" s="16" t="inlineStr">
        <is>
          <t>Plain explanation of the three Hay factors and the short profile; cross-check of the Hay shares</t>
        </is>
      </c>
      <c r="F208" s="202" t="n"/>
      <c r="G208" s="202" t="n"/>
      <c r="H208" s="202" t="n"/>
      <c r="I208" s="201" t="n"/>
      <c r="J208" s="16" t="inlineStr">
        <is>
          <t>https://www.uwo.ca/humanresources/wjec/docs/hay_method_overview.pdf</t>
        </is>
      </c>
      <c r="K208" s="202" t="n"/>
      <c r="L208" s="202" t="n"/>
      <c r="M208" s="201" t="n"/>
      <c r="N208" s="16" t="inlineStr">
        <is>
          <t>Secondary</t>
        </is>
      </c>
    </row>
    <row r="209" ht="41" customHeight="1">
      <c r="A209" s="13" t="inlineStr">
        <is>
          <t>S51</t>
        </is>
      </c>
      <c r="B209" s="16" t="inlineStr">
        <is>
          <t>Derbyshire County Council — Korn Ferry Hay scheme</t>
        </is>
      </c>
      <c r="C209" s="202" t="n"/>
      <c r="D209" s="201" t="n"/>
      <c r="E209" s="16" t="inlineStr">
        <is>
          <t>Confirms current Korn Ferry Hay use in UK public employers and the factor definitions</t>
        </is>
      </c>
      <c r="F209" s="202" t="n"/>
      <c r="G209" s="202" t="n"/>
      <c r="H209" s="202" t="n"/>
      <c r="I209" s="201" t="n"/>
      <c r="J209" s="16" t="inlineStr">
        <is>
          <t>https://staff.derbyshire.gov.uk/jobs-and-recruitment/job-evaluation/korn-ferry-hay-scheme/korn-ferry-hay-scheme.aspx</t>
        </is>
      </c>
      <c r="K209" s="202" t="n"/>
      <c r="L209" s="202" t="n"/>
      <c r="M209" s="201" t="n"/>
      <c r="N209" s="16" t="inlineStr">
        <is>
          <t>Secondary</t>
        </is>
      </c>
    </row>
    <row r="210" ht="41" customHeight="1">
      <c r="A210" s="13" t="inlineStr">
        <is>
          <t>S52</t>
        </is>
      </c>
      <c r="B210" s="16" t="inlineStr">
        <is>
          <t>Mercer IPE — position evaluation manual and factor sheet</t>
        </is>
      </c>
      <c r="C210" s="202" t="n"/>
      <c r="D210" s="201" t="n"/>
      <c r="E210" s="16" t="inlineStr">
        <is>
          <t>Maximum points per factor and the factor definitions — Impact, Communication, Innovation, Knowledge — used for the IPE column of the derivation</t>
        </is>
      </c>
      <c r="F210" s="202" t="n"/>
      <c r="G210" s="202" t="n"/>
      <c r="H210" s="202" t="n"/>
      <c r="I210" s="201" t="n"/>
      <c r="J210" s="16" t="inlineStr">
        <is>
          <t>https://www.karlancer.com/api/file/1685038954-V7Gx.pdf ; https://studylib.net/doc/25471018/197145561-evaluation-factors-mercer</t>
        </is>
      </c>
      <c r="K210" s="202" t="n"/>
      <c r="L210" s="202" t="n"/>
      <c r="M210" s="201" t="n"/>
      <c r="N210" s="16" t="inlineStr">
        <is>
          <t>Secondary</t>
        </is>
      </c>
    </row>
    <row r="211" ht="28" customHeight="1">
      <c r="A211" s="13" t="inlineStr">
        <is>
          <t>S53</t>
        </is>
      </c>
      <c r="B211" s="16" t="inlineStr">
        <is>
          <t>NHS Agenda for Change — Job Evaluation Handbook</t>
        </is>
      </c>
      <c r="C211" s="202" t="n"/>
      <c r="D211" s="201" t="n"/>
      <c r="E211" s="16" t="inlineStr">
        <is>
          <t>16 factors and 1,000 points with published weights; knowledge 24%, financial and physical resources 6%</t>
        </is>
      </c>
      <c r="F211" s="202" t="n"/>
      <c r="G211" s="202" t="n"/>
      <c r="H211" s="202" t="n"/>
      <c r="I211" s="201" t="n"/>
      <c r="J211" s="16" t="inlineStr">
        <is>
          <t>https://www.nhsemployers.org/sites/default/files/pdf/22/165.pdf</t>
        </is>
      </c>
      <c r="K211" s="202" t="n"/>
      <c r="L211" s="202" t="n"/>
      <c r="M211" s="201" t="n"/>
      <c r="N211" s="16" t="inlineStr">
        <is>
          <t>Primary</t>
        </is>
      </c>
    </row>
    <row r="212" ht="28" customHeight="1">
      <c r="A212" s="13" t="inlineStr">
        <is>
          <t>S54</t>
        </is>
      </c>
      <c r="B212" s="16" t="inlineStr">
        <is>
          <t>Police Staff Council — job evaluation handbook, NJC 13-factor scheme</t>
        </is>
      </c>
      <c r="C212" s="202" t="n"/>
      <c r="D212" s="201" t="n"/>
      <c r="E212" s="16" t="inlineStr">
        <is>
          <t>Published factor points for the UK local-government scheme; used for the public-plan average</t>
        </is>
      </c>
      <c r="F212" s="202" t="n"/>
      <c r="G212" s="202" t="n"/>
      <c r="H212" s="202" t="n"/>
      <c r="I212" s="201" t="n"/>
      <c r="J212" s="16" t="inlineStr">
        <is>
          <t>https://lb2.local.gov.uk/sites/default/files/documents/police-staff-council-13-f-342.pdf</t>
        </is>
      </c>
      <c r="K212" s="202" t="n"/>
      <c r="L212" s="202" t="n"/>
      <c r="M212" s="201" t="n"/>
      <c r="N212" s="16" t="inlineStr">
        <is>
          <t>Primary</t>
        </is>
      </c>
    </row>
    <row r="213" ht="41" customHeight="1">
      <c r="A213" s="13" t="inlineStr">
        <is>
          <t>S55</t>
        </is>
      </c>
      <c r="B213" s="16" t="inlineStr">
        <is>
          <t>Greater London Provincial Council — points weighting, Denbighshire County Council</t>
        </is>
      </c>
      <c r="C213" s="202" t="n"/>
      <c r="D213" s="201" t="n"/>
      <c r="E213" s="16" t="inlineStr">
        <is>
          <t>11 factors and 948 points with published weights</t>
        </is>
      </c>
      <c r="F213" s="202" t="n"/>
      <c r="G213" s="202" t="n"/>
      <c r="H213" s="202" t="n"/>
      <c r="I213" s="201" t="n"/>
      <c r="J213" s="16" t="inlineStr">
        <is>
          <t>https://www.sirddinbych.gov.uk/en/documents/jobs-and-employees/my-employment/reorganisation-and-change/glpc-points-weighting.pdf</t>
        </is>
      </c>
      <c r="K213" s="202" t="n"/>
      <c r="L213" s="202" t="n"/>
      <c r="M213" s="201" t="n"/>
      <c r="N213" s="16" t="inlineStr">
        <is>
          <t>Primary</t>
        </is>
      </c>
    </row>
    <row r="214" ht="28" customHeight="1">
      <c r="A214" s="13" t="inlineStr">
        <is>
          <t>S56</t>
        </is>
      </c>
      <c r="B214" s="16" t="inlineStr">
        <is>
          <t>Scottish Joint Council scheme — Highland Council scoring matrix</t>
        </is>
      </c>
      <c r="C214" s="202" t="n"/>
      <c r="D214" s="201" t="n"/>
      <c r="E214" s="16" t="inlineStr">
        <is>
          <t>13 factors and 1,000 points with published weights</t>
        </is>
      </c>
      <c r="F214" s="202" t="n"/>
      <c r="G214" s="202" t="n"/>
      <c r="H214" s="202" t="n"/>
      <c r="I214" s="201" t="n"/>
      <c r="J214" s="16" t="inlineStr">
        <is>
          <t>https://www.highland.gov.uk/download/downloads/id/3889/scoring_matrix.pdf</t>
        </is>
      </c>
      <c r="K214" s="202" t="n"/>
      <c r="L214" s="202" t="n"/>
      <c r="M214" s="201" t="n"/>
      <c r="N214" s="16" t="inlineStr">
        <is>
          <t>Primary</t>
        </is>
      </c>
    </row>
    <row r="215" ht="54" customHeight="1">
      <c r="A215" s="13" t="inlineStr">
        <is>
          <t>S57</t>
        </is>
      </c>
      <c r="B215" s="16" t="inlineStr">
        <is>
          <t>US OPM — Introduction to the Position Classification Standards, Factor Evaluation System</t>
        </is>
      </c>
      <c r="C215" s="202" t="n"/>
      <c r="D215" s="201" t="n"/>
      <c r="E215" s="16" t="inlineStr">
        <is>
          <t>9 factors and 4,480 points; the most knowledge-heavy plan, with no separate financial factor</t>
        </is>
      </c>
      <c r="F215" s="202" t="n"/>
      <c r="G215" s="202" t="n"/>
      <c r="H215" s="202" t="n"/>
      <c r="I215" s="201" t="n"/>
      <c r="J215" s="16" t="inlineStr">
        <is>
          <t>https://www.opm.gov/policy-data-oversight/classification-qualifications/classifying-general-schedule-positions/positionclassificationintro.pdf</t>
        </is>
      </c>
      <c r="K215" s="202" t="n"/>
      <c r="L215" s="202" t="n"/>
      <c r="M215" s="201" t="n"/>
      <c r="N215" s="16" t="inlineStr">
        <is>
          <t>Primary</t>
        </is>
      </c>
    </row>
    <row r="216" ht="80" customHeight="1">
      <c r="A216" s="13" t="inlineStr">
        <is>
          <t>S58</t>
        </is>
      </c>
      <c r="B216" s="16" t="inlineStr">
        <is>
          <t>McKinsey — Taking a skills-based approach to building the future workforce, 2022</t>
        </is>
      </c>
      <c r="C216" s="202" t="n"/>
      <c r="D216" s="201" t="n"/>
      <c r="E216" s="16" t="inlineStr">
        <is>
          <t>Hiring for skills is more than twice as predictive as hiring for work experience — support for a low Experience weight</t>
        </is>
      </c>
      <c r="F216" s="202" t="n"/>
      <c r="G216" s="202" t="n"/>
      <c r="H216" s="202" t="n"/>
      <c r="I216" s="201" t="n"/>
      <c r="J216" s="16" t="inlineStr">
        <is>
          <t>https://www.mckinsey.com/~/media/mckinsey/business%20functions/people%20and%20organizational%20performance/our%20insights/taking%20a%20skills%20based%20approach%20to%20building%20the%20future%20workforce/taking-a-skills-based-approach-to-building-the-future-workforce-vf.pdf</t>
        </is>
      </c>
      <c r="K216" s="202" t="n"/>
      <c r="L216" s="202" t="n"/>
      <c r="M216" s="201" t="n"/>
      <c r="N216" s="16" t="inlineStr">
        <is>
          <t>Primary</t>
        </is>
      </c>
    </row>
    <row r="217" ht="41" customHeight="1">
      <c r="A217" s="13" t="inlineStr">
        <is>
          <t>S59</t>
        </is>
      </c>
      <c r="B217" s="16" t="inlineStr">
        <is>
          <t>Deloitte — Human Capital Trends 2023, skills-based model</t>
        </is>
      </c>
      <c r="C217" s="202" t="n"/>
      <c r="D217" s="201" t="n"/>
      <c r="E217" s="16" t="inlineStr">
        <is>
          <t>Organisations moving to deploy and promote on skills rather than tenure or job history</t>
        </is>
      </c>
      <c r="F217" s="202" t="n"/>
      <c r="G217" s="202" t="n"/>
      <c r="H217" s="202" t="n"/>
      <c r="I217" s="201" t="n"/>
      <c r="J217" s="16" t="inlineStr">
        <is>
          <t>https://www.deloitte.com/us/en/insights/topics/talent/human-capital-trends/2023/skills-based-model-end-of-jobs.html</t>
        </is>
      </c>
      <c r="K217" s="202" t="n"/>
      <c r="L217" s="202" t="n"/>
      <c r="M217" s="201" t="n"/>
      <c r="N217" s="16" t="inlineStr">
        <is>
          <t>Primary</t>
        </is>
      </c>
    </row>
    <row r="218" ht="41" customHeight="1">
      <c r="A218" s="13" t="inlineStr">
        <is>
          <t>S60</t>
        </is>
      </c>
      <c r="B218" s="16" t="inlineStr">
        <is>
          <t>World Economic Forum — Skills-first: 6 success factors, 2024</t>
        </is>
      </c>
      <c r="C218" s="202" t="n"/>
      <c r="D218" s="201" t="n"/>
      <c r="E218" s="16" t="inlineStr">
        <is>
          <t>Rethink education and previous experience as proxies for ability</t>
        </is>
      </c>
      <c r="F218" s="202" t="n"/>
      <c r="G218" s="202" t="n"/>
      <c r="H218" s="202" t="n"/>
      <c r="I218" s="201" t="n"/>
      <c r="J218" s="16" t="inlineStr">
        <is>
          <t>https://www.weforum.org/stories/2024/01/skills-first-6-success-factors-recruiting-developing-talent/</t>
        </is>
      </c>
      <c r="K218" s="202" t="n"/>
      <c r="L218" s="202" t="n"/>
      <c r="M218" s="201" t="n"/>
      <c r="N218" s="16" t="inlineStr">
        <is>
          <t>Secondary</t>
        </is>
      </c>
    </row>
    <row r="219" ht="41" customHeight="1">
      <c r="A219" s="13" t="inlineStr">
        <is>
          <t>S61</t>
        </is>
      </c>
      <c r="B219" s="16" t="inlineStr">
        <is>
          <t>EY Future of Pay via People Matters — India's 2026 salary increases to reward skills over seniority</t>
        </is>
      </c>
      <c r="C219" s="202" t="n"/>
      <c r="D219" s="201" t="n"/>
      <c r="E219" s="16" t="inlineStr">
        <is>
          <t>India pay moving away from tenure-based increases towards skills-led, performance-driven frameworks</t>
        </is>
      </c>
      <c r="F219" s="202" t="n"/>
      <c r="G219" s="202" t="n"/>
      <c r="H219" s="202" t="n"/>
      <c r="I219" s="201" t="n"/>
      <c r="J219" s="16" t="inlineStr">
        <is>
          <t>https://www.peoplematters.in/news/compensation-benefits/indias-2026-salary-increases-to-reward-skills-over-seniority-ey-48541</t>
        </is>
      </c>
      <c r="K219" s="202" t="n"/>
      <c r="L219" s="202" t="n"/>
      <c r="M219" s="201" t="n"/>
      <c r="N219" s="16" t="inlineStr">
        <is>
          <t>Secondary</t>
        </is>
      </c>
    </row>
    <row r="220" ht="41" customHeight="1">
      <c r="A220" s="13" t="inlineStr">
        <is>
          <t>S62</t>
        </is>
      </c>
      <c r="B220" s="16" t="inlineStr">
        <is>
          <t>WTW — Building resilient career ecosystems, India 2023</t>
        </is>
      </c>
      <c r="C220" s="202" t="n"/>
      <c r="D220" s="201" t="n"/>
      <c r="E220" s="16" t="inlineStr">
        <is>
          <t>WTW's view of career architecture design in India; complements the WTW GGS factors in S07</t>
        </is>
      </c>
      <c r="F220" s="202" t="n"/>
      <c r="G220" s="202" t="n"/>
      <c r="H220" s="202" t="n"/>
      <c r="I220" s="201" t="n"/>
      <c r="J220" s="16" t="inlineStr">
        <is>
          <t>https://www.wtwco.com/en-in/insights/2023/09/building-resilient-career-ecosystems-with-robust-career-strategy-and-design</t>
        </is>
      </c>
      <c r="K220" s="202" t="n"/>
      <c r="L220" s="202" t="n"/>
      <c r="M220" s="201" t="n"/>
      <c r="N220" s="16" t="inlineStr">
        <is>
          <t>Secondary</t>
        </is>
      </c>
    </row>
    <row r="221" ht="28" customHeight="1">
      <c r="A221" s="13" t="inlineStr">
        <is>
          <t>S63</t>
        </is>
      </c>
      <c r="B221" s="16" t="inlineStr">
        <is>
          <t>iPleaders — Director under the Companies Act 2013</t>
        </is>
      </c>
      <c r="C221" s="202" t="n"/>
      <c r="D221" s="201" t="n"/>
      <c r="E221" s="16" t="inlineStr">
        <is>
          <r>
            <rPr>
              <rFont val="Calibri"/>
              <b val="1"/>
              <sz val="10"/>
            </rPr>
            <t>Section 2, clause 34:</t>
          </r>
          <r>
            <rPr>
              <rFont val="Calibri"/>
              <sz val="10"/>
            </rPr>
            <t xml:space="preserve"> 'director' means a director appointed to the Board — the reason IRIS uses no 'Director' title</t>
          </r>
        </is>
      </c>
      <c r="F221" s="202" t="n"/>
      <c r="G221" s="202" t="n"/>
      <c r="H221" s="202" t="n"/>
      <c r="I221" s="201" t="n"/>
      <c r="J221" s="16" t="inlineStr">
        <is>
          <t>https://blog.ipleaders.in/director-companies-act-2013/</t>
        </is>
      </c>
      <c r="K221" s="202" t="n"/>
      <c r="L221" s="202" t="n"/>
      <c r="M221" s="201" t="n"/>
      <c r="N221" s="16" t="inlineStr">
        <is>
          <t>Primary</t>
        </is>
      </c>
    </row>
    <row r="222" ht="41" customHeight="1">
      <c r="A222" s="13" t="inlineStr">
        <is>
          <t>S64</t>
        </is>
      </c>
      <c r="B222" s="16" t="inlineStr">
        <is>
          <t>Kaanoon — 'Director' as an HR designation but not under the Companies Act</t>
        </is>
      </c>
      <c r="C222" s="202" t="n"/>
      <c r="D222" s="201" t="n"/>
      <c r="E222" s="16" t="inlineStr">
        <is>
          <t>Practitioner view that a 'Director' designation for non-board staff causes confusion and disclosure risk</t>
        </is>
      </c>
      <c r="F222" s="202" t="n"/>
      <c r="G222" s="202" t="n"/>
      <c r="H222" s="202" t="n"/>
      <c r="I222" s="201" t="n"/>
      <c r="J222" s="16" t="inlineStr">
        <is>
          <t>https://www.kaanoon.com/241487/designation-with-word-director-as-per-hr-policy-but-not-as-per-companies-act</t>
        </is>
      </c>
      <c r="K222" s="202" t="n"/>
      <c r="L222" s="202" t="n"/>
      <c r="M222" s="201" t="n"/>
      <c r="N222" s="16" t="inlineStr">
        <is>
          <t>Secondary</t>
        </is>
      </c>
    </row>
    <row r="223" ht="28" customHeight="1">
      <c r="A223" s="13" t="inlineStr">
        <is>
          <t>S65</t>
        </is>
      </c>
      <c r="B223" s="16" t="inlineStr">
        <is>
          <t>Wipro — Distinguished Member of Technical Staff</t>
        </is>
      </c>
      <c r="C223" s="202" t="n"/>
      <c r="D223" s="201" t="n"/>
      <c r="E223" s="16" t="inlineStr">
        <is>
          <t>Indian example of the 'Distinguished' top-specialist title — Option B for the D1 title</t>
        </is>
      </c>
      <c r="F223" s="202" t="n"/>
      <c r="G223" s="202" t="n"/>
      <c r="H223" s="202" t="n"/>
      <c r="I223" s="201" t="n"/>
      <c r="J223" s="16" t="inlineStr">
        <is>
          <t>https://www.wipro.com/innovation/distinguished-member-of-technical-staff/</t>
        </is>
      </c>
      <c r="K223" s="202" t="n"/>
      <c r="L223" s="202" t="n"/>
      <c r="M223" s="201" t="n"/>
      <c r="N223" s="16" t="inlineStr">
        <is>
          <t>Primary</t>
        </is>
      </c>
    </row>
    <row r="224" ht="28" customHeight="1">
      <c r="A224" s="13" t="inlineStr">
        <is>
          <t>S66</t>
        </is>
      </c>
      <c r="B224" s="16" t="inlineStr">
        <is>
          <t>Salesforce engineering levels — AMTS to Distinguished Engineer</t>
        </is>
      </c>
      <c r="C224" s="202" t="n"/>
      <c r="D224" s="201" t="n"/>
      <c r="E224" s="16" t="inlineStr">
        <is>
          <t>Global SaaS example of the top-specialist title above Principal Architect</t>
        </is>
      </c>
      <c r="F224" s="202" t="n"/>
      <c r="G224" s="202" t="n"/>
      <c r="H224" s="202" t="n"/>
      <c r="I224" s="201" t="n"/>
      <c r="J224" s="16" t="inlineStr">
        <is>
          <t>https://www.designgurus.io/blog/salesforce-software-engineer-levels</t>
        </is>
      </c>
      <c r="K224" s="202" t="n"/>
      <c r="L224" s="202" t="n"/>
      <c r="M224" s="201" t="n"/>
      <c r="N224" s="16" t="inlineStr">
        <is>
          <t>Secondary</t>
        </is>
      </c>
    </row>
    <row r="225" ht="28" customHeight="1">
      <c r="A225" s="13" t="inlineStr">
        <is>
          <t>S67</t>
        </is>
      </c>
      <c r="B225" s="16" t="inlineStr">
        <is>
          <t>LeadDev — Who are staff, principal and distinguished engineers</t>
        </is>
      </c>
      <c r="C225" s="202" t="n"/>
      <c r="D225" s="201" t="n"/>
      <c r="E225" s="16" t="inlineStr">
        <is>
          <t>How Principal, Distinguished and Fellow tiers are used and how rare they are</t>
        </is>
      </c>
      <c r="F225" s="202" t="n"/>
      <c r="G225" s="202" t="n"/>
      <c r="H225" s="202" t="n"/>
      <c r="I225" s="201" t="n"/>
      <c r="J225" s="16" t="inlineStr">
        <is>
          <t>https://leaddev.com/career-ladders/who-are-staff-principal-and-distinguished-engineers</t>
        </is>
      </c>
      <c r="K225" s="202" t="n"/>
      <c r="L225" s="202" t="n"/>
      <c r="M225" s="201" t="n"/>
      <c r="N225" s="16" t="inlineStr">
        <is>
          <t>Secondary</t>
        </is>
      </c>
    </row>
    <row r="226" ht="28" customHeight="1">
      <c r="A226" s="13" t="inlineStr">
        <is>
          <t>S68</t>
        </is>
      </c>
      <c r="B226" s="16" t="inlineStr">
        <is>
          <t>Dropbox — engineering career framework</t>
        </is>
      </c>
      <c r="C226" s="202" t="n"/>
      <c r="D226" s="201" t="n"/>
      <c r="E226" s="16" t="inlineStr">
        <is>
          <t>Published IC ladder with top-specialist tiers and their scope</t>
        </is>
      </c>
      <c r="F226" s="202" t="n"/>
      <c r="G226" s="202" t="n"/>
      <c r="H226" s="202" t="n"/>
      <c r="I226" s="201" t="n"/>
      <c r="J226" s="16" t="inlineStr">
        <is>
          <t>https://dropbox.tech/culture/our-updated-engineering-career-framework</t>
        </is>
      </c>
      <c r="K226" s="202" t="n"/>
      <c r="L226" s="202" t="n"/>
      <c r="M226" s="201" t="n"/>
      <c r="N226" s="16" t="inlineStr">
        <is>
          <t>Secondary</t>
        </is>
      </c>
    </row>
    <row r="227" ht="41" customHeight="1">
      <c r="A227" s="13" t="inlineStr">
        <is>
          <t>S69</t>
        </is>
      </c>
      <c r="B227" s="16" t="inlineStr">
        <is>
          <t>Square — growth framework for engineers and engineering managers</t>
        </is>
      </c>
      <c r="C227" s="202" t="n"/>
      <c r="D227" s="201" t="n"/>
      <c r="E227" s="16" t="inlineStr">
        <is>
          <t>Published IC and manager ladders side by side</t>
        </is>
      </c>
      <c r="F227" s="202" t="n"/>
      <c r="G227" s="202" t="n"/>
      <c r="H227" s="202" t="n"/>
      <c r="I227" s="201" t="n"/>
      <c r="J227" s="16" t="inlineStr">
        <is>
          <t>https://developer.squareup.com/blog/squares-growth-framework-for-engineers-and-engineering-managers/</t>
        </is>
      </c>
      <c r="K227" s="202" t="n"/>
      <c r="L227" s="202" t="n"/>
      <c r="M227" s="201" t="n"/>
      <c r="N227" s="16" t="inlineStr">
        <is>
          <t>Secondary</t>
        </is>
      </c>
    </row>
    <row r="228" ht="41" customHeight="1">
      <c r="A228" s="13" t="inlineStr">
        <is>
          <t>S70</t>
        </is>
      </c>
      <c r="B228" s="16" t="inlineStr">
        <is>
          <t>Carta and Pave — job levelling frameworks</t>
        </is>
      </c>
      <c r="C228" s="202" t="n"/>
      <c r="D228" s="201" t="n"/>
      <c r="E228" s="16" t="inlineStr">
        <is>
          <t>Market levelling guides used to check the level count and the IC ↔ manager pairing</t>
        </is>
      </c>
      <c r="F228" s="202" t="n"/>
      <c r="G228" s="202" t="n"/>
      <c r="H228" s="202" t="n"/>
      <c r="I228" s="201" t="n"/>
      <c r="J228" s="16" t="inlineStr">
        <is>
          <t>https://carta.com/learn/startups/compensation/job-leveling/ ; https://pave.com/blog-posts/job-leveling-framework</t>
        </is>
      </c>
      <c r="K228" s="202" t="n"/>
      <c r="L228" s="202" t="n"/>
      <c r="M228" s="201" t="n"/>
      <c r="N228" s="16" t="inlineStr">
        <is>
          <t>Secondary</t>
        </is>
      </c>
    </row>
    <row r="229" ht="28" customHeight="1">
      <c r="A229" s="13" t="inlineStr">
        <is>
          <t>S71</t>
        </is>
      </c>
      <c r="B229" s="16" t="inlineStr">
        <is>
          <t>Figures — Figures levels</t>
        </is>
      </c>
      <c r="C229" s="202" t="n"/>
      <c r="D229" s="201" t="n"/>
      <c r="E229" s="16" t="inlineStr">
        <is>
          <t>Second levelling crosswalk alongside the Mercer levels in S03</t>
        </is>
      </c>
      <c r="F229" s="202" t="n"/>
      <c r="G229" s="202" t="n"/>
      <c r="H229" s="202" t="n"/>
      <c r="I229" s="201" t="n"/>
      <c r="J229" s="16" t="inlineStr">
        <is>
          <t>https://help.figures.hr/en/articles/389317-figures-levels</t>
        </is>
      </c>
      <c r="K229" s="202" t="n"/>
      <c r="L229" s="202" t="n"/>
      <c r="M229" s="201" t="n"/>
      <c r="N229" s="16" t="inlineStr">
        <is>
          <t>Secondary</t>
        </is>
      </c>
    </row>
    <row r="230" ht="28" customHeight="1">
      <c r="A230" s="13" t="inlineStr">
        <is>
          <t>S72</t>
        </is>
      </c>
      <c r="B230" s="16" t="inlineStr">
        <is>
          <t>PayScale India — Chief Architect, IT</t>
        </is>
      </c>
      <c r="C230" s="202" t="n"/>
      <c r="D230" s="201" t="n"/>
      <c r="E230" s="16" t="inlineStr">
        <is>
          <t>Shows Chief Architect, IT tracked as an experienced and late-career role in India — Option A for the D1 title</t>
        </is>
      </c>
      <c r="F230" s="202" t="n"/>
      <c r="G230" s="202" t="n"/>
      <c r="H230" s="202" t="n"/>
      <c r="I230" s="201" t="n"/>
      <c r="J230" s="16" t="inlineStr">
        <is>
          <t>https://www.payscale.com/research/IN/Job=Chief_Architect%2C_IT/Skill-Experience</t>
        </is>
      </c>
      <c r="K230" s="202" t="n"/>
      <c r="L230" s="202" t="n"/>
      <c r="M230" s="201" t="n"/>
      <c r="N230" s="16" t="inlineStr">
        <is>
          <t>Indicative</t>
        </is>
      </c>
    </row>
    <row r="231" ht="28" customHeight="1">
      <c r="A231" s="13" t="inlineStr">
        <is>
          <t>S40</t>
        </is>
      </c>
      <c r="B231" s="16" t="inlineStr">
        <is>
          <t>Employee Master_New_23092026 and Employee Master_OLD</t>
        </is>
      </c>
      <c r="C231" s="202" t="n"/>
      <c r="D231" s="201" t="n"/>
      <c r="E231" s="16" t="inlineStr">
        <is>
          <t>Roster, department, manager, experience, qualification, category</t>
        </is>
      </c>
      <c r="F231" s="202" t="n"/>
      <c r="G231" s="202" t="n"/>
      <c r="H231" s="202" t="n"/>
      <c r="I231" s="201" t="n"/>
      <c r="J231" s="16" t="inlineStr">
        <is>
          <t>Internal</t>
        </is>
      </c>
      <c r="K231" s="202" t="n"/>
      <c r="L231" s="202" t="n"/>
      <c r="M231" s="201" t="n"/>
      <c r="N231" s="16" t="inlineStr">
        <is>
          <t>Internal</t>
        </is>
      </c>
    </row>
    <row r="232" ht="28" customHeight="1">
      <c r="A232" s="13" t="inlineStr">
        <is>
          <t>S41</t>
        </is>
      </c>
      <c r="B232" s="16" t="inlineStr">
        <is>
          <t>How We Grow survey · 521 responses</t>
        </is>
      </c>
      <c r="C232" s="202" t="n"/>
      <c r="D232" s="201" t="n"/>
      <c r="E232" s="16" t="inlineStr">
        <is>
          <t>Purpose, deliverables, accountability, decision rights, skills, tools, learning needs</t>
        </is>
      </c>
      <c r="F232" s="202" t="n"/>
      <c r="G232" s="202" t="n"/>
      <c r="H232" s="202" t="n"/>
      <c r="I232" s="201" t="n"/>
      <c r="J232" s="16" t="inlineStr">
        <is>
          <t>Internal</t>
        </is>
      </c>
      <c r="K232" s="202" t="n"/>
      <c r="L232" s="202" t="n"/>
      <c r="M232" s="201" t="n"/>
      <c r="N232" s="16" t="inlineStr">
        <is>
          <t>Internal</t>
        </is>
      </c>
    </row>
    <row r="233" ht="28" customHeight="1">
      <c r="A233" s="13" t="inlineStr">
        <is>
          <t>S42</t>
        </is>
      </c>
      <c r="B233" s="16" t="inlineStr">
        <is>
          <t>Manager talent-mapping files</t>
        </is>
      </c>
      <c r="C233" s="202" t="n"/>
      <c r="D233" s="201" t="n"/>
      <c r="E233" s="16" t="inlineStr">
        <is>
          <t>KRAs, rating, potential, readiness, 9-box, manager training need</t>
        </is>
      </c>
      <c r="F233" s="202" t="n"/>
      <c r="G233" s="202" t="n"/>
      <c r="H233" s="202" t="n"/>
      <c r="I233" s="201" t="n"/>
      <c r="J233" s="16" t="inlineStr">
        <is>
          <t>Internal</t>
        </is>
      </c>
      <c r="K233" s="202" t="n"/>
      <c r="L233" s="202" t="n"/>
      <c r="M233" s="201" t="n"/>
      <c r="N233" s="16" t="inlineStr">
        <is>
          <t>Internal</t>
        </is>
      </c>
    </row>
    <row r="234" ht="28" customHeight="1">
      <c r="A234" s="13" t="inlineStr">
        <is>
          <t>S43</t>
        </is>
      </c>
      <c r="B234" s="16" t="inlineStr">
        <is>
          <t>IRIS talent-mapping workbooks v1 and v2</t>
        </is>
      </c>
      <c r="C234" s="202" t="n"/>
      <c r="D234" s="201" t="n"/>
      <c r="E234" s="16" t="inlineStr">
        <is>
          <t>Factor ratings, competency ratings, duplication and mobility analysis</t>
        </is>
      </c>
      <c r="F234" s="202" t="n"/>
      <c r="G234" s="202" t="n"/>
      <c r="H234" s="202" t="n"/>
      <c r="I234" s="201" t="n"/>
      <c r="J234" s="16" t="inlineStr">
        <is>
          <t>Internal</t>
        </is>
      </c>
      <c r="K234" s="202" t="n"/>
      <c r="L234" s="202" t="n"/>
      <c r="M234" s="201" t="n"/>
      <c r="N234" s="16" t="inlineStr">
        <is>
          <t>Internal</t>
        </is>
      </c>
    </row>
  </sheetData>
  <mergeCells count="615">
    <mergeCell ref="B231:D231"/>
    <mergeCell ref="E175:I175"/>
    <mergeCell ref="A142:N142"/>
    <mergeCell ref="M79:N79"/>
    <mergeCell ref="F109:H109"/>
    <mergeCell ref="F111:H111"/>
    <mergeCell ref="E170:I170"/>
    <mergeCell ref="D70:E70"/>
    <mergeCell ref="A37:N37"/>
    <mergeCell ref="F70:G70"/>
    <mergeCell ref="A52:C52"/>
    <mergeCell ref="B213:D213"/>
    <mergeCell ref="I155:J155"/>
    <mergeCell ref="E226:I226"/>
    <mergeCell ref="E201:I201"/>
    <mergeCell ref="B21:E21"/>
    <mergeCell ref="D71:E71"/>
    <mergeCell ref="F71:G71"/>
    <mergeCell ref="I157:J157"/>
    <mergeCell ref="E228:I228"/>
    <mergeCell ref="B190:D190"/>
    <mergeCell ref="J216:M216"/>
    <mergeCell ref="B23:E23"/>
    <mergeCell ref="A49:C49"/>
    <mergeCell ref="B208:D208"/>
    <mergeCell ref="E172:I172"/>
    <mergeCell ref="D98:E98"/>
    <mergeCell ref="D73:E73"/>
    <mergeCell ref="J218:M218"/>
    <mergeCell ref="B219:D219"/>
    <mergeCell ref="B210:D210"/>
    <mergeCell ref="E223:I223"/>
    <mergeCell ref="F13:I13"/>
    <mergeCell ref="M92:N92"/>
    <mergeCell ref="F35:H35"/>
    <mergeCell ref="E165:I165"/>
    <mergeCell ref="A55:C55"/>
    <mergeCell ref="A119:N119"/>
    <mergeCell ref="D65:H65"/>
    <mergeCell ref="A94:N94"/>
    <mergeCell ref="G133:I133"/>
    <mergeCell ref="E161:F161"/>
    <mergeCell ref="B16:E16"/>
    <mergeCell ref="E177:I177"/>
    <mergeCell ref="J171:M171"/>
    <mergeCell ref="B201:D201"/>
    <mergeCell ref="J165:M165"/>
    <mergeCell ref="D53:E53"/>
    <mergeCell ref="E176:I176"/>
    <mergeCell ref="D47:E47"/>
    <mergeCell ref="B18:E18"/>
    <mergeCell ref="F47:G47"/>
    <mergeCell ref="B203:D203"/>
    <mergeCell ref="J229:M229"/>
    <mergeCell ref="J16:N16"/>
    <mergeCell ref="E191:I191"/>
    <mergeCell ref="F46:G46"/>
    <mergeCell ref="B11:E11"/>
    <mergeCell ref="E178:I178"/>
    <mergeCell ref="B84:L84"/>
    <mergeCell ref="J166:M166"/>
    <mergeCell ref="A131:B131"/>
    <mergeCell ref="B232:D232"/>
    <mergeCell ref="F112:H112"/>
    <mergeCell ref="F48:G48"/>
    <mergeCell ref="H48:I48"/>
    <mergeCell ref="B215:D215"/>
    <mergeCell ref="A38:N38"/>
    <mergeCell ref="B80:L80"/>
    <mergeCell ref="J191:M191"/>
    <mergeCell ref="B79:L79"/>
    <mergeCell ref="D60:H60"/>
    <mergeCell ref="F73:G73"/>
    <mergeCell ref="C132:F132"/>
    <mergeCell ref="A143:B143"/>
    <mergeCell ref="B229:D229"/>
    <mergeCell ref="B6:E6"/>
    <mergeCell ref="A149:C149"/>
    <mergeCell ref="B181:D181"/>
    <mergeCell ref="B81:L81"/>
    <mergeCell ref="K156:N156"/>
    <mergeCell ref="A50:C50"/>
    <mergeCell ref="L47:M47"/>
    <mergeCell ref="A146:N146"/>
    <mergeCell ref="A151:C151"/>
    <mergeCell ref="E231:I231"/>
    <mergeCell ref="J232:M232"/>
    <mergeCell ref="J219:M219"/>
    <mergeCell ref="J6:N6"/>
    <mergeCell ref="F105:H105"/>
    <mergeCell ref="A150:C150"/>
    <mergeCell ref="E158:F158"/>
    <mergeCell ref="J184:M184"/>
    <mergeCell ref="F107:H107"/>
    <mergeCell ref="E166:I166"/>
    <mergeCell ref="I59:N59"/>
    <mergeCell ref="M89:N89"/>
    <mergeCell ref="L50:M50"/>
    <mergeCell ref="E168:I168"/>
    <mergeCell ref="E162:F162"/>
    <mergeCell ref="C133:F133"/>
    <mergeCell ref="B17:E17"/>
    <mergeCell ref="B165:D165"/>
    <mergeCell ref="L52:M52"/>
    <mergeCell ref="D55:E55"/>
    <mergeCell ref="B92:L92"/>
    <mergeCell ref="J179:M179"/>
    <mergeCell ref="A28:E28"/>
    <mergeCell ref="D67:E67"/>
    <mergeCell ref="L137:N137"/>
    <mergeCell ref="E199:I199"/>
    <mergeCell ref="J18:N18"/>
    <mergeCell ref="B19:E19"/>
    <mergeCell ref="J187:M187"/>
    <mergeCell ref="J174:M174"/>
    <mergeCell ref="J168:M168"/>
    <mergeCell ref="A30:E30"/>
    <mergeCell ref="D69:E69"/>
    <mergeCell ref="J17:N17"/>
    <mergeCell ref="F69:G69"/>
    <mergeCell ref="E192:I192"/>
    <mergeCell ref="C42:D42"/>
    <mergeCell ref="E42:F42"/>
    <mergeCell ref="J19:N19"/>
    <mergeCell ref="B20:E20"/>
    <mergeCell ref="E194:I194"/>
    <mergeCell ref="D149:H149"/>
    <mergeCell ref="E181:I181"/>
    <mergeCell ref="F14:I14"/>
    <mergeCell ref="I62:N62"/>
    <mergeCell ref="F28:H28"/>
    <mergeCell ref="F51:G51"/>
    <mergeCell ref="H51:I51"/>
    <mergeCell ref="D151:H151"/>
    <mergeCell ref="I64:N64"/>
    <mergeCell ref="J55:K55"/>
    <mergeCell ref="A27:E27"/>
    <mergeCell ref="L55:M55"/>
    <mergeCell ref="D150:H150"/>
    <mergeCell ref="B197:D197"/>
    <mergeCell ref="B224:D224"/>
    <mergeCell ref="I65:N65"/>
    <mergeCell ref="A144:B144"/>
    <mergeCell ref="C39:D39"/>
    <mergeCell ref="C144:D144"/>
    <mergeCell ref="F67:G67"/>
    <mergeCell ref="G144:N144"/>
    <mergeCell ref="A158:D158"/>
    <mergeCell ref="J175:M175"/>
    <mergeCell ref="E174:I174"/>
    <mergeCell ref="B184:D184"/>
    <mergeCell ref="E159:F159"/>
    <mergeCell ref="C130:F130"/>
    <mergeCell ref="G159:H159"/>
    <mergeCell ref="A160:D160"/>
    <mergeCell ref="A159:D159"/>
    <mergeCell ref="D100:E100"/>
    <mergeCell ref="A46:C46"/>
    <mergeCell ref="G161:H161"/>
    <mergeCell ref="F110:H110"/>
    <mergeCell ref="B179:D179"/>
    <mergeCell ref="B166:D166"/>
    <mergeCell ref="L53:M53"/>
    <mergeCell ref="A161:D161"/>
    <mergeCell ref="J189:M189"/>
    <mergeCell ref="L138:N138"/>
    <mergeCell ref="D108:E108"/>
    <mergeCell ref="E200:I200"/>
    <mergeCell ref="B230:D230"/>
    <mergeCell ref="B168:D168"/>
    <mergeCell ref="J188:M188"/>
    <mergeCell ref="E202:I202"/>
    <mergeCell ref="B22:E22"/>
    <mergeCell ref="J190:M190"/>
    <mergeCell ref="D72:E72"/>
    <mergeCell ref="I137:K137"/>
    <mergeCell ref="J20:N20"/>
    <mergeCell ref="F72:G72"/>
    <mergeCell ref="H72:I72"/>
    <mergeCell ref="F15:I15"/>
    <mergeCell ref="A148:C148"/>
    <mergeCell ref="I139:K139"/>
    <mergeCell ref="A140:B140"/>
    <mergeCell ref="J22:N22"/>
    <mergeCell ref="E197:I197"/>
    <mergeCell ref="A154:D154"/>
    <mergeCell ref="B167:D167"/>
    <mergeCell ref="B63:C63"/>
    <mergeCell ref="E184:I184"/>
    <mergeCell ref="J208:M208"/>
    <mergeCell ref="B225:D225"/>
    <mergeCell ref="F54:G54"/>
    <mergeCell ref="H54:I54"/>
    <mergeCell ref="B90:L90"/>
    <mergeCell ref="E213:I213"/>
    <mergeCell ref="B175:D175"/>
    <mergeCell ref="J201:M201"/>
    <mergeCell ref="J13:N13"/>
    <mergeCell ref="E215:I215"/>
    <mergeCell ref="J228:M228"/>
    <mergeCell ref="J203:M203"/>
    <mergeCell ref="J15:N15"/>
    <mergeCell ref="E190:I190"/>
    <mergeCell ref="K158:N158"/>
    <mergeCell ref="H49:I49"/>
    <mergeCell ref="B187:D187"/>
    <mergeCell ref="J49:K49"/>
    <mergeCell ref="C40:D40"/>
    <mergeCell ref="E40:F40"/>
    <mergeCell ref="A75:N75"/>
    <mergeCell ref="G162:H162"/>
    <mergeCell ref="I162:J162"/>
    <mergeCell ref="B189:D189"/>
    <mergeCell ref="G41:I41"/>
    <mergeCell ref="B216:D216"/>
    <mergeCell ref="A162:D162"/>
    <mergeCell ref="D103:E103"/>
    <mergeCell ref="I149:N149"/>
    <mergeCell ref="B188:D188"/>
    <mergeCell ref="G43:I43"/>
    <mergeCell ref="B218:D218"/>
    <mergeCell ref="B193:D193"/>
    <mergeCell ref="I151:N151"/>
    <mergeCell ref="J183:M183"/>
    <mergeCell ref="F104:H104"/>
    <mergeCell ref="J193:M193"/>
    <mergeCell ref="G155:H155"/>
    <mergeCell ref="E160:F160"/>
    <mergeCell ref="E203:I203"/>
    <mergeCell ref="F106:H106"/>
    <mergeCell ref="B71:C71"/>
    <mergeCell ref="A155:D155"/>
    <mergeCell ref="D96:E96"/>
    <mergeCell ref="G157:H157"/>
    <mergeCell ref="I33:N33"/>
    <mergeCell ref="D52:E52"/>
    <mergeCell ref="A47:C47"/>
    <mergeCell ref="H73:I73"/>
    <mergeCell ref="C143:D143"/>
    <mergeCell ref="B211:D211"/>
    <mergeCell ref="A157:D157"/>
    <mergeCell ref="A25:N25"/>
    <mergeCell ref="E221:I221"/>
    <mergeCell ref="B60:C60"/>
    <mergeCell ref="B183:D183"/>
    <mergeCell ref="J209:M209"/>
    <mergeCell ref="B177:D177"/>
    <mergeCell ref="I35:N35"/>
    <mergeCell ref="M81:N81"/>
    <mergeCell ref="F7:I7"/>
    <mergeCell ref="J211:M211"/>
    <mergeCell ref="B212:D212"/>
    <mergeCell ref="A2:N2"/>
    <mergeCell ref="D106:E106"/>
    <mergeCell ref="B206:D206"/>
    <mergeCell ref="J186:M186"/>
    <mergeCell ref="E216:I216"/>
    <mergeCell ref="A116:H116"/>
    <mergeCell ref="I30:N30"/>
    <mergeCell ref="F34:H34"/>
    <mergeCell ref="K159:N159"/>
    <mergeCell ref="F99:H99"/>
    <mergeCell ref="J50:K50"/>
    <mergeCell ref="E218:I218"/>
    <mergeCell ref="F8:I8"/>
    <mergeCell ref="E41:F41"/>
    <mergeCell ref="J206:M206"/>
    <mergeCell ref="B180:D180"/>
    <mergeCell ref="J42:K42"/>
    <mergeCell ref="E193:I193"/>
    <mergeCell ref="I61:N61"/>
    <mergeCell ref="K161:N161"/>
    <mergeCell ref="F30:H30"/>
    <mergeCell ref="A117:H117"/>
    <mergeCell ref="D148:H148"/>
    <mergeCell ref="J52:K52"/>
    <mergeCell ref="J39:K39"/>
    <mergeCell ref="E43:F43"/>
    <mergeCell ref="B9:E9"/>
    <mergeCell ref="D109:E109"/>
    <mergeCell ref="I150:N150"/>
    <mergeCell ref="B59:C59"/>
    <mergeCell ref="D46:E46"/>
    <mergeCell ref="D111:E111"/>
    <mergeCell ref="E234:I234"/>
    <mergeCell ref="B196:D196"/>
    <mergeCell ref="J9:N9"/>
    <mergeCell ref="D104:E104"/>
    <mergeCell ref="E171:I171"/>
    <mergeCell ref="J224:M224"/>
    <mergeCell ref="A53:C53"/>
    <mergeCell ref="J199:M199"/>
    <mergeCell ref="H70:I70"/>
    <mergeCell ref="J134:L134"/>
    <mergeCell ref="E173:I173"/>
    <mergeCell ref="B73:C73"/>
    <mergeCell ref="E229:I229"/>
    <mergeCell ref="E140:H140"/>
    <mergeCell ref="A33:E33"/>
    <mergeCell ref="F21:I21"/>
    <mergeCell ref="I34:N34"/>
    <mergeCell ref="H47:I47"/>
    <mergeCell ref="A48:C48"/>
    <mergeCell ref="J47:K47"/>
    <mergeCell ref="B209:D209"/>
    <mergeCell ref="A35:E35"/>
    <mergeCell ref="B68:C68"/>
    <mergeCell ref="D68:E68"/>
    <mergeCell ref="A134:B134"/>
    <mergeCell ref="G39:I39"/>
    <mergeCell ref="L140:N140"/>
    <mergeCell ref="B214:D214"/>
    <mergeCell ref="J212:M212"/>
    <mergeCell ref="M87:N87"/>
    <mergeCell ref="F33:H33"/>
    <mergeCell ref="J214:M214"/>
    <mergeCell ref="F100:H100"/>
    <mergeCell ref="E219:I219"/>
    <mergeCell ref="M88:N88"/>
    <mergeCell ref="E224:I224"/>
    <mergeCell ref="M82:N82"/>
    <mergeCell ref="E156:F156"/>
    <mergeCell ref="K162:N162"/>
    <mergeCell ref="F31:H31"/>
    <mergeCell ref="A153:N153"/>
    <mergeCell ref="F102:H102"/>
    <mergeCell ref="J53:K53"/>
    <mergeCell ref="B67:C67"/>
    <mergeCell ref="B61:C61"/>
    <mergeCell ref="E155:F155"/>
    <mergeCell ref="M90:N90"/>
    <mergeCell ref="F16:I16"/>
    <mergeCell ref="D48:E48"/>
    <mergeCell ref="J130:L130"/>
    <mergeCell ref="B204:D204"/>
    <mergeCell ref="B69:C69"/>
    <mergeCell ref="J230:M230"/>
    <mergeCell ref="B198:D198"/>
    <mergeCell ref="A136:N136"/>
    <mergeCell ref="E157:F157"/>
    <mergeCell ref="J11:N11"/>
    <mergeCell ref="B12:E12"/>
    <mergeCell ref="D112:E112"/>
    <mergeCell ref="B87:L87"/>
    <mergeCell ref="J167:M167"/>
    <mergeCell ref="G131:I131"/>
    <mergeCell ref="A129:N129"/>
    <mergeCell ref="B233:D233"/>
    <mergeCell ref="M85:N85"/>
    <mergeCell ref="B227:D227"/>
    <mergeCell ref="B14:E14"/>
    <mergeCell ref="E137:H137"/>
    <mergeCell ref="B199:D199"/>
    <mergeCell ref="B64:C64"/>
    <mergeCell ref="J225:M225"/>
    <mergeCell ref="E212:I212"/>
    <mergeCell ref="J12:N12"/>
    <mergeCell ref="B13:E13"/>
    <mergeCell ref="E187:I187"/>
    <mergeCell ref="D51:E51"/>
    <mergeCell ref="H71:I71"/>
    <mergeCell ref="I26:N26"/>
    <mergeCell ref="K155:N155"/>
    <mergeCell ref="F23:I23"/>
    <mergeCell ref="J227:M227"/>
    <mergeCell ref="B228:D228"/>
    <mergeCell ref="E214:I214"/>
    <mergeCell ref="E189:I189"/>
    <mergeCell ref="A34:E34"/>
    <mergeCell ref="K157:N157"/>
    <mergeCell ref="A1:N1"/>
    <mergeCell ref="B217:D217"/>
    <mergeCell ref="A78:N78"/>
    <mergeCell ref="F27:H27"/>
    <mergeCell ref="A137:B137"/>
    <mergeCell ref="E205:I205"/>
    <mergeCell ref="J180:M180"/>
    <mergeCell ref="E167:I167"/>
    <mergeCell ref="A147:C147"/>
    <mergeCell ref="A139:B139"/>
    <mergeCell ref="J220:M220"/>
    <mergeCell ref="J7:N7"/>
    <mergeCell ref="E169:I169"/>
    <mergeCell ref="E225:I225"/>
    <mergeCell ref="E154:F154"/>
    <mergeCell ref="J222:M222"/>
    <mergeCell ref="G154:H154"/>
    <mergeCell ref="A51:C51"/>
    <mergeCell ref="F103:H103"/>
    <mergeCell ref="A29:E29"/>
    <mergeCell ref="M91:N91"/>
    <mergeCell ref="F17:I17"/>
    <mergeCell ref="E227:I227"/>
    <mergeCell ref="J46:K46"/>
    <mergeCell ref="L46:M46"/>
    <mergeCell ref="B89:L89"/>
    <mergeCell ref="A31:E31"/>
    <mergeCell ref="J48:K48"/>
    <mergeCell ref="A58:N58"/>
    <mergeCell ref="L48:M48"/>
    <mergeCell ref="B72:C72"/>
    <mergeCell ref="J233:M233"/>
    <mergeCell ref="E195:I195"/>
    <mergeCell ref="J14:N14"/>
    <mergeCell ref="B15:E15"/>
    <mergeCell ref="J177:M177"/>
    <mergeCell ref="E188:I188"/>
    <mergeCell ref="J185:M185"/>
    <mergeCell ref="E180:I180"/>
    <mergeCell ref="A133:B133"/>
    <mergeCell ref="F50:G50"/>
    <mergeCell ref="E182:I182"/>
    <mergeCell ref="F10:I10"/>
    <mergeCell ref="D147:H147"/>
    <mergeCell ref="I60:N60"/>
    <mergeCell ref="J182:M182"/>
    <mergeCell ref="E179:I179"/>
    <mergeCell ref="B83:L83"/>
    <mergeCell ref="B220:D220"/>
    <mergeCell ref="F49:G49"/>
    <mergeCell ref="J234:M234"/>
    <mergeCell ref="J172:M172"/>
    <mergeCell ref="B85:L85"/>
    <mergeCell ref="E208:I208"/>
    <mergeCell ref="E233:I233"/>
    <mergeCell ref="J221:M221"/>
    <mergeCell ref="J196:M196"/>
    <mergeCell ref="A54:C54"/>
    <mergeCell ref="J8:N8"/>
    <mergeCell ref="H67:I67"/>
    <mergeCell ref="E210:I210"/>
    <mergeCell ref="J223:M223"/>
    <mergeCell ref="J10:N10"/>
    <mergeCell ref="E185:I185"/>
    <mergeCell ref="A156:D156"/>
    <mergeCell ref="B182:D182"/>
    <mergeCell ref="C131:F131"/>
    <mergeCell ref="F55:G55"/>
    <mergeCell ref="I138:K138"/>
    <mergeCell ref="L51:M51"/>
    <mergeCell ref="J176:M176"/>
    <mergeCell ref="J170:M170"/>
    <mergeCell ref="I140:K140"/>
    <mergeCell ref="A76:N76"/>
    <mergeCell ref="F52:G52"/>
    <mergeCell ref="J178:M178"/>
    <mergeCell ref="J21:N21"/>
    <mergeCell ref="E196:I196"/>
    <mergeCell ref="E183:I183"/>
    <mergeCell ref="J23:N23"/>
    <mergeCell ref="E198:I198"/>
    <mergeCell ref="F53:G53"/>
    <mergeCell ref="H53:I53"/>
    <mergeCell ref="B91:L91"/>
    <mergeCell ref="J173:M173"/>
    <mergeCell ref="B170:D170"/>
    <mergeCell ref="F68:G68"/>
    <mergeCell ref="I28:N28"/>
    <mergeCell ref="J132:L132"/>
    <mergeCell ref="H55:I55"/>
    <mergeCell ref="A45:N45"/>
    <mergeCell ref="J204:M204"/>
    <mergeCell ref="B234:D234"/>
    <mergeCell ref="B172:D172"/>
    <mergeCell ref="J198:M198"/>
    <mergeCell ref="G160:H160"/>
    <mergeCell ref="B186:D186"/>
    <mergeCell ref="B86:L86"/>
    <mergeCell ref="E209:I209"/>
    <mergeCell ref="C41:D41"/>
    <mergeCell ref="E139:H139"/>
    <mergeCell ref="J231:M231"/>
    <mergeCell ref="H52:I52"/>
    <mergeCell ref="E211:I211"/>
    <mergeCell ref="C43:D43"/>
    <mergeCell ref="E186:I186"/>
    <mergeCell ref="A26:E26"/>
    <mergeCell ref="K154:N154"/>
    <mergeCell ref="C134:F134"/>
    <mergeCell ref="B185:D185"/>
    <mergeCell ref="G42:I42"/>
    <mergeCell ref="B176:D176"/>
    <mergeCell ref="G158:H158"/>
    <mergeCell ref="I158:J158"/>
    <mergeCell ref="I147:N147"/>
    <mergeCell ref="J217:M217"/>
    <mergeCell ref="E204:I204"/>
    <mergeCell ref="J192:M192"/>
    <mergeCell ref="D63:H63"/>
    <mergeCell ref="D99:E99"/>
    <mergeCell ref="F101:H101"/>
    <mergeCell ref="I160:J160"/>
    <mergeCell ref="H50:I50"/>
    <mergeCell ref="B171:D171"/>
    <mergeCell ref="E206:I206"/>
    <mergeCell ref="H68:I68"/>
    <mergeCell ref="J194:M194"/>
    <mergeCell ref="D101:E101"/>
    <mergeCell ref="J181:M181"/>
    <mergeCell ref="F19:I19"/>
    <mergeCell ref="L139:N139"/>
    <mergeCell ref="F6:I6"/>
    <mergeCell ref="I29:N29"/>
    <mergeCell ref="H69:I69"/>
    <mergeCell ref="J133:L133"/>
    <mergeCell ref="A3:N3"/>
    <mergeCell ref="B207:D207"/>
    <mergeCell ref="G134:I134"/>
    <mergeCell ref="A57:N57"/>
    <mergeCell ref="B173:D173"/>
    <mergeCell ref="I31:N31"/>
    <mergeCell ref="A32:E32"/>
    <mergeCell ref="A5:N5"/>
    <mergeCell ref="F20:I20"/>
    <mergeCell ref="F29:H29"/>
    <mergeCell ref="J207:M207"/>
    <mergeCell ref="B202:D202"/>
    <mergeCell ref="J51:K51"/>
    <mergeCell ref="E217:I217"/>
    <mergeCell ref="J205:M205"/>
    <mergeCell ref="F95:H95"/>
    <mergeCell ref="A114:H114"/>
    <mergeCell ref="M83:N83"/>
    <mergeCell ref="F9:I9"/>
    <mergeCell ref="F32:H32"/>
    <mergeCell ref="F26:H26"/>
    <mergeCell ref="F97:H97"/>
    <mergeCell ref="B191:D191"/>
    <mergeCell ref="J169:M169"/>
    <mergeCell ref="E39:F39"/>
    <mergeCell ref="B178:D178"/>
    <mergeCell ref="J40:K40"/>
    <mergeCell ref="D105:E105"/>
    <mergeCell ref="B226:D226"/>
    <mergeCell ref="D49:E49"/>
    <mergeCell ref="J200:M200"/>
    <mergeCell ref="B7:E7"/>
    <mergeCell ref="D107:E107"/>
    <mergeCell ref="I159:J159"/>
    <mergeCell ref="I148:N148"/>
    <mergeCell ref="E230:I230"/>
    <mergeCell ref="B192:D192"/>
    <mergeCell ref="B222:D222"/>
    <mergeCell ref="J202:M202"/>
    <mergeCell ref="I161:J161"/>
    <mergeCell ref="E232:I232"/>
    <mergeCell ref="B221:D221"/>
    <mergeCell ref="G40:I40"/>
    <mergeCell ref="E207:I207"/>
    <mergeCell ref="J195:M195"/>
    <mergeCell ref="D102:E102"/>
    <mergeCell ref="F18:I18"/>
    <mergeCell ref="F108:H108"/>
    <mergeCell ref="J197:M197"/>
    <mergeCell ref="A115:H115"/>
    <mergeCell ref="G143:N143"/>
    <mergeCell ref="A121:N121"/>
    <mergeCell ref="D54:E54"/>
    <mergeCell ref="F22:I22"/>
    <mergeCell ref="D59:H59"/>
    <mergeCell ref="A130:B130"/>
    <mergeCell ref="B62:C62"/>
    <mergeCell ref="I32:N32"/>
    <mergeCell ref="K160:N160"/>
    <mergeCell ref="A138:B138"/>
    <mergeCell ref="I154:J154"/>
    <mergeCell ref="A132:B132"/>
    <mergeCell ref="J213:M213"/>
    <mergeCell ref="B174:D174"/>
    <mergeCell ref="B205:D205"/>
    <mergeCell ref="B70:C70"/>
    <mergeCell ref="D95:E95"/>
    <mergeCell ref="G156:H156"/>
    <mergeCell ref="I156:J156"/>
    <mergeCell ref="H46:I46"/>
    <mergeCell ref="F11:I11"/>
    <mergeCell ref="J215:M215"/>
    <mergeCell ref="F96:H96"/>
    <mergeCell ref="D61:H61"/>
    <mergeCell ref="D97:E97"/>
    <mergeCell ref="A164:N164"/>
    <mergeCell ref="M84:N84"/>
    <mergeCell ref="E220:I220"/>
    <mergeCell ref="B169:D169"/>
    <mergeCell ref="B88:L88"/>
    <mergeCell ref="I63:N63"/>
    <mergeCell ref="F98:H98"/>
    <mergeCell ref="B82:L82"/>
    <mergeCell ref="J54:K54"/>
    <mergeCell ref="L54:M54"/>
    <mergeCell ref="F12:I12"/>
    <mergeCell ref="M86:N86"/>
    <mergeCell ref="J41:K41"/>
    <mergeCell ref="M80:N80"/>
    <mergeCell ref="J210:M210"/>
    <mergeCell ref="E222:I222"/>
    <mergeCell ref="E138:H138"/>
    <mergeCell ref="D62:H62"/>
    <mergeCell ref="B200:D200"/>
    <mergeCell ref="B65:C65"/>
    <mergeCell ref="G130:I130"/>
    <mergeCell ref="B194:D194"/>
    <mergeCell ref="J226:M226"/>
    <mergeCell ref="B8:E8"/>
    <mergeCell ref="J43:K43"/>
    <mergeCell ref="I27:N27"/>
    <mergeCell ref="J131:L131"/>
    <mergeCell ref="D64:H64"/>
    <mergeCell ref="G132:I132"/>
    <mergeCell ref="L49:M49"/>
    <mergeCell ref="B223:D223"/>
    <mergeCell ref="D50:E50"/>
    <mergeCell ref="B10:E10"/>
    <mergeCell ref="D110:E110"/>
    <mergeCell ref="B195:D195"/>
  </mergeCells>
  <conditionalFormatting sqref="J68:J74">
    <cfRule type="colorScale" priority="1">
      <colorScale>
        <cfvo type="num" val="0"/>
        <cfvo type="num" val="0.4"/>
        <color rgb="00FFFFFF"/>
        <color rgb="005B9BD5"/>
      </colorScale>
    </cfRule>
  </conditionalFormatting>
  <conditionalFormatting sqref="K68:K74">
    <cfRule type="colorScale" priority="2">
      <colorScale>
        <cfvo type="num" val="0"/>
        <cfvo type="num" val="0.4"/>
        <color rgb="00FFFFFF"/>
        <color rgb="005B9BD5"/>
      </colorScale>
    </cfRule>
  </conditionalFormatting>
  <conditionalFormatting sqref="L68:L74">
    <cfRule type="colorScale" priority="3">
      <colorScale>
        <cfvo type="num" val="0"/>
        <cfvo type="num" val="0.4"/>
        <color rgb="00FFFFFF"/>
        <color rgb="005B9BD5"/>
      </colorScale>
    </cfRule>
  </conditionalFormatting>
  <conditionalFormatting sqref="M68:M74">
    <cfRule type="colorScale" priority="4">
      <colorScale>
        <cfvo type="num" val="0"/>
        <cfvo type="num" val="0.4"/>
        <color rgb="00FFFFFF"/>
        <color rgb="005B9BD5"/>
      </colorScale>
    </cfRule>
  </conditionalFormatting>
  <conditionalFormatting sqref="N68:N74">
    <cfRule type="colorScale" priority="5">
      <colorScale>
        <cfvo type="num" val="0"/>
        <cfvo type="num" val="0.4"/>
        <color rgb="00FFFFFF"/>
        <color rgb="005B9BD5"/>
      </colorScale>
    </cfRule>
  </conditionalFormatting>
  <conditionalFormatting sqref="O68:O74">
    <cfRule type="colorScale" priority="6">
      <colorScale>
        <cfvo type="num" val="0"/>
        <cfvo type="num" val="0.4"/>
        <color rgb="00FFFFFF"/>
        <color rgb="005B9BD5"/>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806000"/>
    <outlinePr summaryBelow="1" summaryRight="1"/>
    <pageSetUpPr fitToPage="1"/>
  </sheetPr>
  <dimension ref="A1:P321"/>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References &amp; Benchmarks — competitors, regtech and SaaS leaders, standards, databases and sites</t>
        </is>
      </c>
      <c r="P1" s="232" t="inlineStr">
        <is>
          <t>◂ Contents</t>
        </is>
      </c>
    </row>
    <row r="2" ht="32" customHeight="1">
      <c r="A2" s="3" t="inlineStr">
        <is>
          <r>
            <rPr>
              <rFont val="Calibri"/>
              <b val="1"/>
              <i val="1"/>
              <color rgb="00404040"/>
              <sz val="10"/>
            </rPr>
            <t>Scope:</t>
          </r>
          <r>
            <rPr>
              <rFont val="Calibri"/>
              <i val="1"/>
              <color rgb="00404040"/>
              <sz val="10"/>
            </rPr>
            <t xml:space="preserve"> Consume.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12" t="inlineStr">
        <is>
          <t>Grade</t>
        </is>
      </c>
      <c r="B6" s="201" t="n"/>
      <c r="C6" s="12" t="inlineStr">
        <is>
          <t>Meaning</t>
        </is>
      </c>
      <c r="D6" s="202" t="n"/>
      <c r="E6" s="202" t="n"/>
      <c r="F6" s="202" t="n"/>
      <c r="G6" s="202" t="n"/>
      <c r="H6" s="202" t="n"/>
      <c r="I6" s="202" t="n"/>
      <c r="J6" s="201" t="n"/>
      <c r="K6" s="12" t="inlineStr">
        <is>
          <t>Use</t>
        </is>
      </c>
      <c r="L6" s="202" t="n"/>
      <c r="M6" s="202" t="n"/>
      <c r="N6" s="202" t="n"/>
      <c r="O6" s="201" t="n"/>
    </row>
    <row r="7" ht="15" customHeight="1">
      <c r="A7" s="13" t="inlineStr">
        <is>
          <t>Primary</t>
        </is>
      </c>
      <c r="B7" s="201" t="n"/>
      <c r="C7" s="16" t="inlineStr">
        <is>
          <t>Publisher's own material · standard body, method owner, company newsroom</t>
        </is>
      </c>
      <c r="D7" s="202" t="n"/>
      <c r="E7" s="202" t="n"/>
      <c r="F7" s="202" t="n"/>
      <c r="G7" s="202" t="n"/>
      <c r="H7" s="202" t="n"/>
      <c r="I7" s="202" t="n"/>
      <c r="J7" s="201" t="n"/>
      <c r="K7" s="16" t="inlineStr">
        <is>
          <t>Rely on</t>
        </is>
      </c>
      <c r="L7" s="202" t="n"/>
      <c r="M7" s="202" t="n"/>
      <c r="N7" s="202" t="n"/>
      <c r="O7" s="201" t="n"/>
    </row>
    <row r="8" ht="15" customHeight="1">
      <c r="A8" s="13" t="inlineStr">
        <is>
          <t>Levels.fyi</t>
        </is>
      </c>
      <c r="B8" s="201" t="n"/>
      <c r="C8" s="16" t="inlineStr">
        <is>
          <t>Crowd-sourced level ladder for a named company</t>
        </is>
      </c>
      <c r="D8" s="202" t="n"/>
      <c r="E8" s="202" t="n"/>
      <c r="F8" s="202" t="n"/>
      <c r="G8" s="202" t="n"/>
      <c r="H8" s="202" t="n"/>
      <c r="I8" s="202" t="n"/>
      <c r="J8" s="201" t="n"/>
      <c r="K8" s="16" t="inlineStr">
        <is>
          <t>Rely on for titles and level order; not for pay</t>
        </is>
      </c>
      <c r="L8" s="202" t="n"/>
      <c r="M8" s="202" t="n"/>
      <c r="N8" s="202" t="n"/>
      <c r="O8" s="201" t="n"/>
    </row>
    <row r="9" ht="15" customHeight="1">
      <c r="A9" s="13" t="inlineStr">
        <is>
          <t>Job postings</t>
        </is>
      </c>
      <c r="B9" s="201" t="n"/>
      <c r="C9" s="16" t="inlineStr">
        <is>
          <t>Titles and requirements taken from the company's own live postings</t>
        </is>
      </c>
      <c r="D9" s="202" t="n"/>
      <c r="E9" s="202" t="n"/>
      <c r="F9" s="202" t="n"/>
      <c r="G9" s="202" t="n"/>
      <c r="H9" s="202" t="n"/>
      <c r="I9" s="202" t="n"/>
      <c r="J9" s="201" t="n"/>
      <c r="K9" s="16" t="inlineStr">
        <is>
          <t>Rely on for titles and experience asked</t>
        </is>
      </c>
      <c r="L9" s="202" t="n"/>
      <c r="M9" s="202" t="n"/>
      <c r="N9" s="202" t="n"/>
      <c r="O9" s="201" t="n"/>
    </row>
    <row r="10" ht="15" customHeight="1">
      <c r="A10" s="13" t="inlineStr">
        <is>
          <t>Secondary</t>
        </is>
      </c>
      <c r="B10" s="201" t="n"/>
      <c r="C10" s="16" t="inlineStr">
        <is>
          <t>Reputable analysis or industry publication</t>
        </is>
      </c>
      <c r="D10" s="202" t="n"/>
      <c r="E10" s="202" t="n"/>
      <c r="F10" s="202" t="n"/>
      <c r="G10" s="202" t="n"/>
      <c r="H10" s="202" t="n"/>
      <c r="I10" s="202" t="n"/>
      <c r="J10" s="201" t="n"/>
      <c r="K10" s="16" t="inlineStr">
        <is>
          <t>Use with the primary sources</t>
        </is>
      </c>
      <c r="L10" s="202" t="n"/>
      <c r="M10" s="202" t="n"/>
      <c r="N10" s="202" t="n"/>
      <c r="O10" s="201" t="n"/>
    </row>
    <row r="11" ht="15" customHeight="1">
      <c r="A11" s="13" t="inlineStr">
        <is>
          <t>Indicative</t>
        </is>
      </c>
      <c r="B11" s="201" t="n"/>
      <c r="C11" s="16" t="inlineStr">
        <is>
          <t>Aggregator or forum; widely repeated</t>
        </is>
      </c>
      <c r="D11" s="202" t="n"/>
      <c r="E11" s="202" t="n"/>
      <c r="F11" s="202" t="n"/>
      <c r="G11" s="202" t="n"/>
      <c r="H11" s="202" t="n"/>
      <c r="I11" s="202" t="n"/>
      <c r="J11" s="201" t="n"/>
      <c r="K11" s="16" t="inlineStr">
        <is>
          <t>Confirm before any pay decision</t>
        </is>
      </c>
      <c r="L11" s="202" t="n"/>
      <c r="M11" s="202" t="n"/>
      <c r="N11" s="202" t="n"/>
      <c r="O11" s="201" t="n"/>
    </row>
    <row r="12" ht="15" customHeight="1">
      <c r="A12" s="13" t="inlineStr">
        <is>
          <t>Internal</t>
        </is>
      </c>
      <c r="B12" s="201" t="n"/>
      <c r="C12" s="16" t="inlineStr">
        <is>
          <t>IRIS data · HRIS, survey, manager mapping</t>
        </is>
      </c>
      <c r="D12" s="202" t="n"/>
      <c r="E12" s="202" t="n"/>
      <c r="F12" s="202" t="n"/>
      <c r="G12" s="202" t="n"/>
      <c r="H12" s="202" t="n"/>
      <c r="I12" s="202" t="n"/>
      <c r="J12" s="201" t="n"/>
      <c r="K12" s="16" t="inlineStr">
        <is>
          <t>Primary evidence for placement</t>
        </is>
      </c>
      <c r="L12" s="202" t="n"/>
      <c r="M12" s="202" t="n"/>
      <c r="N12" s="202" t="n"/>
      <c r="O12" s="201" t="n"/>
    </row>
    <row r="13" ht="28" customHeight="1">
      <c r="A13" s="13" t="inlineStr">
        <is>
          <t>IRIS composite</t>
        </is>
      </c>
      <c r="B13" s="201" t="n"/>
      <c r="C13" s="16" t="inlineStr">
        <is>
          <t>A ladder IRIS assembled from the titles and codes of the sources named in brackets; no single company or body publishes it</t>
        </is>
      </c>
      <c r="D13" s="202" t="n"/>
      <c r="E13" s="202" t="n"/>
      <c r="F13" s="202" t="n"/>
      <c r="G13" s="202" t="n"/>
      <c r="H13" s="202" t="n"/>
      <c r="I13" s="202" t="n"/>
      <c r="J13" s="201" t="n"/>
      <c r="K13" s="16" t="inlineStr">
        <is>
          <t>Orientation only; not market evidence</t>
        </is>
      </c>
      <c r="L13" s="202" t="n"/>
      <c r="M13" s="202" t="n"/>
      <c r="N13" s="202" t="n"/>
      <c r="O13" s="201" t="n"/>
    </row>
    <row r="14" ht="15" customHeight="1">
      <c r="A14" s="13" t="inlineStr">
        <is>
          <t>IRIS mapping</t>
        </is>
      </c>
      <c r="B14" s="201" t="n"/>
      <c r="C14" s="16" t="inlineStr">
        <is>
          <t>A published scale or certificate path · CIM, ISTQB, IIBA, XBRL US matched to IRIS levels by IRIS</t>
        </is>
      </c>
      <c r="D14" s="202" t="n"/>
      <c r="E14" s="202" t="n"/>
      <c r="F14" s="202" t="n"/>
      <c r="G14" s="202" t="n"/>
      <c r="H14" s="202" t="n"/>
      <c r="I14" s="202" t="n"/>
      <c r="J14" s="201" t="n"/>
      <c r="K14" s="16" t="inlineStr">
        <is>
          <t>Orientation only; the match is IRIS's</t>
        </is>
      </c>
      <c r="L14" s="202" t="n"/>
      <c r="M14" s="202" t="n"/>
      <c r="N14" s="202" t="n"/>
      <c r="O14" s="201" t="n"/>
    </row>
    <row r="15" ht="15" customHeight="1"/>
    <row r="16" ht="41" customHeight="1">
      <c r="A16" s="11"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1" t="inlineStr">
        <is>
          <t>Direct competitors of IRIS CARBON, iFile and iDEAL; regtech and suptech leaders; global and Indian SaaS leaders; India talent-market anchors.</t>
        </is>
      </c>
    </row>
    <row r="19" ht="28" customHeight="1">
      <c r="A19" s="12" t="inlineStr">
        <is>
          <t>ID · Company</t>
        </is>
      </c>
      <c r="B19" s="201" t="n"/>
      <c r="C19" s="12" t="inlineStr">
        <is>
          <t>Segment</t>
        </is>
      </c>
      <c r="D19" s="201" t="n"/>
      <c r="E19" s="12" t="inlineStr">
        <is>
          <t>Competes with / relevant to</t>
        </is>
      </c>
      <c r="F19" s="201" t="n"/>
      <c r="G19" s="12" t="inlineStr">
        <is>
          <t>Why benchmarked</t>
        </is>
      </c>
      <c r="H19" s="202" t="n"/>
      <c r="I19" s="201" t="n"/>
      <c r="J19" s="12" t="inlineStr">
        <is>
          <t>What we used</t>
        </is>
      </c>
      <c r="K19" s="202" t="n"/>
      <c r="L19" s="201" t="n"/>
      <c r="M19" s="12" t="inlineStr">
        <is>
          <t>Site / source</t>
        </is>
      </c>
      <c r="N19" s="201" t="n"/>
      <c r="O19" s="12" t="inlineStr">
        <is>
          <t>Grade</t>
        </is>
      </c>
    </row>
    <row r="20" ht="145" customHeight="1">
      <c r="A20" s="13" t="inlineStr">
        <is>
          <t>C01 · Workiva</t>
        </is>
      </c>
      <c r="B20" s="201" t="n"/>
      <c r="C20" s="16" t="inlineStr">
        <is>
          <t>Disclosure management, XBRL / iXBRL, ESG reporting SaaS · global leader</t>
        </is>
      </c>
      <c r="D20" s="201" t="n"/>
      <c r="E20" s="16" t="inlineStr">
        <is>
          <t>IRIS CARBON; iFile XBRL</t>
        </is>
      </c>
      <c r="F20" s="201" t="n"/>
      <c r="G20" s="16" t="inlineStr">
        <is>
          <r>
            <rPr>
              <rFont val="Calibri"/>
              <b val="1"/>
              <sz val="10"/>
            </rPr>
            <t>Category leader:</t>
          </r>
          <r>
            <rPr>
              <rFont val="Calibri"/>
              <sz val="10"/>
            </rPr>
            <t xml:space="preserve"> 6,600+ customers, over 85% of the Fortune 1000 · FY2025 10-K; leading ESG disclosure platform</t>
          </r>
        </is>
      </c>
      <c r="H20" s="202" t="n"/>
      <c r="I20" s="201" t="n"/>
      <c r="J20" s="16" t="inlineStr">
        <is>
          <t>Engineering ladder · Associate SE → SE → Senior SE → Staff SE → Senior Staff SE; customer-success titles · CSM, Product Success Manager, Customer Success Architect; Professional Services Manager · XBRL data modelling</t>
        </is>
      </c>
      <c r="K20" s="202" t="n"/>
      <c r="L20" s="201" t="n"/>
      <c r="M20" s="16" t="inlineStr">
        <is>
          <t>https://www.levels.fyi/companies/workiva/salaries/software-engineer ; https://builtin.com/job/professional-services-manager/3581840 ; https://www.cfoshortlist.com/reports/sec-reporting-software ; https://www.sec.gov/Archives/edgar/data/1445305/000144530526000016/wk-20251231.htm</t>
        </is>
      </c>
      <c r="N20" s="201" t="n"/>
      <c r="O20" s="16" t="inlineStr">
        <is>
          <t>Levels.fyi + job postings</t>
        </is>
      </c>
    </row>
    <row r="21" ht="54" customHeight="1">
      <c r="A21" s="13" t="inlineStr">
        <is>
          <t>C02 · Donnelley Financial Solutions · DFIN — ActiveDisclosure, Arc Suite</t>
        </is>
      </c>
      <c r="B21" s="201" t="n"/>
      <c r="C21" s="16" t="inlineStr">
        <is>
          <t>SEC / EDGAR filing, disclosure software and services</t>
        </is>
      </c>
      <c r="D21" s="201" t="n"/>
      <c r="E21" s="16" t="inlineStr">
        <is>
          <t>IRIS CARBON · US SEC filing services</t>
        </is>
      </c>
      <c r="F21" s="201" t="n"/>
      <c r="G21" s="16" t="inlineStr">
        <is>
          <t>Leading US financial-compliance and filing company</t>
        </is>
      </c>
      <c r="H21" s="202" t="n"/>
      <c r="I21" s="201" t="n"/>
      <c r="J21" s="16" t="inlineStr">
        <is>
          <r>
            <rPr>
              <rFont val="Calibri"/>
              <b val="1"/>
              <sz val="10"/>
            </rPr>
            <t>Not used for levels:</t>
          </r>
          <r>
            <rPr>
              <rFont val="Calibri"/>
              <sz val="10"/>
            </rPr>
            <t xml:space="preserve"> no public source for its ladder was found · the earlier link did not support it; kept as a pay-survey peer</t>
          </r>
        </is>
      </c>
      <c r="K21" s="202" t="n"/>
      <c r="L21" s="201" t="n"/>
      <c r="M21" s="16" t="inlineStr">
        <is>
          <t>https://www.dfinsolutions.com</t>
        </is>
      </c>
      <c r="N21" s="201" t="n"/>
      <c r="O21" s="16" t="inlineStr">
        <is>
          <t>Market positioning</t>
        </is>
      </c>
    </row>
    <row r="22" ht="80" customHeight="1">
      <c r="A22" s="13" t="inlineStr">
        <is>
          <t>C03 · Toppan Merrill — Toppan Merrill Bridge, XBRL services</t>
        </is>
      </c>
      <c r="B22" s="201" t="n"/>
      <c r="C22" s="16" t="inlineStr">
        <is>
          <t>EDGAR filing agent, iXBRL / XBRL services</t>
        </is>
      </c>
      <c r="D22" s="201" t="n"/>
      <c r="E22" s="16" t="inlineStr">
        <is>
          <t>IRIS CARBON services · US SEC, FPI filings</t>
        </is>
      </c>
      <c r="F22" s="201" t="n"/>
      <c r="G22" s="16" t="inlineStr">
        <is>
          <t>Direct competitor for XBRL tagging and filing services</t>
        </is>
      </c>
      <c r="H22" s="202" t="n"/>
      <c r="I22" s="201" t="n"/>
      <c r="J22" s="16" t="inlineStr">
        <is>
          <r>
            <rPr>
              <rFont val="Calibri"/>
              <b val="1"/>
              <sz val="10"/>
            </rPr>
            <t>Entry title only:</t>
          </r>
          <r>
            <rPr>
              <rFont val="Calibri"/>
              <sz val="10"/>
            </rPr>
            <t xml:space="preserve"> XBRL Financial Analyst, Associate · the posting gives no higher rung; finance titles</t>
          </r>
        </is>
      </c>
      <c r="K22" s="202" t="n"/>
      <c r="L22" s="201" t="n"/>
      <c r="M22" s="16" t="inlineStr">
        <is>
          <t>https://builtinbengaluru.in/job/xbrl-financial-analyst-assoc/4131532 · Coimbatore posting, closed July 2025; https://toppanmerrill.com/bridge/</t>
        </is>
      </c>
      <c r="N22" s="201" t="n"/>
      <c r="O22" s="16" t="inlineStr">
        <is>
          <t>Job postings</t>
        </is>
      </c>
    </row>
    <row r="23" ht="41" customHeight="1">
      <c r="A23" s="13" t="inlineStr">
        <is>
          <t>C04 · Certent · insightsoftware — Disclosure Management</t>
        </is>
      </c>
      <c r="B23" s="201" t="n"/>
      <c r="C23" s="16" t="inlineStr">
        <is>
          <t>Disclosure management for mid-market filers</t>
        </is>
      </c>
      <c r="D23" s="201" t="n"/>
      <c r="E23" s="16" t="inlineStr">
        <is>
          <t>IRIS CARBON</t>
        </is>
      </c>
      <c r="F23" s="201" t="n"/>
      <c r="G23" s="16" t="inlineStr">
        <is>
          <t>Named alongside IRIS CARBON for cost-driven filers</t>
        </is>
      </c>
      <c r="H23" s="202" t="n"/>
      <c r="I23" s="201" t="n"/>
      <c r="J23" s="16" t="inlineStr">
        <is>
          <t>Market positioning</t>
        </is>
      </c>
      <c r="K23" s="202" t="n"/>
      <c r="L23" s="201" t="n"/>
      <c r="M23" s="16" t="inlineStr">
        <is>
          <t>https://www.cfoshortlist.com/reports/sec-reporting-software</t>
        </is>
      </c>
      <c r="N23" s="201" t="n"/>
      <c r="O23" s="16" t="inlineStr">
        <is>
          <t>Secondary</t>
        </is>
      </c>
    </row>
    <row r="24" ht="67" customHeight="1">
      <c r="A24" s="13" t="inlineStr">
        <is>
          <t>C05 · DataTracks</t>
        </is>
      </c>
      <c r="B24" s="201" t="n"/>
      <c r="C24" s="16" t="inlineStr">
        <is>
          <t>XBRL / iXBRL compliance services and software · India-based</t>
        </is>
      </c>
      <c r="D24" s="201" t="n"/>
      <c r="E24" s="16" t="inlineStr">
        <is>
          <t>IRIS CARBON services · UK, EU, India, South Africa</t>
        </is>
      </c>
      <c r="F24" s="201" t="n"/>
      <c r="G24" s="16" t="inlineStr">
        <is>
          <t>Same services in the same Indian talent market; 30,000+ clients, 26 countries</t>
        </is>
      </c>
      <c r="H24" s="202" t="n"/>
      <c r="I24" s="201" t="n"/>
      <c r="J24" s="16"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202" t="n"/>
      <c r="L24" s="201" t="n"/>
      <c r="M24" s="16" t="inlineStr">
        <is>
          <t>https://www.datatracks.com/in/careers/</t>
        </is>
      </c>
      <c r="N24" s="201" t="n"/>
      <c r="O24" s="16" t="inlineStr">
        <is>
          <t>Job postings</t>
        </is>
      </c>
    </row>
    <row r="25" ht="184" customHeight="1">
      <c r="A25" s="13" t="inlineStr">
        <is>
          <t>C06 · Regnology · incl. Vizor Software, BearingPoint RegTech, Vermeg AGILE, and Wolters Kluwer's Finance, Risk &amp; Regulatory Reporting business — OneSumX — acquired December 2025</t>
        </is>
      </c>
      <c r="B25" s="201" t="n"/>
      <c r="C25" s="16" t="inlineStr">
        <is>
          <t>Supervisory · SupTech and regulatory reporting — global leader</t>
        </is>
      </c>
      <c r="D25" s="201" t="n"/>
      <c r="E25" s="16" t="inlineStr">
        <is>
          <t>IRIS iFile · regulator platforms; IRIS iDEAL · bank reporting</t>
        </is>
      </c>
      <c r="F25" s="201" t="n"/>
      <c r="G25" s="16" t="inlineStr">
        <is>
          <t>2,000+ employees; serves regulators and institutions in 100+ countries; Chartis RiskTech100 SupTech category winner; Pune product centre; owns OneSumX since 1 December 2025</t>
        </is>
      </c>
      <c r="H25" s="202" t="n"/>
      <c r="I25" s="201" t="n"/>
      <c r="J25" s="16" t="inlineStr">
        <is>
          <t>Business-analysis ladder · Junior BA → BA → Senior BA, regulatory reporting; product support titles</t>
        </is>
      </c>
      <c r="K25" s="202" t="n"/>
      <c r="L25" s="201" t="n"/>
      <c r="M25"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201" t="n"/>
      <c r="O25" s="16" t="inlineStr">
        <is>
          <t>Primary + job postings</t>
        </is>
      </c>
    </row>
    <row r="26" ht="54" customHeight="1">
      <c r="A26" s="13" t="inlineStr">
        <is>
          <t>C08 · Nasdaq · AxiomSL / Calypso — regulatory reporting</t>
        </is>
      </c>
      <c r="B26" s="201" t="n"/>
      <c r="C26" s="16" t="inlineStr">
        <is>
          <t>Regulatory reporting and risk for banks</t>
        </is>
      </c>
      <c r="D26" s="201" t="n"/>
      <c r="E26" s="16" t="inlineStr">
        <is>
          <t>IRIS iDEAL</t>
        </is>
      </c>
      <c r="F26" s="201" t="n"/>
      <c r="G26" s="16" t="inlineStr">
        <is>
          <t>AxiomSL is a leading bank regulatory-reporting platform</t>
        </is>
      </c>
      <c r="H26" s="202" t="n"/>
      <c r="I26" s="201" t="n"/>
      <c r="J26" s="16" t="inlineStr">
        <is>
          <t>Engineering ladder SE → Senior SE → Lead SE → Principal SE · Lead and Principal from Nasdaq postings; no Staff title found</t>
        </is>
      </c>
      <c r="K26" s="202" t="n"/>
      <c r="L26" s="201" t="n"/>
      <c r="M26" s="16" t="inlineStr">
        <is>
          <t>https://www.levels.fyi/companies/nasdaq/salaries/software-engineer/levels/senior-software-engineer</t>
        </is>
      </c>
      <c r="N26" s="201" t="n"/>
      <c r="O26" s="16" t="inlineStr">
        <is>
          <t>Levels.fyi + job postings</t>
        </is>
      </c>
    </row>
    <row r="27" ht="41" customHeight="1">
      <c r="A27" s="13" t="inlineStr">
        <is>
          <t>C09 · Broadridge</t>
        </is>
      </c>
      <c r="B27" s="201" t="n"/>
      <c r="C27" s="16" t="inlineStr">
        <is>
          <t>Regulatory, trade and transaction reporting; large India technology centres</t>
        </is>
      </c>
      <c r="D27" s="201" t="n"/>
      <c r="E27" s="16" t="inlineStr">
        <is>
          <t>IRIS iDEAL; IRIS engineering talent market</t>
        </is>
      </c>
      <c r="F27" s="201" t="n"/>
      <c r="G27" s="16" t="inlineStr">
        <is>
          <t>Regtech provider with major Hyderabad / Bengaluru hubs</t>
        </is>
      </c>
      <c r="H27" s="202" t="n"/>
      <c r="I27" s="201" t="n"/>
      <c r="J27" s="16" t="inlineStr">
        <is>
          <t>India engineering ladder SE → Senior SE → Lead SE → Senior Lead SE</t>
        </is>
      </c>
      <c r="K27" s="202" t="n"/>
      <c r="L27" s="201" t="n"/>
      <c r="M27" s="16" t="inlineStr">
        <is>
          <t>https://www.levels.fyi/am-et/companies/broadridge/salaries/software-engineer</t>
        </is>
      </c>
      <c r="N27" s="201" t="n"/>
      <c r="O27" s="16" t="inlineStr">
        <is>
          <t>Levels.fyi</t>
        </is>
      </c>
    </row>
    <row r="28" ht="41" customHeight="1">
      <c r="A28" s="13" t="inlineStr">
        <is>
          <t>C10 · Salesforce</t>
        </is>
      </c>
      <c r="B28" s="201" t="n"/>
      <c r="C28" s="16" t="inlineStr">
        <is>
          <t>Global SaaS leader</t>
        </is>
      </c>
      <c r="D28" s="201" t="n"/>
      <c r="E28" s="16" t="inlineStr">
        <is>
          <t>All SaaS businesses · CARBON, iFile, iDEAL, Datatech</t>
        </is>
      </c>
      <c r="F28" s="201" t="n"/>
      <c r="G28" s="16" t="inlineStr">
        <is>
          <t>Reference SaaS career architecture</t>
        </is>
      </c>
      <c r="H28" s="202" t="n"/>
      <c r="I28" s="201" t="n"/>
      <c r="J28" s="16" t="inlineStr">
        <is>
          <t>Technical ladder AMTS → MTS → SMTS → LMTS → PMTS → Architect → Principal Architect → Distinguished Engineer</t>
        </is>
      </c>
      <c r="K28" s="202" t="n"/>
      <c r="L28" s="201" t="n"/>
      <c r="M28" s="16" t="inlineStr">
        <is>
          <t>https://www.designgurus.io/blog/salesforce-software-engineer-levels</t>
        </is>
      </c>
      <c r="N28" s="201" t="n"/>
      <c r="O28" s="16" t="inlineStr">
        <is>
          <t>Secondary</t>
        </is>
      </c>
    </row>
    <row r="29" ht="80" customHeight="1">
      <c r="A29" s="13" t="inlineStr">
        <is>
          <t>C11 · Atlassian</t>
        </is>
      </c>
      <c r="B29" s="201" t="n"/>
      <c r="C29" s="16" t="inlineStr">
        <is>
          <t>Global SaaS leader with a published level system</t>
        </is>
      </c>
      <c r="D29" s="201" t="n"/>
      <c r="E29" s="16" t="inlineStr">
        <is>
          <t>All SaaS businesses; IT, finance and PM ladders</t>
        </is>
      </c>
      <c r="F29" s="201" t="n"/>
      <c r="G29" s="16" t="inlineStr">
        <is>
          <t>P30–P90 system used across engineering, PM, IT and finance</t>
        </is>
      </c>
      <c r="H29" s="202" t="n"/>
      <c r="I29" s="201" t="n"/>
      <c r="J29" s="16" t="inlineStr">
        <is>
          <t>P30 Junior · 0–2 yrs → P40 → P50 Senior → P60 Principal → P70 Senior Principal → P80 → P90; P-levels shared across job families</t>
        </is>
      </c>
      <c r="K29" s="202" t="n"/>
      <c r="L29" s="201" t="n"/>
      <c r="M29" s="16" t="inlineStr">
        <is>
          <t>https://www.designgurus.io/blog/atlassian-software-engineer-levels ; https://www.levels.fyi/en-gb/companies/atlassian/salaries/accountant/levels/p60</t>
        </is>
      </c>
      <c r="N29" s="201" t="n"/>
      <c r="O29" s="16" t="inlineStr">
        <is>
          <t>Levels.fyi + secondary</t>
        </is>
      </c>
    </row>
    <row r="30" ht="41" customHeight="1">
      <c r="A30" s="13" t="inlineStr">
        <is>
          <t>C12 · Freshworks</t>
        </is>
      </c>
      <c r="B30" s="201" t="n"/>
      <c r="C30" s="16" t="inlineStr">
        <is>
          <t>Indian-origin global SaaS leader · Chennai, Bengaluru, Hyderabad</t>
        </is>
      </c>
      <c r="D30" s="201" t="n"/>
      <c r="E30" s="16" t="inlineStr">
        <is>
          <t>IRIS engineering and SaaS talent market in India</t>
        </is>
      </c>
      <c r="F30" s="201" t="n"/>
      <c r="G30" s="16" t="inlineStr">
        <is>
          <t>Closest Indian SaaS employer brand</t>
        </is>
      </c>
      <c r="H30" s="202" t="n"/>
      <c r="I30" s="201" t="n"/>
      <c r="J30" s="16" t="inlineStr">
        <is>
          <t>SE → Senior SE → Lead SE → Staff SE → Senior Staff SE → Principal Engineer; manager ladder to Senior Director</t>
        </is>
      </c>
      <c r="K30" s="202" t="n"/>
      <c r="L30" s="201" t="n"/>
      <c r="M30" s="16" t="inlineStr">
        <is>
          <t>https://www.levels.fyi/companies/freshworks/salaries/software-engineer</t>
        </is>
      </c>
      <c r="N30" s="201" t="n"/>
      <c r="O30" s="16" t="inlineStr">
        <is>
          <t>Levels.fyi</t>
        </is>
      </c>
    </row>
    <row r="31" ht="54" customHeight="1">
      <c r="A31" s="13" t="inlineStr">
        <is>
          <t>C13 · Zoho</t>
        </is>
      </c>
      <c r="B31" s="201" t="n"/>
      <c r="C31" s="16" t="inlineStr">
        <is>
          <t>Indian SaaS leader</t>
        </is>
      </c>
      <c r="D31" s="201" t="n"/>
      <c r="E31" s="16" t="inlineStr">
        <is>
          <t>IRIS engineering talent market in India</t>
        </is>
      </c>
      <c r="F31" s="201" t="n"/>
      <c r="G31" s="16" t="inlineStr">
        <is>
          <t>Large Indian product employer</t>
        </is>
      </c>
      <c r="H31" s="202" t="n"/>
      <c r="I31" s="201" t="n"/>
      <c r="J31" s="16" t="inlineStr">
        <is>
          <t>Engineering levels L1 → L2 → L3 · L1 and L3 India pages confirmed; titles not confirmed</t>
        </is>
      </c>
      <c r="K31" s="202" t="n"/>
      <c r="L31" s="201" t="n"/>
      <c r="M31" s="16" t="inlineStr">
        <is>
          <t>https://www.levels.fyi/companies/zoho/salaries/software-engineer/levels/l1/locations/india</t>
        </is>
      </c>
      <c r="N31" s="201" t="n"/>
      <c r="O31" s="16" t="inlineStr">
        <is>
          <t>Levels.fyi</t>
        </is>
      </c>
    </row>
    <row r="32" ht="54" customHeight="1">
      <c r="A32" s="13" t="inlineStr">
        <is>
          <t>C14 · Clear · ClearTax</t>
        </is>
      </c>
      <c r="B32" s="201" t="n"/>
      <c r="C32" s="16" t="inlineStr">
        <is>
          <t>Indian compliance SaaS · GST, e-invoicing, tax</t>
        </is>
      </c>
      <c r="D32" s="201" t="n"/>
      <c r="E32" s="16" t="inlineStr">
        <is>
          <t>IRIS e-invoicing / GST · Datatech, Consume and India compliance talent</t>
        </is>
      </c>
      <c r="F32" s="201" t="n"/>
      <c r="G32" s="16" t="inlineStr">
        <is>
          <t>Direct India compliance-SaaS talent competitor</t>
        </is>
      </c>
      <c r="H32" s="202" t="n"/>
      <c r="I32" s="201" t="n"/>
      <c r="J32" s="16" t="inlineStr">
        <is>
          <t>SDE1 → SDE2 → SDE3 / Senior → Staff · unverified: the earlier link was a different company; ClearTax is under /cleartax/</t>
        </is>
      </c>
      <c r="K32" s="202" t="n"/>
      <c r="L32" s="201" t="n"/>
      <c r="M32" s="16" t="inlineStr">
        <is>
          <t>https://www.levels.fyi/companies/cleartax/salaries/software-engineering-manager</t>
        </is>
      </c>
      <c r="N32" s="201" t="n"/>
      <c r="O32" s="16" t="inlineStr">
        <is>
          <t>Indicative</t>
        </is>
      </c>
    </row>
    <row r="33" ht="145" customHeight="1">
      <c r="A33" s="13" t="inlineStr">
        <is>
          <t>C15 · Gainsight · customer-success category leader</t>
        </is>
      </c>
      <c r="B33" s="201" t="n"/>
      <c r="C33" s="16" t="inlineStr">
        <is>
          <t>Customer-success SaaS</t>
        </is>
      </c>
      <c r="D33" s="201" t="n"/>
      <c r="E33" s="16" t="inlineStr">
        <is>
          <t>IRIS Customer Success &amp; Support</t>
        </is>
      </c>
      <c r="F33" s="201" t="n"/>
      <c r="G33" s="16" t="inlineStr">
        <is>
          <t>Defines the customer-success profession</t>
        </is>
      </c>
      <c r="H33" s="202" t="n"/>
      <c r="I33" s="201" t="n"/>
      <c r="J33" s="16" t="inlineStr">
        <is>
          <t>CSM → Senior CSM → Strategic CSM / Enterprise Success Leader → Director CS → VP CS → Chief Customer Officer</t>
        </is>
      </c>
      <c r="K33" s="202" t="n"/>
      <c r="L33" s="201" t="n"/>
      <c r="M33" s="16" t="inlineStr">
        <is>
          <t>https://jobs.insightpartners.com/companies/gainsight/jobs/64120646-director-customer-success ; https://www.gainsight.com/blog/customer-success-career-opportunities/ ; https://www.gainsight.com/press/gainsight-expands-scope-of-executive-team-and-doubles-down-on-product-leadership/</t>
        </is>
      </c>
      <c r="N33" s="201" t="n"/>
      <c r="O33" s="16" t="inlineStr">
        <is>
          <t>Job postings</t>
        </is>
      </c>
    </row>
    <row r="34" ht="80" customHeight="1">
      <c r="A34" s="13" t="inlineStr">
        <is>
          <t>C16 · B2B SaaS sales benchmarks · SaaStr, sales-title hierarchies</t>
        </is>
      </c>
      <c r="B34" s="201" t="n"/>
      <c r="C34" s="16" t="inlineStr">
        <is>
          <t>SaaS go-to-market</t>
        </is>
      </c>
      <c r="D34" s="201" t="n"/>
      <c r="E34" s="16" t="inlineStr">
        <is>
          <t>IRIS Sales &amp; BD</t>
        </is>
      </c>
      <c r="F34" s="201" t="n"/>
      <c r="G34" s="16" t="inlineStr">
        <is>
          <t>Standard SaaS sales ladder and promotion timing</t>
        </is>
      </c>
      <c r="H34" s="202" t="n"/>
      <c r="I34" s="201" t="n"/>
      <c r="J34" s="16" t="inlineStr">
        <is>
          <t>SDR / BDR → AE · SMB → Mid-Market AE → Enterprise AE; Sales Manager → Director → VP Sales / CRO; SDR → AE usually within a year</t>
        </is>
      </c>
      <c r="K34" s="202" t="n"/>
      <c r="L34" s="201" t="n"/>
      <c r="M34" s="16" t="inlineStr">
        <is>
          <t>https://www.saastr.com/dear-saastr-do-i-have-to-provide-a-promotion-path-from-sdr-to-ae ; https://prospeo.io/s/sales-titles-hierarchy</t>
        </is>
      </c>
      <c r="N34" s="201" t="n"/>
      <c r="O34" s="16" t="inlineStr">
        <is>
          <t>Secondary</t>
        </is>
      </c>
    </row>
    <row r="35" ht="54" customHeight="1">
      <c r="A35" s="13" t="inlineStr">
        <is>
          <t>C17 · Google · Microsoft · Amazon</t>
        </is>
      </c>
      <c r="B35" s="201" t="n"/>
      <c r="C35" s="16" t="inlineStr">
        <is>
          <t>Global technology · scale anchors</t>
        </is>
      </c>
      <c r="D35" s="201" t="n"/>
      <c r="E35" s="16" t="inlineStr">
        <is>
          <t>Engineering levels</t>
        </is>
      </c>
      <c r="F35" s="201" t="n"/>
      <c r="G35" s="16" t="inlineStr">
        <is>
          <t>Most-cited cross-company level equivalences</t>
        </is>
      </c>
      <c r="H35" s="202" t="n"/>
      <c r="I35" s="201" t="n"/>
      <c r="J35" s="16" t="inlineStr">
        <is>
          <t>L3–L8 · 59–68 · L4–L8</t>
        </is>
      </c>
      <c r="K35" s="202" t="n"/>
      <c r="L35" s="201" t="n"/>
      <c r="M35" s="16" t="inlineStr">
        <is>
          <t>https://testrigor.com/blog/engineering-levels-in-different-companies-compared/</t>
        </is>
      </c>
      <c r="N35" s="201" t="n"/>
      <c r="O35" s="16" t="inlineStr">
        <is>
          <t>Secondary</t>
        </is>
      </c>
    </row>
    <row r="36" ht="93" customHeight="1">
      <c r="A36" s="13" t="inlineStr">
        <is>
          <t>C18 · Infosys · TCS · Accenture India</t>
        </is>
      </c>
      <c r="B36" s="201" t="n"/>
      <c r="C36" s="16" t="inlineStr">
        <is>
          <t>Indian IT services · talent-market anchors</t>
        </is>
      </c>
      <c r="D36" s="201" t="n"/>
      <c r="E36" s="16" t="inlineStr">
        <is>
          <t>Engineering, QA, BA, data operations</t>
        </is>
      </c>
      <c r="F36" s="201" t="n"/>
      <c r="G36" s="16" t="inlineStr">
        <is>
          <t>Largest employers in IRIS's talent market</t>
        </is>
      </c>
      <c r="H36" s="202" t="n"/>
      <c r="I36" s="201" t="n"/>
      <c r="J36" s="16" t="inlineStr">
        <is>
          <t>JL3B–JL6A · C1–SP1 · L12–L5 with experience ranges</t>
        </is>
      </c>
      <c r="K36" s="202" t="n"/>
      <c r="L36" s="201" t="n"/>
      <c r="M36" s="16" t="inlineStr">
        <is>
          <t>https://www.designgurus.io/blog/infosys-job-levels ; https://www.designgurus.io/blog/tcs-job-levels ; https://jobrise.io/hi/blog/accenture-salary-package-2026-india/</t>
        </is>
      </c>
      <c r="N36" s="201" t="n"/>
      <c r="O36" s="16" t="inlineStr">
        <is>
          <t>Indicative</t>
        </is>
      </c>
    </row>
    <row r="37" ht="41" customHeight="1">
      <c r="A37" s="13" t="inlineStr">
        <is>
          <t>C19 · Deloitte · EY · KPMG · PwC · Big Four</t>
        </is>
      </c>
      <c r="B37" s="201" t="n"/>
      <c r="C37" s="16" t="inlineStr">
        <is>
          <t>Professional services / regulatory consulting</t>
        </is>
      </c>
      <c r="D37" s="201" t="n"/>
      <c r="E37" s="16" t="inlineStr">
        <is>
          <t>XBRL consulting, BA, solution consulting, finance</t>
        </is>
      </c>
      <c r="F37" s="201" t="n"/>
      <c r="G37" s="16" t="inlineStr">
        <is>
          <t>Market reference for consulting titles</t>
        </is>
      </c>
      <c r="H37" s="202" t="n"/>
      <c r="I37" s="201" t="n"/>
      <c r="J37" s="16" t="inlineStr">
        <is>
          <t>Analyst → Consultant → Senior Consultant → Manager → Senior Manager / AD → Director → Partner</t>
        </is>
      </c>
      <c r="K37" s="202" t="n"/>
      <c r="L37" s="201" t="n"/>
      <c r="M37" s="16" t="inlineStr">
        <is>
          <t>https://networkinterview.com/technical-hierarchy-deloitte-india/</t>
        </is>
      </c>
      <c r="N37" s="201" t="n"/>
      <c r="O37" s="16" t="inlineStr">
        <is>
          <t>Indicative</t>
        </is>
      </c>
    </row>
    <row r="38" ht="41" customHeight="1">
      <c r="A38" s="13" t="inlineStr">
        <is>
          <t>C20 · GitLab</t>
        </is>
      </c>
      <c r="B38" s="201" t="n"/>
      <c r="C38" s="16" t="inlineStr">
        <is>
          <t>SaaS with a public handbook</t>
        </is>
      </c>
      <c r="D38" s="201" t="n"/>
      <c r="E38" s="16" t="inlineStr">
        <is>
          <t>IC ↔ manager equivalence; layers</t>
        </is>
      </c>
      <c r="F38" s="201" t="n"/>
      <c r="G38" s="16" t="inlineStr">
        <is>
          <t>Most transparent public job framework</t>
        </is>
      </c>
      <c r="H38" s="202" t="n"/>
      <c r="I38" s="201" t="n"/>
      <c r="J38" s="16" t="inlineStr">
        <is>
          <t>Staff ↔ Manager, Principal ↔ Senior Manager, Distinguished ↔ Director, Fellow ↔ VP; ≤ 8 layers</t>
        </is>
      </c>
      <c r="K38" s="202" t="n"/>
      <c r="L38" s="201" t="n"/>
      <c r="M38" s="16" t="inlineStr">
        <is>
          <t>https://handbook.gitlab.com/handbook/company/structure/</t>
        </is>
      </c>
      <c r="N38" s="201" t="n"/>
      <c r="O38" s="16" t="inlineStr">
        <is>
          <t>Primary</t>
        </is>
      </c>
    </row>
    <row r="39" ht="15" customHeight="1"/>
    <row r="40" ht="20" customHeight="1">
      <c r="A40" s="6" t="inlineStr">
        <is>
          <t>R2. Professional standard by job family — the best standard there is</t>
        </is>
      </c>
    </row>
    <row r="41" ht="15" customHeight="1">
      <c r="A41" s="12" t="inlineStr">
        <is>
          <t>Job family</t>
        </is>
      </c>
      <c r="B41" s="202" t="n"/>
      <c r="C41" s="201" t="n"/>
      <c r="D41" s="12" t="inlineStr">
        <is>
          <t>Standard / body / certification pathway</t>
        </is>
      </c>
      <c r="E41" s="202" t="n"/>
      <c r="F41" s="202" t="n"/>
      <c r="G41" s="202" t="n"/>
      <c r="H41" s="202" t="n"/>
      <c r="I41" s="201" t="n"/>
      <c r="J41" s="12" t="inlineStr">
        <is>
          <t>Site</t>
        </is>
      </c>
      <c r="K41" s="202" t="n"/>
      <c r="L41" s="202" t="n"/>
      <c r="M41" s="202" t="n"/>
      <c r="N41" s="201" t="n"/>
      <c r="O41" s="12" t="inlineStr">
        <is>
          <t>People here</t>
        </is>
      </c>
    </row>
    <row r="42" ht="28" customHeight="1">
      <c r="A42" s="13" t="inlineStr">
        <is>
          <t>Data Operations &amp; Digitization</t>
        </is>
      </c>
      <c r="B42" s="202" t="n"/>
      <c r="C42" s="201" t="n"/>
      <c r="D42" s="16" t="inlineStr">
        <is>
          <t>COPC CX Standard · leadership &amp; planning, people, processes, performance; ISO 9001; Lean / Six Sigma</t>
        </is>
      </c>
      <c r="E42" s="202" t="n"/>
      <c r="F42" s="202" t="n"/>
      <c r="G42" s="202" t="n"/>
      <c r="H42" s="202" t="n"/>
      <c r="I42" s="201" t="n"/>
      <c r="J42" s="16" t="inlineStr">
        <is>
          <t>https://copc.com/copc-standards</t>
        </is>
      </c>
      <c r="K42" s="202" t="n"/>
      <c r="L42" s="202" t="n"/>
      <c r="M42" s="202" t="n"/>
      <c r="N42" s="201" t="n"/>
      <c r="O42" s="15" t="n">
        <v>9</v>
      </c>
    </row>
    <row r="43" ht="28" customHeight="1">
      <c r="A43" s="13" t="inlineStr">
        <is>
          <t>Data &amp; Analytics</t>
        </is>
      </c>
      <c r="B43" s="202" t="n"/>
      <c r="C43" s="201" t="n"/>
      <c r="D43" s="16" t="inlineStr">
        <is>
          <t>DAMA-DMBOK · 11 knowledge areas around data governance</t>
        </is>
      </c>
      <c r="E43" s="202" t="n"/>
      <c r="F43" s="202" t="n"/>
      <c r="G43" s="202" t="n"/>
      <c r="H43" s="202" t="n"/>
      <c r="I43" s="201" t="n"/>
      <c r="J43" s="16" t="inlineStr">
        <is>
          <t>https://www.snowflake.com/en/fundamentals/data-governance/framework/dama-dmbok/</t>
        </is>
      </c>
      <c r="K43" s="202" t="n"/>
      <c r="L43" s="202" t="n"/>
      <c r="M43" s="202" t="n"/>
      <c r="N43" s="201" t="n"/>
      <c r="O43" s="15" t="n">
        <v>9</v>
      </c>
    </row>
    <row r="44" ht="28" customHeight="1">
      <c r="A44" s="13" t="inlineStr">
        <is>
          <t>Engineering &amp; Development</t>
        </is>
      </c>
      <c r="B44" s="202" t="n"/>
      <c r="C44" s="201" t="n"/>
      <c r="D44" s="16" t="inlineStr">
        <is>
          <t>SFIA 9 · software development, programming; OWASP secure coding; cloud vendor certifications</t>
        </is>
      </c>
      <c r="E44" s="202" t="n"/>
      <c r="F44" s="202" t="n"/>
      <c r="G44" s="202" t="n"/>
      <c r="H44" s="202" t="n"/>
      <c r="I44" s="201" t="n"/>
      <c r="J44" s="16" t="inlineStr">
        <is>
          <t>https://sfia-online.org</t>
        </is>
      </c>
      <c r="K44" s="202" t="n"/>
      <c r="L44" s="202" t="n"/>
      <c r="M44" s="202" t="n"/>
      <c r="N44" s="201" t="n"/>
      <c r="O44" s="15" t="n">
        <v>4</v>
      </c>
    </row>
    <row r="45" ht="15" customHeight="1">
      <c r="A45" s="13" t="inlineStr">
        <is>
          <t>Project &amp; Program Management</t>
        </is>
      </c>
      <c r="B45" s="202" t="n"/>
      <c r="C45" s="201" t="n"/>
      <c r="D45" s="16" t="inlineStr">
        <is>
          <t>PMI PMBOK and Talent Triangle; CAPM · entry → PMP → PgMP; Scrum / SAFe</t>
        </is>
      </c>
      <c r="E45" s="202" t="n"/>
      <c r="F45" s="202" t="n"/>
      <c r="G45" s="202" t="n"/>
      <c r="H45" s="202" t="n"/>
      <c r="I45" s="201" t="n"/>
      <c r="J45" s="16" t="inlineStr">
        <is>
          <t>https://www.pmi.org</t>
        </is>
      </c>
      <c r="K45" s="202" t="n"/>
      <c r="L45" s="202" t="n"/>
      <c r="M45" s="202" t="n"/>
      <c r="N45" s="201" t="n"/>
      <c r="O45" s="15" t="n">
        <v>1</v>
      </c>
    </row>
    <row r="46" ht="15" customHeight="1"/>
    <row r="47" ht="20" customHeight="1">
      <c r="A47" s="6" t="inlineStr">
        <is>
          <t>R3. Department × level benchmark — IRIS level vs competitors, regtech leaders and SaaS leaders · bottom to top</t>
        </is>
      </c>
    </row>
    <row r="48" ht="28" customHeight="1">
      <c r="A48" s="11"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49" ht="20" customHeight="1">
      <c r="A49" s="164" t="inlineStr">
        <is>
          <t>Digitizing — 9 people</t>
        </is>
      </c>
    </row>
    <row r="50" ht="15" customHeight="1">
      <c r="A50" s="200" t="inlineStr">
        <is>
          <t>IRIS Data Operations &amp; Digitization Vs · Standard: COPC CX Standard · leadership &amp; planning, people, processes, performance; ISO 9001; Lean / Six Sigma · 9 here</t>
        </is>
      </c>
      <c r="B50" s="202" t="n"/>
      <c r="C50" s="202" t="n"/>
      <c r="D50" s="202" t="n"/>
      <c r="E50" s="202" t="n"/>
      <c r="F50" s="202" t="n"/>
      <c r="G50" s="202" t="n"/>
      <c r="H50" s="202" t="n"/>
      <c r="I50" s="202" t="n"/>
      <c r="J50" s="202" t="n"/>
      <c r="K50" s="202" t="n"/>
      <c r="L50" s="202" t="n"/>
      <c r="M50" s="202" t="n"/>
      <c r="N50" s="202" t="n"/>
      <c r="O50" s="201" t="n"/>
    </row>
    <row r="51" ht="15" customHeight="1">
      <c r="A51" s="92" t="inlineStr">
        <is>
          <t>Ladder / company</t>
        </is>
      </c>
      <c r="B51" s="92" t="inlineStr">
        <is>
          <t>A1</t>
        </is>
      </c>
      <c r="C51" s="92" t="inlineStr">
        <is>
          <t>A2</t>
        </is>
      </c>
      <c r="D51" s="92" t="inlineStr">
        <is>
          <t>A3</t>
        </is>
      </c>
      <c r="E51" s="92" t="inlineStr">
        <is>
          <t>B1</t>
        </is>
      </c>
      <c r="F51" s="92" t="inlineStr">
        <is>
          <t>B2</t>
        </is>
      </c>
      <c r="G51" s="92" t="inlineStr">
        <is>
          <t>B3</t>
        </is>
      </c>
      <c r="H51" s="92" t="inlineStr">
        <is>
          <t>B+</t>
        </is>
      </c>
      <c r="I51" s="92" t="inlineStr">
        <is>
          <t>C1</t>
        </is>
      </c>
      <c r="J51" s="92" t="inlineStr">
        <is>
          <t>C2</t>
        </is>
      </c>
      <c r="K51" s="92" t="inlineStr">
        <is>
          <t>C+</t>
        </is>
      </c>
      <c r="L51" s="92" t="inlineStr">
        <is>
          <t>D1</t>
        </is>
      </c>
      <c r="M51" s="92" t="inlineStr">
        <is>
          <t>D2</t>
        </is>
      </c>
      <c r="N51" s="92" t="inlineStr">
        <is>
          <t>E1</t>
        </is>
      </c>
      <c r="O51" s="92" t="inlineStr">
        <is>
          <t>E2</t>
        </is>
      </c>
    </row>
    <row r="52" ht="54" customHeight="1">
      <c r="A52" s="46" t="inlineStr">
        <is>
          <t>IRIS — IC title</t>
        </is>
      </c>
      <c r="B52" s="26" t="inlineStr">
        <is>
          <t>Intern / Trainee</t>
        </is>
      </c>
      <c r="C52" s="26" t="inlineStr">
        <is>
          <t>Associate</t>
        </is>
      </c>
      <c r="D52" s="26" t="inlineStr">
        <is>
          <t>Senior Associate</t>
        </is>
      </c>
      <c r="E52" s="23" t="inlineStr">
        <is>
          <t>Specialist</t>
        </is>
      </c>
      <c r="F52" s="23" t="inlineStr">
        <is>
          <t>Senior Specialist</t>
        </is>
      </c>
      <c r="G52" s="23" t="inlineStr">
        <is>
          <t>Lead Specialist</t>
        </is>
      </c>
      <c r="H52" s="30" t="inlineStr">
        <is>
          <t>Practice Lead · Player-Coach</t>
        </is>
      </c>
      <c r="I52" s="33" t="inlineStr">
        <is>
          <t>Principal</t>
        </is>
      </c>
      <c r="J52" s="33" t="inlineStr">
        <is>
          <t>Senior Principal / Architect</t>
        </is>
      </c>
      <c r="K52" s="36" t="inlineStr">
        <is>
          <t>Group Head · Player-Coach</t>
        </is>
      </c>
      <c r="L52" s="39" t="inlineStr">
        <is>
          <t>Chief Specialist / Distinguished Principal</t>
        </is>
      </c>
      <c r="M52" s="39" t="inlineStr">
        <is>
          <t>—</t>
        </is>
      </c>
      <c r="N52" s="42" t="inlineStr">
        <is>
          <t>—</t>
        </is>
      </c>
      <c r="O52" s="42" t="inlineStr">
        <is>
          <t>—</t>
        </is>
      </c>
    </row>
    <row r="53" ht="54" customHeight="1">
      <c r="A53" s="46" t="inlineStr">
        <is>
          <t>IRIS — Manager title</t>
        </is>
      </c>
      <c r="B53" s="26" t="inlineStr"/>
      <c r="C53" s="26" t="inlineStr"/>
      <c r="D53" s="26" t="inlineStr"/>
      <c r="E53" s="23" t="inlineStr">
        <is>
          <t>Team Lead</t>
        </is>
      </c>
      <c r="F53" s="23" t="inlineStr">
        <is>
          <t>Manager</t>
        </is>
      </c>
      <c r="G53" s="23" t="inlineStr">
        <is>
          <t>Senior Manager</t>
        </is>
      </c>
      <c r="H53" s="30" t="inlineStr">
        <is>
          <t>Practice Lead · Player-Coach</t>
        </is>
      </c>
      <c r="I53" s="33" t="inlineStr">
        <is>
          <t>Associate Head</t>
        </is>
      </c>
      <c r="J53" s="33" t="inlineStr">
        <is>
          <t>Head of Function</t>
        </is>
      </c>
      <c r="K53" s="36" t="inlineStr">
        <is>
          <t>Group Head · Player-Coach</t>
        </is>
      </c>
      <c r="L53" s="39" t="inlineStr">
        <is>
          <t>Associate Vice President / Business Head</t>
        </is>
      </c>
      <c r="M53" s="39" t="inlineStr">
        <is>
          <t>Vice President</t>
        </is>
      </c>
      <c r="N53" s="42" t="inlineStr">
        <is>
          <t>CXO / President</t>
        </is>
      </c>
      <c r="O53" s="42" t="inlineStr">
        <is>
          <t>Chief Executive Officer</t>
        </is>
      </c>
    </row>
    <row r="54" ht="15" customHeight="1">
      <c r="A54" s="46" t="inlineStr">
        <is>
          <t>IRIS — people at level</t>
        </is>
      </c>
      <c r="B54" s="26" t="inlineStr"/>
      <c r="C54" s="26" t="n">
        <v>1</v>
      </c>
      <c r="D54" s="26" t="n">
        <v>6</v>
      </c>
      <c r="E54" s="23" t="n">
        <v>1</v>
      </c>
      <c r="F54" s="23" t="n">
        <v>1</v>
      </c>
      <c r="G54" s="23" t="inlineStr"/>
      <c r="H54" s="30" t="inlineStr"/>
      <c r="I54" s="33" t="inlineStr"/>
      <c r="J54" s="33" t="inlineStr"/>
      <c r="K54" s="36" t="inlineStr"/>
      <c r="L54" s="39" t="inlineStr"/>
      <c r="M54" s="39" t="inlineStr"/>
      <c r="N54" s="42" t="inlineStr"/>
      <c r="O54" s="42" t="inlineStr"/>
    </row>
    <row r="55" ht="41" customHeight="1">
      <c r="A55" s="13" t="inlineStr">
        <is>
          <t>DataTracks</t>
        </is>
      </c>
      <c r="B55" s="15" t="inlineStr"/>
      <c r="C55" s="15" t="inlineStr">
        <is>
          <t>Associate</t>
        </is>
      </c>
      <c r="D55" s="15" t="inlineStr">
        <is>
          <t>Senior Associate · 2–5 yrs</t>
        </is>
      </c>
      <c r="E55" s="15" t="inlineStr"/>
      <c r="F55" s="15" t="inlineStr"/>
      <c r="G55" s="15" t="inlineStr"/>
      <c r="H55" s="15" t="inlineStr"/>
      <c r="I55" s="15" t="inlineStr"/>
      <c r="J55" s="15" t="inlineStr"/>
      <c r="K55" s="15" t="inlineStr"/>
      <c r="L55" s="15" t="inlineStr"/>
      <c r="M55" s="15" t="inlineStr"/>
      <c r="N55" s="15" t="inlineStr"/>
      <c r="O55" s="15" t="inlineStr"/>
    </row>
    <row r="56" ht="28" customHeight="1">
      <c r="A56" s="13" t="inlineStr">
        <is>
          <t>Accenture Operations</t>
        </is>
      </c>
      <c r="B56" s="15" t="inlineStr">
        <is>
          <t>L12 Associate</t>
        </is>
      </c>
      <c r="C56" s="15" t="inlineStr">
        <is>
          <t>L11 Analyst</t>
        </is>
      </c>
      <c r="D56" s="15" t="inlineStr">
        <is>
          <t>L10 Senior Analyst</t>
        </is>
      </c>
      <c r="E56" s="15" t="inlineStr">
        <is>
          <t>L9 Team Lead</t>
        </is>
      </c>
      <c r="F56" s="15" t="inlineStr">
        <is>
          <t>L8 Associate Manager</t>
        </is>
      </c>
      <c r="G56" s="15" t="inlineStr">
        <is>
          <t>L7 Manager</t>
        </is>
      </c>
      <c r="H56" s="15" t="inlineStr"/>
      <c r="I56" s="15" t="inlineStr">
        <is>
          <t>L6 Senior Manager</t>
        </is>
      </c>
      <c r="J56" s="15" t="inlineStr"/>
      <c r="K56" s="15" t="inlineStr"/>
      <c r="L56" s="15" t="inlineStr"/>
      <c r="M56" s="15" t="inlineStr"/>
      <c r="N56" s="15" t="inlineStr"/>
      <c r="O56" s="15" t="inlineStr"/>
    </row>
    <row r="57" ht="54" customHeight="1">
      <c r="A57" s="13" t="inlineStr">
        <is>
          <t>IRIS Vs Competitor Benchmark — operations roles · informed by COPC, which publishes standards, not a ladder</t>
        </is>
      </c>
      <c r="B57" s="15" t="inlineStr"/>
      <c r="C57" s="15" t="inlineStr">
        <is>
          <t>Processor / Agent</t>
        </is>
      </c>
      <c r="D57" s="15" t="inlineStr">
        <is>
          <t>Senior Processor / QC</t>
        </is>
      </c>
      <c r="E57" s="15" t="inlineStr">
        <is>
          <t>Team Lead / Quality Lead</t>
        </is>
      </c>
      <c r="F57" s="15" t="inlineStr">
        <is>
          <t>Operations Manager</t>
        </is>
      </c>
      <c r="G57" s="15" t="inlineStr">
        <is>
          <t>Senior Operations Manager</t>
        </is>
      </c>
      <c r="H57" s="15" t="inlineStr"/>
      <c r="I57" s="15" t="inlineStr">
        <is>
          <t>Head of Delivery</t>
        </is>
      </c>
      <c r="J57" s="15" t="inlineStr"/>
      <c r="K57" s="15" t="inlineStr"/>
      <c r="L57" s="15" t="inlineStr"/>
      <c r="M57" s="15" t="inlineStr"/>
      <c r="N57" s="15" t="inlineStr"/>
      <c r="O57" s="15" t="inlineStr"/>
    </row>
    <row r="58" ht="15" customHeight="1"/>
    <row r="59" ht="20" customHeight="1">
      <c r="A59" s="164" t="inlineStr">
        <is>
          <t>India Content — 9 people</t>
        </is>
      </c>
    </row>
    <row r="60" ht="15" customHeight="1">
      <c r="A60" s="200" t="inlineStr">
        <is>
          <t>IRIS Data &amp; Analytics Vs · Standard: DAMA-DMBOK · 11 knowledge areas around data governance · 9 here</t>
        </is>
      </c>
      <c r="B60" s="202" t="n"/>
      <c r="C60" s="202" t="n"/>
      <c r="D60" s="202" t="n"/>
      <c r="E60" s="202" t="n"/>
      <c r="F60" s="202" t="n"/>
      <c r="G60" s="202" t="n"/>
      <c r="H60" s="202" t="n"/>
      <c r="I60" s="202" t="n"/>
      <c r="J60" s="202" t="n"/>
      <c r="K60" s="202" t="n"/>
      <c r="L60" s="202" t="n"/>
      <c r="M60" s="202" t="n"/>
      <c r="N60" s="202" t="n"/>
      <c r="O60" s="201" t="n"/>
    </row>
    <row r="61" ht="15" customHeight="1">
      <c r="A61" s="92" t="inlineStr">
        <is>
          <t>Ladder / company</t>
        </is>
      </c>
      <c r="B61" s="92" t="inlineStr">
        <is>
          <t>A1</t>
        </is>
      </c>
      <c r="C61" s="92" t="inlineStr">
        <is>
          <t>A2</t>
        </is>
      </c>
      <c r="D61" s="92" t="inlineStr">
        <is>
          <t>A3</t>
        </is>
      </c>
      <c r="E61" s="92" t="inlineStr">
        <is>
          <t>B1</t>
        </is>
      </c>
      <c r="F61" s="92" t="inlineStr">
        <is>
          <t>B2</t>
        </is>
      </c>
      <c r="G61" s="92" t="inlineStr">
        <is>
          <t>B3</t>
        </is>
      </c>
      <c r="H61" s="92" t="inlineStr">
        <is>
          <t>B+</t>
        </is>
      </c>
      <c r="I61" s="92" t="inlineStr">
        <is>
          <t>C1</t>
        </is>
      </c>
      <c r="J61" s="92" t="inlineStr">
        <is>
          <t>C2</t>
        </is>
      </c>
      <c r="K61" s="92" t="inlineStr">
        <is>
          <t>C+</t>
        </is>
      </c>
      <c r="L61" s="92" t="inlineStr">
        <is>
          <t>D1</t>
        </is>
      </c>
      <c r="M61" s="92" t="inlineStr">
        <is>
          <t>D2</t>
        </is>
      </c>
      <c r="N61" s="92" t="inlineStr">
        <is>
          <t>E1</t>
        </is>
      </c>
      <c r="O61" s="92" t="inlineStr">
        <is>
          <t>E2</t>
        </is>
      </c>
    </row>
    <row r="62" ht="54" customHeight="1">
      <c r="A62" s="46" t="inlineStr">
        <is>
          <t>IRIS — IC title</t>
        </is>
      </c>
      <c r="B62" s="26" t="inlineStr">
        <is>
          <t>Intern / Trainee</t>
        </is>
      </c>
      <c r="C62" s="26" t="inlineStr">
        <is>
          <t>Associate</t>
        </is>
      </c>
      <c r="D62" s="26" t="inlineStr">
        <is>
          <t>Senior Associate</t>
        </is>
      </c>
      <c r="E62" s="23" t="inlineStr">
        <is>
          <t>Specialist</t>
        </is>
      </c>
      <c r="F62" s="23" t="inlineStr">
        <is>
          <t>Senior Specialist</t>
        </is>
      </c>
      <c r="G62" s="23" t="inlineStr">
        <is>
          <t>Lead Specialist</t>
        </is>
      </c>
      <c r="H62" s="30" t="inlineStr">
        <is>
          <t>Practice Lead · Player-Coach</t>
        </is>
      </c>
      <c r="I62" s="33" t="inlineStr">
        <is>
          <t>Principal</t>
        </is>
      </c>
      <c r="J62" s="33" t="inlineStr">
        <is>
          <t>Senior Principal / Architect</t>
        </is>
      </c>
      <c r="K62" s="36" t="inlineStr">
        <is>
          <t>Group Head · Player-Coach</t>
        </is>
      </c>
      <c r="L62" s="39" t="inlineStr">
        <is>
          <t>Chief Specialist / Distinguished Principal</t>
        </is>
      </c>
      <c r="M62" s="39" t="inlineStr">
        <is>
          <t>—</t>
        </is>
      </c>
      <c r="N62" s="42" t="inlineStr">
        <is>
          <t>—</t>
        </is>
      </c>
      <c r="O62" s="42" t="inlineStr">
        <is>
          <t>—</t>
        </is>
      </c>
    </row>
    <row r="63" ht="54" customHeight="1">
      <c r="A63" s="46" t="inlineStr">
        <is>
          <t>IRIS — Manager title</t>
        </is>
      </c>
      <c r="B63" s="26" t="inlineStr"/>
      <c r="C63" s="26" t="inlineStr"/>
      <c r="D63" s="26" t="inlineStr"/>
      <c r="E63" s="23" t="inlineStr">
        <is>
          <t>Team Lead</t>
        </is>
      </c>
      <c r="F63" s="23" t="inlineStr">
        <is>
          <t>Manager</t>
        </is>
      </c>
      <c r="G63" s="23" t="inlineStr">
        <is>
          <t>Senior Manager</t>
        </is>
      </c>
      <c r="H63" s="30" t="inlineStr">
        <is>
          <t>Practice Lead · Player-Coach</t>
        </is>
      </c>
      <c r="I63" s="33" t="inlineStr">
        <is>
          <t>Associate Head</t>
        </is>
      </c>
      <c r="J63" s="33" t="inlineStr">
        <is>
          <t>Head of Function</t>
        </is>
      </c>
      <c r="K63" s="36" t="inlineStr">
        <is>
          <t>Group Head · Player-Coach</t>
        </is>
      </c>
      <c r="L63" s="39" t="inlineStr">
        <is>
          <t>Associate Vice President / Business Head</t>
        </is>
      </c>
      <c r="M63" s="39" t="inlineStr">
        <is>
          <t>Vice President</t>
        </is>
      </c>
      <c r="N63" s="42" t="inlineStr">
        <is>
          <t>CXO / President</t>
        </is>
      </c>
      <c r="O63" s="42" t="inlineStr">
        <is>
          <t>Chief Executive Officer</t>
        </is>
      </c>
    </row>
    <row r="64" ht="15" customHeight="1">
      <c r="A64" s="46" t="inlineStr">
        <is>
          <t>IRIS — people at level</t>
        </is>
      </c>
      <c r="B64" s="26" t="inlineStr"/>
      <c r="C64" s="26" t="inlineStr"/>
      <c r="D64" s="26" t="n">
        <v>7</v>
      </c>
      <c r="E64" s="23" t="n">
        <v>1</v>
      </c>
      <c r="F64" s="23" t="n">
        <v>1</v>
      </c>
      <c r="G64" s="23" t="inlineStr"/>
      <c r="H64" s="30" t="inlineStr"/>
      <c r="I64" s="33" t="inlineStr"/>
      <c r="J64" s="33" t="inlineStr"/>
      <c r="K64" s="36" t="inlineStr"/>
      <c r="L64" s="39" t="inlineStr"/>
      <c r="M64" s="39" t="inlineStr"/>
      <c r="N64" s="42" t="inlineStr"/>
      <c r="O64" s="42" t="inlineStr"/>
    </row>
    <row r="65" ht="28" customHeight="1">
      <c r="A65" s="13" t="inlineStr">
        <is>
          <t>Atlassian company-wide P-levels</t>
        </is>
      </c>
      <c r="B65" s="15" t="inlineStr"/>
      <c r="C65" s="15" t="inlineStr">
        <is>
          <t>P30 Analyst</t>
        </is>
      </c>
      <c r="D65" s="15" t="inlineStr">
        <is>
          <t>P40 Analyst</t>
        </is>
      </c>
      <c r="E65" s="15" t="inlineStr">
        <is>
          <t>P40</t>
        </is>
      </c>
      <c r="F65" s="15" t="inlineStr">
        <is>
          <t>P50 Senior Analyst</t>
        </is>
      </c>
      <c r="G65" s="15" t="inlineStr">
        <is>
          <t>P50 / Lead</t>
        </is>
      </c>
      <c r="H65" s="15" t="inlineStr"/>
      <c r="I65" s="15" t="inlineStr">
        <is>
          <t>P60 Principal</t>
        </is>
      </c>
      <c r="J65" s="15" t="inlineStr"/>
      <c r="K65" s="15" t="inlineStr"/>
      <c r="L65" s="15" t="inlineStr"/>
      <c r="M65" s="15" t="inlineStr"/>
      <c r="N65" s="15" t="inlineStr"/>
      <c r="O65" s="15" t="inlineStr"/>
    </row>
    <row r="66" ht="41" customHeight="1">
      <c r="A66" s="13" t="inlineStr">
        <is>
          <t>IRIS Vs Competitor Benchmark — data analyst ladder · informed by Radford codes</t>
        </is>
      </c>
      <c r="B66" s="15" t="inlineStr"/>
      <c r="C66" s="15" t="inlineStr">
        <is>
          <t>Data Analyst I</t>
        </is>
      </c>
      <c r="D66" s="15" t="inlineStr">
        <is>
          <t>Data Analyst II</t>
        </is>
      </c>
      <c r="E66" s="15" t="inlineStr">
        <is>
          <t>Senior Data Analyst</t>
        </is>
      </c>
      <c r="F66" s="15" t="inlineStr">
        <is>
          <t>Lead Data Analyst</t>
        </is>
      </c>
      <c r="G66" s="15" t="inlineStr">
        <is>
          <t>Principal / Analytics Manager</t>
        </is>
      </c>
      <c r="H66" s="15" t="inlineStr"/>
      <c r="I66" s="15" t="inlineStr">
        <is>
          <t>Head of Analytics</t>
        </is>
      </c>
      <c r="J66" s="15" t="inlineStr"/>
      <c r="K66" s="15" t="inlineStr"/>
      <c r="L66" s="15" t="inlineStr"/>
      <c r="M66" s="15" t="inlineStr"/>
      <c r="N66" s="15" t="inlineStr"/>
      <c r="O66" s="15" t="inlineStr"/>
    </row>
    <row r="67" ht="15" customHeight="1"/>
    <row r="68" ht="20" customHeight="1">
      <c r="A68" s="164" t="inlineStr">
        <is>
          <t>Technology — 5 people</t>
        </is>
      </c>
    </row>
    <row r="69" ht="15" customHeight="1">
      <c r="A69" s="200" t="inlineStr">
        <is>
          <t>IRIS Engineering &amp; Development Vs · Standard: SFIA 9 · software development, programming; OWASP secure coding; cloud vendor certifications · 4 here</t>
        </is>
      </c>
      <c r="B69" s="202" t="n"/>
      <c r="C69" s="202" t="n"/>
      <c r="D69" s="202" t="n"/>
      <c r="E69" s="202" t="n"/>
      <c r="F69" s="202" t="n"/>
      <c r="G69" s="202" t="n"/>
      <c r="H69" s="202" t="n"/>
      <c r="I69" s="202" t="n"/>
      <c r="J69" s="202" t="n"/>
      <c r="K69" s="202" t="n"/>
      <c r="L69" s="202" t="n"/>
      <c r="M69" s="202" t="n"/>
      <c r="N69" s="202" t="n"/>
      <c r="O69" s="201" t="n"/>
    </row>
    <row r="70" ht="15" customHeight="1">
      <c r="A70" s="92" t="inlineStr">
        <is>
          <t>Ladder / company</t>
        </is>
      </c>
      <c r="B70" s="92" t="inlineStr">
        <is>
          <t>A1</t>
        </is>
      </c>
      <c r="C70" s="92" t="inlineStr">
        <is>
          <t>A2</t>
        </is>
      </c>
      <c r="D70" s="92" t="inlineStr">
        <is>
          <t>A3</t>
        </is>
      </c>
      <c r="E70" s="92" t="inlineStr">
        <is>
          <t>B1</t>
        </is>
      </c>
      <c r="F70" s="92" t="inlineStr">
        <is>
          <t>B2</t>
        </is>
      </c>
      <c r="G70" s="92" t="inlineStr">
        <is>
          <t>B3</t>
        </is>
      </c>
      <c r="H70" s="92" t="inlineStr">
        <is>
          <t>B+</t>
        </is>
      </c>
      <c r="I70" s="92" t="inlineStr">
        <is>
          <t>C1</t>
        </is>
      </c>
      <c r="J70" s="92" t="inlineStr">
        <is>
          <t>C2</t>
        </is>
      </c>
      <c r="K70" s="92" t="inlineStr">
        <is>
          <t>C+</t>
        </is>
      </c>
      <c r="L70" s="92" t="inlineStr">
        <is>
          <t>D1</t>
        </is>
      </c>
      <c r="M70" s="92" t="inlineStr">
        <is>
          <t>D2</t>
        </is>
      </c>
      <c r="N70" s="92" t="inlineStr">
        <is>
          <t>E1</t>
        </is>
      </c>
      <c r="O70" s="92" t="inlineStr">
        <is>
          <t>E2</t>
        </is>
      </c>
    </row>
    <row r="71" ht="54" customHeight="1">
      <c r="A71" s="46" t="inlineStr">
        <is>
          <t>IRIS — IC title</t>
        </is>
      </c>
      <c r="B71" s="26" t="inlineStr">
        <is>
          <t>Intern / Trainee</t>
        </is>
      </c>
      <c r="C71" s="26" t="inlineStr">
        <is>
          <t>Associate</t>
        </is>
      </c>
      <c r="D71" s="26" t="inlineStr">
        <is>
          <t>Senior Associate</t>
        </is>
      </c>
      <c r="E71" s="23" t="inlineStr">
        <is>
          <t>Specialist</t>
        </is>
      </c>
      <c r="F71" s="23" t="inlineStr">
        <is>
          <t>Senior Specialist</t>
        </is>
      </c>
      <c r="G71" s="23" t="inlineStr">
        <is>
          <t>Lead Specialist</t>
        </is>
      </c>
      <c r="H71" s="30" t="inlineStr">
        <is>
          <t>Practice Lead · Player-Coach</t>
        </is>
      </c>
      <c r="I71" s="33" t="inlineStr">
        <is>
          <t>Principal</t>
        </is>
      </c>
      <c r="J71" s="33" t="inlineStr">
        <is>
          <t>Senior Principal / Architect</t>
        </is>
      </c>
      <c r="K71" s="36" t="inlineStr">
        <is>
          <t>Group Head · Player-Coach</t>
        </is>
      </c>
      <c r="L71" s="39" t="inlineStr">
        <is>
          <t>Chief Specialist / Distinguished Principal</t>
        </is>
      </c>
      <c r="M71" s="39" t="inlineStr">
        <is>
          <t>—</t>
        </is>
      </c>
      <c r="N71" s="42" t="inlineStr">
        <is>
          <t>—</t>
        </is>
      </c>
      <c r="O71" s="42" t="inlineStr">
        <is>
          <t>—</t>
        </is>
      </c>
    </row>
    <row r="72" ht="54" customHeight="1">
      <c r="A72" s="46" t="inlineStr">
        <is>
          <t>IRIS — Manager title</t>
        </is>
      </c>
      <c r="B72" s="26" t="inlineStr"/>
      <c r="C72" s="26" t="inlineStr"/>
      <c r="D72" s="26" t="inlineStr"/>
      <c r="E72" s="23" t="inlineStr">
        <is>
          <t>Team Lead</t>
        </is>
      </c>
      <c r="F72" s="23" t="inlineStr">
        <is>
          <t>Manager</t>
        </is>
      </c>
      <c r="G72" s="23" t="inlineStr">
        <is>
          <t>Senior Manager</t>
        </is>
      </c>
      <c r="H72" s="30" t="inlineStr">
        <is>
          <t>Practice Lead · Player-Coach</t>
        </is>
      </c>
      <c r="I72" s="33" t="inlineStr">
        <is>
          <t>Associate Head</t>
        </is>
      </c>
      <c r="J72" s="33" t="inlineStr">
        <is>
          <t>Head of Function</t>
        </is>
      </c>
      <c r="K72" s="36" t="inlineStr">
        <is>
          <t>Group Head · Player-Coach</t>
        </is>
      </c>
      <c r="L72" s="39" t="inlineStr">
        <is>
          <t>Associate Vice President / Business Head</t>
        </is>
      </c>
      <c r="M72" s="39" t="inlineStr">
        <is>
          <t>Vice President</t>
        </is>
      </c>
      <c r="N72" s="42" t="inlineStr">
        <is>
          <t>CXO / President</t>
        </is>
      </c>
      <c r="O72" s="42" t="inlineStr">
        <is>
          <t>Chief Executive Officer</t>
        </is>
      </c>
    </row>
    <row r="73" ht="15" customHeight="1">
      <c r="A73" s="46" t="inlineStr">
        <is>
          <t>IRIS — people at level</t>
        </is>
      </c>
      <c r="B73" s="26" t="inlineStr"/>
      <c r="C73" s="26" t="inlineStr"/>
      <c r="D73" s="26" t="n">
        <v>2</v>
      </c>
      <c r="E73" s="23" t="n">
        <v>1</v>
      </c>
      <c r="F73" s="23" t="inlineStr"/>
      <c r="G73" s="23" t="n">
        <v>1</v>
      </c>
      <c r="H73" s="30" t="inlineStr"/>
      <c r="I73" s="33" t="inlineStr"/>
      <c r="J73" s="33" t="inlineStr"/>
      <c r="K73" s="36" t="inlineStr"/>
      <c r="L73" s="39" t="inlineStr"/>
      <c r="M73" s="39" t="inlineStr"/>
      <c r="N73" s="42" t="inlineStr"/>
      <c r="O73" s="42" t="inlineStr"/>
    </row>
    <row r="74" ht="28" customHeight="1">
      <c r="A74" s="13" t="inlineStr">
        <is>
          <t>Workiva</t>
        </is>
      </c>
      <c r="B74" s="15" t="inlineStr"/>
      <c r="C74" s="15" t="inlineStr">
        <is>
          <t>Associate SE</t>
        </is>
      </c>
      <c r="D74" s="15" t="inlineStr">
        <is>
          <t>SE</t>
        </is>
      </c>
      <c r="E74" s="15" t="inlineStr">
        <is>
          <t>SE / Senior SE</t>
        </is>
      </c>
      <c r="F74" s="15" t="inlineStr">
        <is>
          <t>Senior SE</t>
        </is>
      </c>
      <c r="G74" s="15" t="inlineStr">
        <is>
          <t>Staff SE</t>
        </is>
      </c>
      <c r="H74" s="15" t="inlineStr"/>
      <c r="I74" s="15" t="inlineStr"/>
      <c r="J74" s="15" t="inlineStr"/>
      <c r="K74" s="15" t="inlineStr"/>
      <c r="L74" s="15" t="inlineStr"/>
      <c r="M74" s="15" t="inlineStr"/>
      <c r="N74" s="15" t="inlineStr"/>
      <c r="O74" s="15" t="inlineStr"/>
    </row>
    <row r="75" ht="28" customHeight="1">
      <c r="A75" s="13" t="inlineStr">
        <is>
          <t>Broadridge India</t>
        </is>
      </c>
      <c r="B75" s="15" t="inlineStr"/>
      <c r="C75" s="15" t="inlineStr">
        <is>
          <t>SE</t>
        </is>
      </c>
      <c r="D75" s="15" t="inlineStr">
        <is>
          <t>SE</t>
        </is>
      </c>
      <c r="E75" s="15" t="inlineStr">
        <is>
          <t>Senior SE</t>
        </is>
      </c>
      <c r="F75" s="15" t="inlineStr">
        <is>
          <t>Lead SE</t>
        </is>
      </c>
      <c r="G75" s="15" t="inlineStr">
        <is>
          <t>Senior Lead SE</t>
        </is>
      </c>
      <c r="H75" s="15" t="inlineStr"/>
      <c r="I75" s="15" t="inlineStr"/>
      <c r="J75" s="15" t="inlineStr"/>
      <c r="K75" s="15" t="inlineStr"/>
      <c r="L75" s="15" t="inlineStr"/>
      <c r="M75" s="15" t="inlineStr"/>
      <c r="N75" s="15" t="inlineStr"/>
      <c r="O75" s="15" t="inlineStr"/>
    </row>
    <row r="76" ht="15" customHeight="1">
      <c r="A76" s="13" t="inlineStr">
        <is>
          <t>Nasdaq / AxiomSL</t>
        </is>
      </c>
      <c r="B76" s="15" t="inlineStr"/>
      <c r="C76" s="15" t="inlineStr">
        <is>
          <t>SE</t>
        </is>
      </c>
      <c r="D76" s="15" t="inlineStr">
        <is>
          <t>SE</t>
        </is>
      </c>
      <c r="E76" s="15" t="inlineStr">
        <is>
          <t>Senior SE</t>
        </is>
      </c>
      <c r="F76" s="15" t="inlineStr">
        <is>
          <t>Senior SE</t>
        </is>
      </c>
      <c r="G76" s="15" t="inlineStr">
        <is>
          <t>Lead SE</t>
        </is>
      </c>
      <c r="H76" s="15" t="inlineStr"/>
      <c r="I76" s="15" t="inlineStr">
        <is>
          <t>Principal SE</t>
        </is>
      </c>
      <c r="J76" s="15" t="inlineStr"/>
      <c r="K76" s="15" t="inlineStr"/>
      <c r="L76" s="15" t="inlineStr"/>
      <c r="M76" s="15" t="inlineStr"/>
      <c r="N76" s="15" t="inlineStr"/>
      <c r="O76" s="15" t="inlineStr"/>
    </row>
    <row r="77" ht="41" customHeight="1">
      <c r="A77" s="13" t="inlineStr">
        <is>
          <t>Salesforce</t>
        </is>
      </c>
      <c r="B77" s="15" t="inlineStr"/>
      <c r="C77" s="15" t="inlineStr">
        <is>
          <t>AMTS</t>
        </is>
      </c>
      <c r="D77" s="15" t="inlineStr">
        <is>
          <t>MTS</t>
        </is>
      </c>
      <c r="E77" s="15" t="inlineStr">
        <is>
          <t>MTS</t>
        </is>
      </c>
      <c r="F77" s="15" t="inlineStr">
        <is>
          <t>SMTS</t>
        </is>
      </c>
      <c r="G77" s="15" t="inlineStr">
        <is>
          <t>LMTS</t>
        </is>
      </c>
      <c r="H77" s="15" t="inlineStr"/>
      <c r="I77" s="15" t="inlineStr">
        <is>
          <t>PMTS</t>
        </is>
      </c>
      <c r="J77" s="15" t="inlineStr">
        <is>
          <t>Architect / Principal Architect</t>
        </is>
      </c>
      <c r="K77" s="15" t="inlineStr"/>
      <c r="L77" s="15" t="inlineStr">
        <is>
          <t>Distinguished Engineer</t>
        </is>
      </c>
      <c r="M77" s="15" t="inlineStr"/>
      <c r="N77" s="15" t="inlineStr"/>
      <c r="O77" s="15" t="inlineStr"/>
    </row>
    <row r="78" ht="28" customHeight="1">
      <c r="A78" s="13" t="inlineStr">
        <is>
          <t>Atlassian</t>
        </is>
      </c>
      <c r="B78" s="15" t="inlineStr"/>
      <c r="C78" s="15" t="inlineStr">
        <is>
          <t>P30 Junior · 0–2 yrs</t>
        </is>
      </c>
      <c r="D78" s="15" t="inlineStr">
        <is>
          <t>P40 · 3–7 yrs</t>
        </is>
      </c>
      <c r="E78" s="15" t="inlineStr">
        <is>
          <t>P40</t>
        </is>
      </c>
      <c r="F78" s="15" t="inlineStr">
        <is>
          <t>P50 Senior · 6–12 yrs</t>
        </is>
      </c>
      <c r="G78" s="15" t="inlineStr">
        <is>
          <t>P50 Senior</t>
        </is>
      </c>
      <c r="H78" s="15" t="inlineStr"/>
      <c r="I78" s="15" t="inlineStr">
        <is>
          <t>P60 Principal · 10+ yrs</t>
        </is>
      </c>
      <c r="J78" s="15" t="inlineStr">
        <is>
          <t>P70</t>
        </is>
      </c>
      <c r="K78" s="15" t="inlineStr"/>
      <c r="L78" s="15" t="inlineStr"/>
      <c r="M78" s="15" t="inlineStr"/>
      <c r="N78" s="15" t="inlineStr"/>
      <c r="O78" s="15" t="inlineStr"/>
    </row>
    <row r="79" ht="28" customHeight="1">
      <c r="A79" s="13" t="inlineStr">
        <is>
          <t>Freshworks</t>
        </is>
      </c>
      <c r="B79" s="15" t="inlineStr"/>
      <c r="C79" s="15" t="inlineStr">
        <is>
          <t>SE</t>
        </is>
      </c>
      <c r="D79" s="15" t="inlineStr">
        <is>
          <t>Senior SE</t>
        </is>
      </c>
      <c r="E79" s="15" t="inlineStr">
        <is>
          <t>Senior SE</t>
        </is>
      </c>
      <c r="F79" s="15" t="inlineStr">
        <is>
          <t>Lead SE</t>
        </is>
      </c>
      <c r="G79" s="15" t="inlineStr">
        <is>
          <t>Staff SE</t>
        </is>
      </c>
      <c r="H79" s="15" t="inlineStr"/>
      <c r="I79" s="15" t="inlineStr">
        <is>
          <t>Senior Staff SE</t>
        </is>
      </c>
      <c r="J79" s="15" t="inlineStr">
        <is>
          <t>Principal Engineer</t>
        </is>
      </c>
      <c r="K79" s="15" t="inlineStr"/>
      <c r="L79" s="15" t="inlineStr"/>
      <c r="M79" s="15" t="inlineStr"/>
      <c r="N79" s="15" t="inlineStr"/>
      <c r="O79" s="15" t="inlineStr"/>
    </row>
    <row r="80" ht="28" customHeight="1">
      <c r="A80" s="13" t="inlineStr">
        <is>
          <t>Clear · C14; unverified</t>
        </is>
      </c>
      <c r="B80" s="15" t="inlineStr"/>
      <c r="C80" s="15" t="inlineStr">
        <is>
          <t>SDE1</t>
        </is>
      </c>
      <c r="D80" s="15" t="inlineStr">
        <is>
          <t>SDE2</t>
        </is>
      </c>
      <c r="E80" s="15" t="inlineStr">
        <is>
          <t>SDE2</t>
        </is>
      </c>
      <c r="F80" s="15" t="inlineStr">
        <is>
          <t>SDE3 / Senior</t>
        </is>
      </c>
      <c r="G80" s="15" t="inlineStr">
        <is>
          <t>Staff</t>
        </is>
      </c>
      <c r="H80" s="15" t="inlineStr"/>
      <c r="I80" s="15" t="inlineStr"/>
      <c r="J80" s="15" t="inlineStr"/>
      <c r="K80" s="15" t="inlineStr"/>
      <c r="L80" s="15" t="inlineStr"/>
      <c r="M80" s="15" t="inlineStr"/>
      <c r="N80" s="15" t="inlineStr"/>
      <c r="O80" s="15" t="inlineStr"/>
    </row>
    <row r="81" ht="28" customHeight="1">
      <c r="A81" s="13" t="inlineStr">
        <is>
          <t>Google Tech Lead Manager</t>
        </is>
      </c>
      <c r="B81" s="15" t="inlineStr"/>
      <c r="C81" s="15" t="inlineStr"/>
      <c r="D81" s="15" t="inlineStr"/>
      <c r="E81" s="15" t="inlineStr"/>
      <c r="F81" s="15" t="inlineStr"/>
      <c r="G81" s="15" t="inlineStr"/>
      <c r="H81" s="15" t="inlineStr">
        <is>
          <t>Tech Lead Manager · TLM</t>
        </is>
      </c>
      <c r="I81" s="15" t="inlineStr"/>
      <c r="J81" s="15" t="inlineStr"/>
      <c r="K81" s="15" t="inlineStr">
        <is>
          <t>Senior TLM / Director</t>
        </is>
      </c>
      <c r="L81" s="15" t="inlineStr"/>
      <c r="M81" s="15" t="inlineStr"/>
      <c r="N81" s="15" t="inlineStr"/>
      <c r="O81" s="15" t="inlineStr"/>
    </row>
    <row r="82" ht="54" customHeight="1">
      <c r="A82" s="13" t="inlineStr">
        <is>
          <t>IRIS Vs Competitor Benchmark — engineering managers · informed by Freshworks, GitLab; C12, C20</t>
        </is>
      </c>
      <c r="B82" s="15" t="inlineStr"/>
      <c r="C82" s="15" t="inlineStr"/>
      <c r="D82" s="15" t="inlineStr"/>
      <c r="E82" s="15" t="inlineStr"/>
      <c r="F82" s="15" t="inlineStr">
        <is>
          <t>Engineering Manager</t>
        </is>
      </c>
      <c r="G82" s="15" t="inlineStr">
        <is>
          <t>Senior EM</t>
        </is>
      </c>
      <c r="H82" s="15" t="inlineStr"/>
      <c r="I82" s="15" t="inlineStr">
        <is>
          <t>Senior EM / Director</t>
        </is>
      </c>
      <c r="J82" s="15" t="inlineStr">
        <is>
          <t>Director Engineering</t>
        </is>
      </c>
      <c r="K82" s="15" t="inlineStr"/>
      <c r="L82" s="15" t="inlineStr">
        <is>
          <t>Senior Director</t>
        </is>
      </c>
      <c r="M82" s="15" t="inlineStr">
        <is>
          <t>VP Engineering</t>
        </is>
      </c>
      <c r="N82" s="15" t="inlineStr">
        <is>
          <t>CTO</t>
        </is>
      </c>
      <c r="O82" s="15" t="inlineStr"/>
    </row>
    <row r="83" ht="15" customHeight="1"/>
    <row r="84" ht="15" customHeight="1">
      <c r="A84" s="200" t="inlineStr">
        <is>
          <t>IRIS Project &amp; Program Management Vs · Standard: PMI PMBOK and Talent Triangle; CAPM · entry → PMP → PgMP; Scrum / SAFe · 1 here</t>
        </is>
      </c>
      <c r="B84" s="202" t="n"/>
      <c r="C84" s="202" t="n"/>
      <c r="D84" s="202" t="n"/>
      <c r="E84" s="202" t="n"/>
      <c r="F84" s="202" t="n"/>
      <c r="G84" s="202" t="n"/>
      <c r="H84" s="202" t="n"/>
      <c r="I84" s="202" t="n"/>
      <c r="J84" s="202" t="n"/>
      <c r="K84" s="202" t="n"/>
      <c r="L84" s="202" t="n"/>
      <c r="M84" s="202" t="n"/>
      <c r="N84" s="202" t="n"/>
      <c r="O84" s="201" t="n"/>
    </row>
    <row r="85" ht="15" customHeight="1">
      <c r="A85" s="92" t="inlineStr">
        <is>
          <t>Ladder / company</t>
        </is>
      </c>
      <c r="B85" s="92" t="inlineStr">
        <is>
          <t>A1</t>
        </is>
      </c>
      <c r="C85" s="92" t="inlineStr">
        <is>
          <t>A2</t>
        </is>
      </c>
      <c r="D85" s="92" t="inlineStr">
        <is>
          <t>A3</t>
        </is>
      </c>
      <c r="E85" s="92" t="inlineStr">
        <is>
          <t>B1</t>
        </is>
      </c>
      <c r="F85" s="92" t="inlineStr">
        <is>
          <t>B2</t>
        </is>
      </c>
      <c r="G85" s="92" t="inlineStr">
        <is>
          <t>B3</t>
        </is>
      </c>
      <c r="H85" s="92" t="inlineStr">
        <is>
          <t>B+</t>
        </is>
      </c>
      <c r="I85" s="92" t="inlineStr">
        <is>
          <t>C1</t>
        </is>
      </c>
      <c r="J85" s="92" t="inlineStr">
        <is>
          <t>C2</t>
        </is>
      </c>
      <c r="K85" s="92" t="inlineStr">
        <is>
          <t>C+</t>
        </is>
      </c>
      <c r="L85" s="92" t="inlineStr">
        <is>
          <t>D1</t>
        </is>
      </c>
      <c r="M85" s="92" t="inlineStr">
        <is>
          <t>D2</t>
        </is>
      </c>
      <c r="N85" s="92" t="inlineStr">
        <is>
          <t>E1</t>
        </is>
      </c>
      <c r="O85" s="92" t="inlineStr">
        <is>
          <t>E2</t>
        </is>
      </c>
    </row>
    <row r="86" ht="54" customHeight="1">
      <c r="A86" s="46" t="inlineStr">
        <is>
          <t>IRIS — IC title</t>
        </is>
      </c>
      <c r="B86" s="26" t="inlineStr">
        <is>
          <t>Intern / Trainee</t>
        </is>
      </c>
      <c r="C86" s="26" t="inlineStr">
        <is>
          <t>Associate</t>
        </is>
      </c>
      <c r="D86" s="26" t="inlineStr">
        <is>
          <t>Senior Associate</t>
        </is>
      </c>
      <c r="E86" s="23" t="inlineStr">
        <is>
          <t>Specialist</t>
        </is>
      </c>
      <c r="F86" s="23" t="inlineStr">
        <is>
          <t>Senior Specialist</t>
        </is>
      </c>
      <c r="G86" s="23" t="inlineStr">
        <is>
          <t>Lead Specialist</t>
        </is>
      </c>
      <c r="H86" s="30" t="inlineStr">
        <is>
          <t>Practice Lead · Player-Coach</t>
        </is>
      </c>
      <c r="I86" s="33" t="inlineStr">
        <is>
          <t>Principal</t>
        </is>
      </c>
      <c r="J86" s="33" t="inlineStr">
        <is>
          <t>Senior Principal / Architect</t>
        </is>
      </c>
      <c r="K86" s="36" t="inlineStr">
        <is>
          <t>Group Head · Player-Coach</t>
        </is>
      </c>
      <c r="L86" s="39" t="inlineStr">
        <is>
          <t>Chief Specialist / Distinguished Principal</t>
        </is>
      </c>
      <c r="M86" s="39" t="inlineStr">
        <is>
          <t>—</t>
        </is>
      </c>
      <c r="N86" s="42" t="inlineStr">
        <is>
          <t>—</t>
        </is>
      </c>
      <c r="O86" s="42" t="inlineStr">
        <is>
          <t>—</t>
        </is>
      </c>
    </row>
    <row r="87" ht="54" customHeight="1">
      <c r="A87" s="46" t="inlineStr">
        <is>
          <t>IRIS — Manager title</t>
        </is>
      </c>
      <c r="B87" s="26" t="inlineStr"/>
      <c r="C87" s="26" t="inlineStr"/>
      <c r="D87" s="26" t="inlineStr"/>
      <c r="E87" s="23" t="inlineStr">
        <is>
          <t>Team Lead</t>
        </is>
      </c>
      <c r="F87" s="23" t="inlineStr">
        <is>
          <t>Manager</t>
        </is>
      </c>
      <c r="G87" s="23" t="inlineStr">
        <is>
          <t>Senior Manager</t>
        </is>
      </c>
      <c r="H87" s="30" t="inlineStr">
        <is>
          <t>Practice Lead · Player-Coach</t>
        </is>
      </c>
      <c r="I87" s="33" t="inlineStr">
        <is>
          <t>Associate Head</t>
        </is>
      </c>
      <c r="J87" s="33" t="inlineStr">
        <is>
          <t>Head of Function</t>
        </is>
      </c>
      <c r="K87" s="36" t="inlineStr">
        <is>
          <t>Group Head · Player-Coach</t>
        </is>
      </c>
      <c r="L87" s="39" t="inlineStr">
        <is>
          <t>Associate Vice President / Business Head</t>
        </is>
      </c>
      <c r="M87" s="39" t="inlineStr">
        <is>
          <t>Vice President</t>
        </is>
      </c>
      <c r="N87" s="42" t="inlineStr">
        <is>
          <t>CXO / President</t>
        </is>
      </c>
      <c r="O87" s="42" t="inlineStr">
        <is>
          <t>Chief Executive Officer</t>
        </is>
      </c>
    </row>
    <row r="88" ht="15" customHeight="1">
      <c r="A88" s="46" t="inlineStr">
        <is>
          <t>IRIS — people at level</t>
        </is>
      </c>
      <c r="B88" s="26" t="inlineStr"/>
      <c r="C88" s="26" t="inlineStr"/>
      <c r="D88" s="26" t="inlineStr"/>
      <c r="E88" s="23" t="inlineStr"/>
      <c r="F88" s="23" t="n">
        <v>1</v>
      </c>
      <c r="G88" s="23" t="inlineStr"/>
      <c r="H88" s="30" t="inlineStr"/>
      <c r="I88" s="33" t="inlineStr"/>
      <c r="J88" s="33" t="inlineStr"/>
      <c r="K88" s="36" t="inlineStr"/>
      <c r="L88" s="39" t="inlineStr"/>
      <c r="M88" s="39" t="inlineStr"/>
      <c r="N88" s="42" t="inlineStr"/>
      <c r="O88" s="42" t="inlineStr"/>
    </row>
    <row r="89" ht="41" customHeight="1">
      <c r="A89" s="13" t="inlineStr">
        <is>
          <t>IRIS Vs Competitor Benchmark — PMI pathway + SaaS delivery ladder</t>
        </is>
      </c>
      <c r="B89" s="15" t="inlineStr"/>
      <c r="C89" s="15" t="inlineStr">
        <is>
          <t>Project Coordinator · CAPM</t>
        </is>
      </c>
      <c r="D89" s="15" t="inlineStr">
        <is>
          <t>Associate PM</t>
        </is>
      </c>
      <c r="E89" s="15" t="inlineStr">
        <is>
          <t>Project Manager · PMP</t>
        </is>
      </c>
      <c r="F89" s="15" t="inlineStr">
        <is>
          <t>Senior PM</t>
        </is>
      </c>
      <c r="G89" s="15" t="inlineStr">
        <is>
          <t>Program Manager · PgMP</t>
        </is>
      </c>
      <c r="H89" s="15" t="inlineStr"/>
      <c r="I89" s="15" t="inlineStr">
        <is>
          <t>Senior Program Manager</t>
        </is>
      </c>
      <c r="J89" s="15" t="inlineStr">
        <is>
          <t>Director PMO / Delivery</t>
        </is>
      </c>
      <c r="K89" s="15" t="inlineStr"/>
      <c r="L89" s="15" t="inlineStr"/>
      <c r="M89" s="15" t="inlineStr"/>
      <c r="N89" s="15" t="inlineStr"/>
      <c r="O89" s="15" t="inlineStr"/>
    </row>
    <row r="90" ht="54" customHeight="1">
      <c r="A90" s="13" t="inlineStr">
        <is>
          <t>Infosys / Accenture</t>
        </is>
      </c>
      <c r="B90" s="15" t="inlineStr"/>
      <c r="C90" s="15" t="inlineStr"/>
      <c r="D90" s="15" t="inlineStr"/>
      <c r="E90" s="15" t="inlineStr"/>
      <c r="F90" s="15" t="inlineStr"/>
      <c r="G90" s="15" t="inlineStr">
        <is>
          <t>JL6B Project Manager · L7 Manager</t>
        </is>
      </c>
      <c r="H90" s="15" t="inlineStr"/>
      <c r="I90" s="15" t="inlineStr">
        <is>
          <t>JL7 Delivery Manager · L6 Senior Manager</t>
        </is>
      </c>
      <c r="J90" s="15" t="inlineStr"/>
      <c r="K90" s="15" t="inlineStr"/>
      <c r="L90" s="15" t="inlineStr"/>
      <c r="M90" s="15" t="inlineStr"/>
      <c r="N90" s="15" t="inlineStr"/>
      <c r="O90" s="15" t="inlineStr"/>
    </row>
    <row r="91" ht="15" customHeight="1"/>
    <row r="92" ht="20" customHeight="1">
      <c r="A92" s="6" t="inlineStr">
        <is>
          <t>R4. Levelling and market databases used</t>
        </is>
      </c>
    </row>
    <row r="93" ht="15" customHeight="1">
      <c r="A93" s="12" t="inlineStr">
        <is>
          <t>Database / method</t>
        </is>
      </c>
      <c r="B93" s="202" t="n"/>
      <c r="C93" s="201" t="n"/>
      <c r="D93" s="12" t="inlineStr">
        <is>
          <t>What it gave</t>
        </is>
      </c>
      <c r="E93" s="202" t="n"/>
      <c r="F93" s="202" t="n"/>
      <c r="G93" s="202" t="n"/>
      <c r="H93" s="202" t="n"/>
      <c r="I93" s="201" t="n"/>
      <c r="J93" s="12" t="inlineStr">
        <is>
          <t>Site</t>
        </is>
      </c>
      <c r="K93" s="202" t="n"/>
      <c r="L93" s="202" t="n"/>
      <c r="M93" s="201" t="n"/>
      <c r="N93" s="12" t="inlineStr">
        <is>
          <t>Status</t>
        </is>
      </c>
      <c r="O93" s="201" t="n"/>
    </row>
    <row r="94" ht="28" customHeight="1">
      <c r="A94" s="13" t="inlineStr">
        <is>
          <t>Aon Radford · Global Technology Survey</t>
        </is>
      </c>
      <c r="B94" s="202" t="n"/>
      <c r="C94" s="201" t="n"/>
      <c r="D94" s="16" t="inlineStr">
        <is>
          <t>Survey levels P1–P7 / M1–M6 / E1–E6 used on every IRIS level</t>
        </is>
      </c>
      <c r="E94" s="202" t="n"/>
      <c r="F94" s="202" t="n"/>
      <c r="G94" s="202" t="n"/>
      <c r="H94" s="202" t="n"/>
      <c r="I94" s="201" t="n"/>
      <c r="J94" s="16" t="inlineStr">
        <is>
          <t>https://radford.aon.com</t>
        </is>
      </c>
      <c r="K94" s="202" t="n"/>
      <c r="L94" s="202" t="n"/>
      <c r="M94" s="201" t="n"/>
      <c r="N94" s="16" t="inlineStr">
        <is>
          <t>Used — codes; pay data to buy</t>
        </is>
      </c>
      <c r="O94" s="201" t="n"/>
    </row>
    <row r="95" ht="28" customHeight="1">
      <c r="A95" s="13" t="inlineStr">
        <is>
          <t>Mercer TRS / Mercer IPE</t>
        </is>
      </c>
      <c r="B95" s="202" t="n"/>
      <c r="C95" s="201" t="n"/>
      <c r="D95" s="16" t="inlineStr">
        <is>
          <t>Career levels and position evaluation</t>
        </is>
      </c>
      <c r="E95" s="202" t="n"/>
      <c r="F95" s="202" t="n"/>
      <c r="G95" s="202" t="n"/>
      <c r="H95" s="202" t="n"/>
      <c r="I95" s="201" t="n"/>
      <c r="J95" s="16" t="inlineStr">
        <is>
          <t>https://www.mercer.com</t>
        </is>
      </c>
      <c r="K95" s="202" t="n"/>
      <c r="L95" s="202" t="n"/>
      <c r="M95" s="201" t="n"/>
      <c r="N95" s="16" t="inlineStr">
        <is>
          <t>Used — method; pay data to buy</t>
        </is>
      </c>
      <c r="O95" s="201" t="n"/>
    </row>
    <row r="96" ht="15" customHeight="1">
      <c r="A96" s="13" t="inlineStr">
        <is>
          <t>WTW Global Grading System</t>
        </is>
      </c>
      <c r="B96" s="202" t="n"/>
      <c r="C96" s="201" t="n"/>
      <c r="D96" s="16" t="inlineStr">
        <is>
          <t>Banding-then-grading logic</t>
        </is>
      </c>
      <c r="E96" s="202" t="n"/>
      <c r="F96" s="202" t="n"/>
      <c r="G96" s="202" t="n"/>
      <c r="H96" s="202" t="n"/>
      <c r="I96" s="201" t="n"/>
      <c r="J96" s="16" t="inlineStr">
        <is>
          <t>https://www.wtwco.com</t>
        </is>
      </c>
      <c r="K96" s="202" t="n"/>
      <c r="L96" s="202" t="n"/>
      <c r="M96" s="201" t="n"/>
      <c r="N96" s="16" t="inlineStr">
        <is>
          <t>Used — method</t>
        </is>
      </c>
      <c r="O96" s="201" t="n"/>
    </row>
    <row r="97" ht="15" customHeight="1">
      <c r="A97" s="13" t="inlineStr">
        <is>
          <t>Korn Ferry Hay Guide Chart-Profile</t>
        </is>
      </c>
      <c r="B97" s="202" t="n"/>
      <c r="C97" s="201" t="n"/>
      <c r="D97" s="16" t="inlineStr">
        <is>
          <t>Factors and A / L / P profiles</t>
        </is>
      </c>
      <c r="E97" s="202" t="n"/>
      <c r="F97" s="202" t="n"/>
      <c r="G97" s="202" t="n"/>
      <c r="H97" s="202" t="n"/>
      <c r="I97" s="201" t="n"/>
      <c r="J97" s="16" t="inlineStr">
        <is>
          <t>https://www.kornferry.com</t>
        </is>
      </c>
      <c r="K97" s="202" t="n"/>
      <c r="L97" s="202" t="n"/>
      <c r="M97" s="201" t="n"/>
      <c r="N97" s="16" t="inlineStr">
        <is>
          <t>Used — method</t>
        </is>
      </c>
      <c r="O97" s="201" t="n"/>
    </row>
    <row r="98" ht="15" customHeight="1">
      <c r="A98" s="13" t="inlineStr">
        <is>
          <t>Pave</t>
        </is>
      </c>
      <c r="B98" s="202" t="n"/>
      <c r="C98" s="201" t="n"/>
      <c r="D98" s="16" t="inlineStr">
        <is>
          <t>Radford / Mercer level crosswalk</t>
        </is>
      </c>
      <c r="E98" s="202" t="n"/>
      <c r="F98" s="202" t="n"/>
      <c r="G98" s="202" t="n"/>
      <c r="H98" s="202" t="n"/>
      <c r="I98" s="201" t="n"/>
      <c r="J98" s="16" t="inlineStr">
        <is>
          <t>https://support.pave.com</t>
        </is>
      </c>
      <c r="K98" s="202" t="n"/>
      <c r="L98" s="202" t="n"/>
      <c r="M98" s="201" t="n"/>
      <c r="N98" s="16" t="inlineStr">
        <is>
          <t>Used</t>
        </is>
      </c>
      <c r="O98" s="201" t="n"/>
    </row>
    <row r="99" ht="67" customHeight="1">
      <c r="A99" s="13" t="inlineStr">
        <is>
          <t>Levels.fyi</t>
        </is>
      </c>
      <c r="B99" s="202" t="n"/>
      <c r="C99" s="201" t="n"/>
      <c r="D99" s="16" t="inlineStr">
        <is>
          <t>Company level ladders · Workiva, Broadridge, Nasdaq, Freshworks, Zoho, Clear, Atlassian</t>
        </is>
      </c>
      <c r="E99" s="202" t="n"/>
      <c r="F99" s="202" t="n"/>
      <c r="G99" s="202" t="n"/>
      <c r="H99" s="202" t="n"/>
      <c r="I99" s="201" t="n"/>
      <c r="J99" s="16" t="inlineStr">
        <is>
          <t>https://www.levels.fyi</t>
        </is>
      </c>
      <c r="K99" s="202" t="n"/>
      <c r="L99" s="202" t="n"/>
      <c r="M99" s="201" t="n"/>
      <c r="N99" s="16" t="inlineStr">
        <is>
          <t>Used — titles and levels only, not pay; pages did not load in the October 2026 source check, so unverified</t>
        </is>
      </c>
      <c r="O99" s="201" t="n"/>
    </row>
    <row r="100" ht="15" customHeight="1">
      <c r="A100" s="13" t="inlineStr">
        <is>
          <t>SFIA Foundation</t>
        </is>
      </c>
      <c r="B100" s="202" t="n"/>
      <c r="C100" s="201" t="n"/>
      <c r="D100" s="16" t="inlineStr">
        <is>
          <t>Levels of responsibility; skills</t>
        </is>
      </c>
      <c r="E100" s="202" t="n"/>
      <c r="F100" s="202" t="n"/>
      <c r="G100" s="202" t="n"/>
      <c r="H100" s="202" t="n"/>
      <c r="I100" s="201" t="n"/>
      <c r="J100" s="16" t="inlineStr">
        <is>
          <t>https://sfia-online.org</t>
        </is>
      </c>
      <c r="K100" s="202" t="n"/>
      <c r="L100" s="202" t="n"/>
      <c r="M100" s="201" t="n"/>
      <c r="N100" s="16" t="inlineStr">
        <is>
          <t>Used</t>
        </is>
      </c>
      <c r="O100" s="201" t="n"/>
    </row>
    <row r="101" ht="28" customHeight="1">
      <c r="A101" s="13" t="inlineStr">
        <is>
          <t>Built In / company career sites / Personio</t>
        </is>
      </c>
      <c r="B101" s="202" t="n"/>
      <c r="C101" s="201" t="n"/>
      <c r="D101" s="16" t="inlineStr">
        <is>
          <r>
            <rPr>
              <rFont val="Calibri"/>
              <b val="1"/>
              <sz val="10"/>
            </rPr>
            <t>Job postings:</t>
          </r>
          <r>
            <rPr>
              <rFont val="Calibri"/>
              <sz val="10"/>
            </rPr>
            <t xml:space="preserve"> Workiva, DFIN, Toppan Merrill, Regnology, Gainsight</t>
          </r>
        </is>
      </c>
      <c r="E101" s="202" t="n"/>
      <c r="F101" s="202" t="n"/>
      <c r="G101" s="202" t="n"/>
      <c r="H101" s="202" t="n"/>
      <c r="I101" s="201" t="n"/>
      <c r="J101" s="16" t="inlineStr">
        <is>
          <t>https://builtin.com ; https://www.regnology.net/en/careers</t>
        </is>
      </c>
      <c r="K101" s="202" t="n"/>
      <c r="L101" s="202" t="n"/>
      <c r="M101" s="201" t="n"/>
      <c r="N101" s="16" t="inlineStr">
        <is>
          <t>Used — titles and requirements</t>
        </is>
      </c>
      <c r="O101" s="201" t="n"/>
    </row>
    <row r="102" ht="28" customHeight="1">
      <c r="A102" s="13" t="inlineStr">
        <is>
          <t>Chartis RiskTech100, Central Banking awards, CFO Shortlist</t>
        </is>
      </c>
      <c r="B102" s="202" t="n"/>
      <c r="C102" s="201" t="n"/>
      <c r="D102" s="16" t="inlineStr">
        <is>
          <t>Regtech and disclosure-management market leadership</t>
        </is>
      </c>
      <c r="E102" s="202" t="n"/>
      <c r="F102" s="202" t="n"/>
      <c r="G102" s="202" t="n"/>
      <c r="H102" s="202" t="n"/>
      <c r="I102" s="201" t="n"/>
      <c r="J102" s="16" t="inlineStr">
        <is>
          <t>https://www.centralbanking.com ; https://www.cfoshortlist.com</t>
        </is>
      </c>
      <c r="K102" s="202" t="n"/>
      <c r="L102" s="202" t="n"/>
      <c r="M102" s="201" t="n"/>
      <c r="N102" s="16" t="inlineStr">
        <is>
          <t>Used — peer selection</t>
        </is>
      </c>
      <c r="O102" s="201" t="n"/>
    </row>
    <row r="103" ht="15" customHeight="1"/>
    <row r="104" ht="20" customHeight="1">
      <c r="A104" s="6" t="inlineStr">
        <is>
          <t>R5. Full source register · also in the Master, M16</t>
        </is>
      </c>
    </row>
    <row r="105" ht="41" customHeight="1">
      <c r="A105" s="11"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106" ht="15" customHeight="1">
      <c r="A106" s="12" t="inlineStr">
        <is>
          <t>ID</t>
        </is>
      </c>
      <c r="B106" s="12" t="inlineStr">
        <is>
          <t>Source</t>
        </is>
      </c>
      <c r="C106" s="202" t="n"/>
      <c r="D106" s="201" t="n"/>
      <c r="E106" s="12" t="inlineStr">
        <is>
          <t>Type</t>
        </is>
      </c>
      <c r="F106" s="201" t="n"/>
      <c r="G106" s="12" t="inlineStr">
        <is>
          <t>What it contributed</t>
        </is>
      </c>
      <c r="H106" s="202" t="n"/>
      <c r="I106" s="202" t="n"/>
      <c r="J106" s="201" t="n"/>
      <c r="K106" s="12" t="inlineStr">
        <is>
          <t>Link / where</t>
        </is>
      </c>
      <c r="L106" s="202" t="n"/>
      <c r="M106" s="202" t="n"/>
      <c r="N106" s="201" t="n"/>
      <c r="O106" s="12" t="inlineStr">
        <is>
          <t>Grade</t>
        </is>
      </c>
    </row>
    <row r="107" ht="28" customHeight="1">
      <c r="A107" s="13" t="inlineStr">
        <is>
          <t>S01</t>
        </is>
      </c>
      <c r="B107" s="16" t="inlineStr">
        <is>
          <t>Aon Radford — Global Job Architecture &amp; Leveling</t>
        </is>
      </c>
      <c r="C107" s="202" t="n"/>
      <c r="D107" s="201" t="n"/>
      <c r="E107" s="16" t="inlineStr">
        <is>
          <t>Salary-survey levelling system</t>
        </is>
      </c>
      <c r="F107" s="201" t="n"/>
      <c r="G107" s="16" t="inlineStr">
        <is>
          <t>P1–P7 / M1–M6 / E1–E6 market codes on every IRIS level; dual IC / management streams</t>
        </is>
      </c>
      <c r="H107" s="202" t="n"/>
      <c r="I107" s="202" t="n"/>
      <c r="J107" s="201" t="n"/>
      <c r="K107" s="16" t="inlineStr">
        <is>
          <t>https://radford.aon.com/en-us/products/release-notes/2021/radford-job-architecture-leveling</t>
        </is>
      </c>
      <c r="L107" s="202" t="n"/>
      <c r="M107" s="202" t="n"/>
      <c r="N107" s="201" t="n"/>
      <c r="O107" s="16" t="inlineStr">
        <is>
          <t>Primary</t>
        </is>
      </c>
    </row>
    <row r="108" ht="41" customHeight="1">
      <c r="A108" s="13" t="inlineStr">
        <is>
          <t>S02</t>
        </is>
      </c>
      <c r="B108" s="16" t="inlineStr">
        <is>
          <t>Pave — job levels and Radford / Mercer crosswalk</t>
        </is>
      </c>
      <c r="C108" s="202" t="n"/>
      <c r="D108" s="201" t="n"/>
      <c r="E108" s="16" t="inlineStr">
        <is>
          <t>Compensation platform</t>
        </is>
      </c>
      <c r="F108" s="201" t="n"/>
      <c r="G108" s="16" t="inlineStr">
        <is>
          <t>Level names · P1 Entry, P2 Developing, P3 Career, P4 Senior, P5 Expert, P6 Principal; M3 Manager … M6 Senior Director and the Radford ↔ Mercer mapping</t>
        </is>
      </c>
      <c r="H108" s="202" t="n"/>
      <c r="I108" s="202" t="n"/>
      <c r="J108" s="201" t="n"/>
      <c r="K108" s="16" t="inlineStr">
        <is>
          <t>https://support.pave.com/articles/understand-job-levels-SiKTjMHZtr.md</t>
        </is>
      </c>
      <c r="L108" s="202" t="n"/>
      <c r="M108" s="202" t="n"/>
      <c r="N108" s="201" t="n"/>
      <c r="O108" s="16" t="inlineStr">
        <is>
          <t>Primary</t>
        </is>
      </c>
    </row>
    <row r="109" ht="67" customHeight="1">
      <c r="A109" s="13" t="inlineStr">
        <is>
          <t>S03</t>
        </is>
      </c>
      <c r="B109" s="16" t="inlineStr">
        <is>
          <t>Mercer career levels · Executive, Management, Professional, Para-professional</t>
        </is>
      </c>
      <c r="C109" s="202" t="n"/>
      <c r="D109" s="201" t="n"/>
      <c r="E109" s="16" t="inlineStr">
        <is>
          <t>Survey levelling system</t>
        </is>
      </c>
      <c r="F109" s="201" t="n"/>
      <c r="G109" s="16" t="inlineStr">
        <is>
          <t>Management · M3+ = more time managing others' work than doing own work; M2 can be a team lead who also does the work; Mercer team-leader roles lead 2+ professionals → IRIS track rules · the 3-report manager threshold is IRIS's own rule</t>
        </is>
      </c>
      <c r="H109" s="202" t="n"/>
      <c r="I109" s="202" t="n"/>
      <c r="J109" s="201" t="n"/>
      <c r="K109" s="16" t="inlineStr">
        <is>
          <t>https://help.figures.hr/en/articles/389223-mercer-levels ; https://info.mercer.com/rs/521-DEV-513/images/MLS-Job-Catalogue.pdf</t>
        </is>
      </c>
      <c r="L109" s="202" t="n"/>
      <c r="M109" s="202" t="n"/>
      <c r="N109" s="201" t="n"/>
      <c r="O109" s="16" t="inlineStr">
        <is>
          <t>Secondary</t>
        </is>
      </c>
    </row>
    <row r="110" ht="41" customHeight="1">
      <c r="A110" s="13" t="inlineStr">
        <is>
          <t>S04</t>
        </is>
      </c>
      <c r="B110" s="16" t="inlineStr">
        <is>
          <t>Mercer IPE · International Position Evaluation</t>
        </is>
      </c>
      <c r="C110" s="202" t="n"/>
      <c r="D110" s="201" t="n"/>
      <c r="E110" s="16" t="inlineStr">
        <is>
          <t>Job-evaluation method</t>
        </is>
      </c>
      <c r="F110" s="201" t="n"/>
      <c r="G110" s="16" t="inlineStr">
        <is>
          <t>Factors Impact, Communication, Innovation, Knowledge · plus Effort &amp; Working Conditions, not used by IRIS → mapped to the IRIS six factors</t>
        </is>
      </c>
      <c r="H110" s="202" t="n"/>
      <c r="I110" s="202" t="n"/>
      <c r="J110" s="201" t="n"/>
      <c r="K110" s="16" t="inlineStr">
        <is>
          <t>https://www.mercer.com/en-in/solutions/talent-and-rewards/job-architecture/job-evaluation-ipe/</t>
        </is>
      </c>
      <c r="L110" s="202" t="n"/>
      <c r="M110" s="202" t="n"/>
      <c r="N110" s="201" t="n"/>
      <c r="O110" s="16" t="inlineStr">
        <is>
          <t>Primary</t>
        </is>
      </c>
    </row>
    <row r="111" ht="67" customHeight="1">
      <c r="A111" s="13" t="inlineStr">
        <is>
          <t>S05</t>
        </is>
      </c>
      <c r="B111" s="16" t="inlineStr">
        <is>
          <t>Korn Ferry Hay Guide Chart-Profile method</t>
        </is>
      </c>
      <c r="C111" s="202" t="n"/>
      <c r="D111" s="201" t="n"/>
      <c r="E111" s="16" t="inlineStr">
        <is>
          <t>Job-evaluation method</t>
        </is>
      </c>
      <c r="F111" s="201" t="n"/>
      <c r="G111" s="16" t="inlineStr">
        <is>
          <t>Factors Know-How, Problem Solving, Accountability · plus Working Conditions where it applies; used by 5,000+ private and public organisations</t>
        </is>
      </c>
      <c r="H111" s="202" t="n"/>
      <c r="I111" s="202" t="n"/>
      <c r="J111" s="201" t="n"/>
      <c r="K111" s="16" t="inlineStr">
        <is>
          <t>https://www.gov.nl.ca/exec/tbs/department/branches/classification/what-is-the-korn-ferry-hay-group-guide-chart-profile-method-of-job-evaluation/ ; https://www.uwo.ca/humanresources/wjec/docs/hay_method_overview.pdf</t>
        </is>
      </c>
      <c r="L111" s="202" t="n"/>
      <c r="M111" s="202" t="n"/>
      <c r="N111" s="201" t="n"/>
      <c r="O111" s="16" t="inlineStr">
        <is>
          <t>Primary</t>
        </is>
      </c>
    </row>
    <row r="112" ht="67" customHeight="1">
      <c r="A112" s="13" t="inlineStr">
        <is>
          <t>S06</t>
        </is>
      </c>
      <c r="B112" s="16" t="inlineStr">
        <is>
          <t>Hay short profile · A / L / P</t>
        </is>
      </c>
      <c r="C112" s="202" t="n"/>
      <c r="D112" s="201" t="n"/>
      <c r="E112" s="16" t="inlineStr">
        <is>
          <t>Job-evaluation method</t>
        </is>
      </c>
      <c r="F112" s="201" t="n"/>
      <c r="G112" s="16" t="inlineStr">
        <is>
          <t>A-profile = accountability exceeds problem solving · line, results-led; L = problem solving equals accountability · level profile; P = problem solving exceeds accountability · research, thinking-led → IRIS work-type tilts</t>
        </is>
      </c>
      <c r="H112" s="202" t="n"/>
      <c r="I112" s="202" t="n"/>
      <c r="J112" s="201" t="n"/>
      <c r="K112" s="16" t="inlineStr">
        <is>
          <t>https://peoplecentre.wordpress.com/2016/10/02/hay-job-evaluation-methodology-the-short-profile/</t>
        </is>
      </c>
      <c r="L112" s="202" t="n"/>
      <c r="M112" s="202" t="n"/>
      <c r="N112" s="201" t="n"/>
      <c r="O112" s="16" t="inlineStr">
        <is>
          <t>Secondary</t>
        </is>
      </c>
    </row>
    <row r="113" ht="41" customHeight="1">
      <c r="A113" s="13" t="inlineStr">
        <is>
          <t>S07</t>
        </is>
      </c>
      <c r="B113" s="16" t="inlineStr">
        <is>
          <t>WTW Global Grading System</t>
        </is>
      </c>
      <c r="C113" s="202" t="n"/>
      <c r="D113" s="201" t="n"/>
      <c r="E113" s="16" t="inlineStr">
        <is>
          <t>Job-levelling method</t>
        </is>
      </c>
      <c r="F113" s="201" t="n"/>
      <c r="G113" s="16" t="inlineStr">
        <is>
          <t>Two-step banding then grading; separate management and IC paths; 16–25 grades by organisation size → IRIS band-then-level design</t>
        </is>
      </c>
      <c r="H113" s="202" t="n"/>
      <c r="I113" s="202" t="n"/>
      <c r="J113" s="201" t="n"/>
      <c r="K113" s="16" t="inlineStr">
        <is>
          <t>https://assets.publishing.service.gov.uk/media/66a370440808eaf43b50d7b2/WTW_OME-STRB_Job_Levelling_FOR_PUBLICATION.pdf</t>
        </is>
      </c>
      <c r="L113" s="202" t="n"/>
      <c r="M113" s="202" t="n"/>
      <c r="N113" s="201" t="n"/>
      <c r="O113" s="16" t="inlineStr">
        <is>
          <t>Primary</t>
        </is>
      </c>
    </row>
    <row r="114" ht="54" customHeight="1">
      <c r="A114" s="13" t="inlineStr">
        <is>
          <t>S08</t>
        </is>
      </c>
      <c r="B114" s="16" t="inlineStr">
        <is>
          <t>SFIA 9 — levels of responsibility</t>
        </is>
      </c>
      <c r="C114" s="202" t="n"/>
      <c r="D114" s="201" t="n"/>
      <c r="E114" s="16" t="inlineStr">
        <is>
          <t>Skills framework</t>
        </is>
      </c>
      <c r="F114" s="201" t="n"/>
      <c r="G114" s="16" t="inlineStr">
        <is>
          <t>7 levels · Follow, Assist, Apply, Enable, Ensure/advise, Initiate/influence, Set strategy defined by autonomy, influence, complexity → factor anchors and the 1–5 proficiency scale</t>
        </is>
      </c>
      <c r="H114" s="202" t="n"/>
      <c r="I114" s="202" t="n"/>
      <c r="J114" s="201" t="n"/>
      <c r="K114" s="16" t="inlineStr">
        <is>
          <t>https://sfia-online.org/en/about-sfia/how-sfia-works</t>
        </is>
      </c>
      <c r="L114" s="202" t="n"/>
      <c r="M114" s="202" t="n"/>
      <c r="N114" s="201" t="n"/>
      <c r="O114" s="16" t="inlineStr">
        <is>
          <t>Primary</t>
        </is>
      </c>
    </row>
    <row r="115" ht="54" customHeight="1">
      <c r="A115" s="13" t="inlineStr">
        <is>
          <t>S09</t>
        </is>
      </c>
      <c r="B115" s="16" t="inlineStr">
        <is>
          <t>McKinsey — spans of control archetypes</t>
        </is>
      </c>
      <c r="C115" s="202" t="n"/>
      <c r="D115" s="201" t="n"/>
      <c r="E115" s="16" t="inlineStr">
        <is>
          <t>Organisation-design research</t>
        </is>
      </c>
      <c r="F115" s="201" t="n"/>
      <c r="G115" s="16" t="inlineStr">
        <is>
          <t>Player/coach 3–5, coach 6–7, supervisor 8–10, facilitator 11–15, coordinator 15+ → IRIS span norms</t>
        </is>
      </c>
      <c r="H115" s="202" t="n"/>
      <c r="I115" s="202" t="n"/>
      <c r="J115" s="201" t="n"/>
      <c r="K115" s="16" t="inlineStr">
        <is>
          <t>https://www.mckinsey.com/capabilities/people-and-organizational-performance/our-insights/how-to-identify-the-right-spans-of-control-for-your-organization</t>
        </is>
      </c>
      <c r="L115" s="202" t="n"/>
      <c r="M115" s="202" t="n"/>
      <c r="N115" s="201" t="n"/>
      <c r="O115" s="16" t="inlineStr">
        <is>
          <t>Primary</t>
        </is>
      </c>
    </row>
    <row r="116" ht="28" customHeight="1">
      <c r="A116" s="13" t="inlineStr">
        <is>
          <t>S10</t>
        </is>
      </c>
      <c r="B116" s="16" t="inlineStr">
        <is>
          <t>Levelling guides · Ravio, CareerBird, Careerminds</t>
        </is>
      </c>
      <c r="C116" s="202" t="n"/>
      <c r="D116" s="201" t="n"/>
      <c r="E116" s="16" t="inlineStr">
        <is>
          <t>Published guidance</t>
        </is>
      </c>
      <c r="F116" s="201" t="n"/>
      <c r="G116" s="16" t="inlineStr">
        <is>
          <t>≈ 12 levels suit 500–1,500 people → IRIS uses 12 employee levels</t>
        </is>
      </c>
      <c r="H116" s="202" t="n"/>
      <c r="I116" s="202" t="n"/>
      <c r="J116" s="201" t="n"/>
      <c r="K116" s="16" t="inlineStr">
        <is>
          <t>Public web guides</t>
        </is>
      </c>
      <c r="L116" s="202" t="n"/>
      <c r="M116" s="202" t="n"/>
      <c r="N116" s="201" t="n"/>
      <c r="O116" s="16" t="inlineStr">
        <is>
          <t>Secondary</t>
        </is>
      </c>
    </row>
    <row r="117" ht="54" customHeight="1">
      <c r="A117" s="13" t="inlineStr">
        <is>
          <t>S11</t>
        </is>
      </c>
      <c r="B117" s="16" t="inlineStr">
        <is>
          <t>WorldatWork — salary structure policies and practices</t>
        </is>
      </c>
      <c r="C117" s="202" t="n"/>
      <c r="D117" s="201" t="n"/>
      <c r="E117" s="16" t="inlineStr">
        <is>
          <t>Pay-structure research</t>
        </is>
      </c>
      <c r="F117" s="201" t="n"/>
      <c r="G117" s="16" t="inlineStr">
        <is>
          <t>Graded salary structures, range spread and midpoint concepts. It does not give range spreads by level: the spreads and midpoint steps in M14 are IRIS working assumptions until a pay survey is bought</t>
        </is>
      </c>
      <c r="H117" s="202" t="n"/>
      <c r="I117" s="202" t="n"/>
      <c r="J117" s="201" t="n"/>
      <c r="K117" s="16" t="inlineStr">
        <is>
          <t>https://worldatwork.org/media/CDN/dist/CDN2/documents/pdf/resources/research/Salary-Structure-Policies-Practices-2012.pdf</t>
        </is>
      </c>
      <c r="L117" s="202" t="n"/>
      <c r="M117" s="202" t="n"/>
      <c r="N117" s="201" t="n"/>
      <c r="O117" s="16" t="inlineStr">
        <is>
          <t>Secondary</t>
        </is>
      </c>
    </row>
    <row r="118" ht="54" customHeight="1">
      <c r="A118" s="13" t="inlineStr">
        <is>
          <t>S12</t>
        </is>
      </c>
      <c r="B118" s="16" t="inlineStr">
        <is>
          <t>World Economic Forum — Future of Jobs Report 2025</t>
        </is>
      </c>
      <c r="C118" s="202" t="n"/>
      <c r="D118" s="201" t="n"/>
      <c r="E118" s="16" t="inlineStr">
        <is>
          <t>Skills outlook</t>
        </is>
      </c>
      <c r="F118" s="201" t="n"/>
      <c r="G118"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118" s="202" t="n"/>
      <c r="I118" s="202" t="n"/>
      <c r="J118" s="201" t="n"/>
      <c r="K118" s="16" t="inlineStr">
        <is>
          <t>https://www.weforum.org/publications/the-future-of-jobs-report-2025/digest/</t>
        </is>
      </c>
      <c r="L118" s="202" t="n"/>
      <c r="M118" s="202" t="n"/>
      <c r="N118" s="201" t="n"/>
      <c r="O118" s="16" t="inlineStr">
        <is>
          <t>Primary</t>
        </is>
      </c>
    </row>
    <row r="119" ht="28" customHeight="1">
      <c r="A119" s="13" t="inlineStr">
        <is>
          <t>S13</t>
        </is>
      </c>
      <c r="B119" s="16" t="inlineStr">
        <is>
          <t>PMI Talent Triangle</t>
        </is>
      </c>
      <c r="C119" s="202" t="n"/>
      <c r="D119" s="201" t="n"/>
      <c r="E119" s="16" t="inlineStr">
        <is>
          <t>Competency model</t>
        </is>
      </c>
      <c r="F119" s="201" t="n"/>
      <c r="G119" s="16" t="inlineStr">
        <is>
          <t>Ways of Working, Power Skills, Business Acumen → leadership and project competencies</t>
        </is>
      </c>
      <c r="H119" s="202" t="n"/>
      <c r="I119" s="202" t="n"/>
      <c r="J119" s="201" t="n"/>
      <c r="K119" s="16" t="inlineStr">
        <is>
          <t>https://www.pmi.org/certifications/certification-resources/maintain/talent-triangle</t>
        </is>
      </c>
      <c r="L119" s="202" t="n"/>
      <c r="M119" s="202" t="n"/>
      <c r="N119" s="201" t="n"/>
      <c r="O119" s="16" t="inlineStr">
        <is>
          <t>Primary</t>
        </is>
      </c>
    </row>
    <row r="120" ht="67" customHeight="1">
      <c r="A120" s="13" t="inlineStr">
        <is>
          <t>S14</t>
        </is>
      </c>
      <c r="B120" s="16" t="inlineStr">
        <is>
          <t>SHL Universal Competency Framework — the Great Eight</t>
        </is>
      </c>
      <c r="C120" s="202" t="n"/>
      <c r="D120" s="201" t="n"/>
      <c r="E120" s="16" t="inlineStr">
        <is>
          <t>Competency model</t>
        </is>
      </c>
      <c r="F120" s="201" t="n"/>
      <c r="G120" s="16" t="inlineStr">
        <is>
          <t>Leading &amp; Deciding; Supporting &amp; Co-operating; Interacting &amp; Presenting; Analysing &amp; Interpreting; Creating &amp; Conceptualising; Organising &amp; Executing; Adapting &amp; Coping; Enterprising &amp; Performing → coverage check of the IRIS clusters</t>
        </is>
      </c>
      <c r="H120" s="202" t="n"/>
      <c r="I120" s="202" t="n"/>
      <c r="J120" s="201" t="n"/>
      <c r="K120" s="16" t="inlineStr">
        <is>
          <t>https://www.shl.com/assets/campaigns/global/competency-fit/universal-competency-framework-whitepaper-en.pdf</t>
        </is>
      </c>
      <c r="L120" s="202" t="n"/>
      <c r="M120" s="202" t="n"/>
      <c r="N120" s="201" t="n"/>
      <c r="O120" s="16" t="inlineStr">
        <is>
          <t>Primary</t>
        </is>
      </c>
    </row>
    <row r="121" ht="41" customHeight="1">
      <c r="A121" s="13" t="inlineStr">
        <is>
          <t>S15</t>
        </is>
      </c>
      <c r="B121" s="16" t="inlineStr">
        <is>
          <t>Korn Ferry Leadership Architect · 38 competencies in four factors: Thought, Results, People, Self</t>
        </is>
      </c>
      <c r="C121" s="202" t="n"/>
      <c r="D121" s="201" t="n"/>
      <c r="E121" s="16" t="inlineStr">
        <is>
          <t>Competency model</t>
        </is>
      </c>
      <c r="F121" s="201" t="n"/>
      <c r="G121" s="16" t="inlineStr">
        <is>
          <t>Behavioural anchors and coverage check for Core and Leadership clusters</t>
        </is>
      </c>
      <c r="H121" s="202" t="n"/>
      <c r="I121" s="202" t="n"/>
      <c r="J121" s="201" t="n"/>
      <c r="K121" s="16" t="inlineStr">
        <is>
          <t>https://cardinalatwork.stanford.edu/careers/performance-management/competencies</t>
        </is>
      </c>
      <c r="L121" s="202" t="n"/>
      <c r="M121" s="202" t="n"/>
      <c r="N121" s="201" t="n"/>
      <c r="O121" s="16" t="inlineStr">
        <is>
          <t>Secondary</t>
        </is>
      </c>
    </row>
    <row r="122" ht="41" customHeight="1">
      <c r="A122" s="13" t="inlineStr">
        <is>
          <t>S16</t>
        </is>
      </c>
      <c r="B122" s="16" t="inlineStr">
        <is>
          <t>Google Project Oxygen — 10 behaviours of great managers</t>
        </is>
      </c>
      <c r="C122" s="202" t="n"/>
      <c r="D122" s="201" t="n"/>
      <c r="E122" s="16" t="inlineStr">
        <is>
          <t>Manager research</t>
        </is>
      </c>
      <c r="F122" s="201" t="n"/>
      <c r="G122" s="16" t="inlineStr">
        <is>
          <t>Coach, empower, inclusive team, results, communicate, career development, vision, technical skill, collaborate, decide → Leadership cluster indicators</t>
        </is>
      </c>
      <c r="H122" s="202" t="n"/>
      <c r="I122" s="202" t="n"/>
      <c r="J122" s="201" t="n"/>
      <c r="K122" s="16" t="inlineStr">
        <is>
          <t>https://rework.withgoogle.com/intl/en/guides/following-the-data-the-research-behind-great-managers</t>
        </is>
      </c>
      <c r="L122" s="202" t="n"/>
      <c r="M122" s="202" t="n"/>
      <c r="N122" s="201" t="n"/>
      <c r="O122" s="16" t="inlineStr">
        <is>
          <t>Secondary</t>
        </is>
      </c>
    </row>
    <row r="123" ht="28" customHeight="1">
      <c r="A123" s="13" t="inlineStr">
        <is>
          <t>S17</t>
        </is>
      </c>
      <c r="B123" s="16" t="inlineStr">
        <is>
          <t>Digital Education Council — AI literacy framework</t>
        </is>
      </c>
      <c r="C123" s="202" t="n"/>
      <c r="D123" s="201" t="n"/>
      <c r="E123" s="16" t="inlineStr">
        <is>
          <t>AI literacy model</t>
        </is>
      </c>
      <c r="F123" s="201" t="n"/>
      <c r="G123" s="16" t="inlineStr">
        <is>
          <t>Understanding, critical evaluation and responsible use of AI → AI Literacy indicators</t>
        </is>
      </c>
      <c r="H123" s="202" t="n"/>
      <c r="I123" s="202" t="n"/>
      <c r="J123" s="201" t="n"/>
      <c r="K123" s="16" t="inlineStr">
        <is>
          <t>Digital Education Council · public</t>
        </is>
      </c>
      <c r="L123" s="202" t="n"/>
      <c r="M123" s="202" t="n"/>
      <c r="N123" s="201" t="n"/>
      <c r="O123" s="16" t="inlineStr">
        <is>
          <t>Secondary</t>
        </is>
      </c>
    </row>
    <row r="124" ht="28" customHeight="1">
      <c r="A124" s="13" t="inlineStr">
        <is>
          <t>S18</t>
        </is>
      </c>
      <c r="B124" s="16" t="inlineStr">
        <is>
          <t>SHRM BASK</t>
        </is>
      </c>
      <c r="C124" s="202" t="n"/>
      <c r="D124" s="201" t="n"/>
      <c r="E124" s="16" t="inlineStr">
        <is>
          <t>HR competency model</t>
        </is>
      </c>
      <c r="F124" s="201" t="n"/>
      <c r="G124" s="16" t="inlineStr">
        <is>
          <t>HR department technical competencies</t>
        </is>
      </c>
      <c r="H124" s="202" t="n"/>
      <c r="I124" s="202" t="n"/>
      <c r="J124" s="201" t="n"/>
      <c r="K124" s="16" t="inlineStr">
        <is>
          <t>https://www.shrm.org/credentials/certification/shrm-bask</t>
        </is>
      </c>
      <c r="L124" s="202" t="n"/>
      <c r="M124" s="202" t="n"/>
      <c r="N124" s="201" t="n"/>
      <c r="O124" s="16" t="inlineStr">
        <is>
          <t>Primary</t>
        </is>
      </c>
    </row>
    <row r="125" ht="28" customHeight="1">
      <c r="A125" s="13" t="inlineStr">
        <is>
          <t>S19</t>
        </is>
      </c>
      <c r="B125" s="16" t="inlineStr">
        <is>
          <t>CIPD Profession Map</t>
        </is>
      </c>
      <c r="C125" s="202" t="n"/>
      <c r="D125" s="201" t="n"/>
      <c r="E125" s="16" t="inlineStr">
        <is>
          <t>HR profession standard</t>
        </is>
      </c>
      <c r="F125" s="201" t="n"/>
      <c r="G125" s="16" t="inlineStr">
        <is>
          <t>HR specialist areas</t>
        </is>
      </c>
      <c r="H125" s="202" t="n"/>
      <c r="I125" s="202" t="n"/>
      <c r="J125" s="201" t="n"/>
      <c r="K125" s="16" t="inlineStr">
        <is>
          <t>https://www.cipd.org/en/the-people-profession/the-profession-map/</t>
        </is>
      </c>
      <c r="L125" s="202" t="n"/>
      <c r="M125" s="202" t="n"/>
      <c r="N125" s="201" t="n"/>
      <c r="O125" s="16" t="inlineStr">
        <is>
          <t>Primary</t>
        </is>
      </c>
    </row>
    <row r="126" ht="28" customHeight="1">
      <c r="A126" s="13" t="inlineStr">
        <is>
          <t>S20</t>
        </is>
      </c>
      <c r="B126" s="16" t="inlineStr">
        <is>
          <t>IMA Competency Framework · management accounting</t>
        </is>
      </c>
      <c r="C126" s="202" t="n"/>
      <c r="D126" s="201" t="n"/>
      <c r="E126" s="16" t="inlineStr">
        <is>
          <t>Finance competency model</t>
        </is>
      </c>
      <c r="F126" s="201" t="n"/>
      <c r="G126" s="16" t="inlineStr">
        <is>
          <t>Finance department technical competencies</t>
        </is>
      </c>
      <c r="H126" s="202" t="n"/>
      <c r="I126" s="202" t="n"/>
      <c r="J126" s="201" t="n"/>
      <c r="K126" s="16" t="inlineStr">
        <is>
          <t>https://www.imanet.org/framework</t>
        </is>
      </c>
      <c r="L126" s="202" t="n"/>
      <c r="M126" s="202" t="n"/>
      <c r="N126" s="201" t="n"/>
      <c r="O126" s="16" t="inlineStr">
        <is>
          <t>Primary</t>
        </is>
      </c>
    </row>
    <row r="127" ht="28" customHeight="1">
      <c r="A127" s="13" t="inlineStr">
        <is>
          <t>S21</t>
        </is>
      </c>
      <c r="B127" s="16" t="inlineStr">
        <is>
          <t>IIBA BABOK Guide v3</t>
        </is>
      </c>
      <c r="C127" s="202" t="n"/>
      <c r="D127" s="201" t="n"/>
      <c r="E127" s="16" t="inlineStr">
        <is>
          <t>Business-analysis standard</t>
        </is>
      </c>
      <c r="F127" s="201" t="n"/>
      <c r="G127" s="16" t="inlineStr">
        <is>
          <t>Business Analysis competencies</t>
        </is>
      </c>
      <c r="H127" s="202" t="n"/>
      <c r="I127" s="202" t="n"/>
      <c r="J127" s="201" t="n"/>
      <c r="K127" s="16" t="inlineStr">
        <is>
          <t>https://www.iiba.org</t>
        </is>
      </c>
      <c r="L127" s="202" t="n"/>
      <c r="M127" s="202" t="n"/>
      <c r="N127" s="201" t="n"/>
      <c r="O127" s="16" t="inlineStr">
        <is>
          <t>Primary</t>
        </is>
      </c>
    </row>
    <row r="128" ht="15" customHeight="1">
      <c r="A128" s="13" t="inlineStr">
        <is>
          <t>S22</t>
        </is>
      </c>
      <c r="B128" s="16" t="inlineStr">
        <is>
          <t>ISTQB</t>
        </is>
      </c>
      <c r="C128" s="202" t="n"/>
      <c r="D128" s="201" t="n"/>
      <c r="E128" s="16" t="inlineStr">
        <is>
          <t>Testing standard</t>
        </is>
      </c>
      <c r="F128" s="201" t="n"/>
      <c r="G128" s="16" t="inlineStr">
        <is>
          <t>Quality Assurance competencies and credentials</t>
        </is>
      </c>
      <c r="H128" s="202" t="n"/>
      <c r="I128" s="202" t="n"/>
      <c r="J128" s="201" t="n"/>
      <c r="K128" s="16" t="inlineStr">
        <is>
          <t>https://www.istqb.org</t>
        </is>
      </c>
      <c r="L128" s="202" t="n"/>
      <c r="M128" s="202" t="n"/>
      <c r="N128" s="201" t="n"/>
      <c r="O128" s="16" t="inlineStr">
        <is>
          <t>Primary</t>
        </is>
      </c>
    </row>
    <row r="129" ht="28" customHeight="1">
      <c r="A129" s="13" t="inlineStr">
        <is>
          <t>S23</t>
        </is>
      </c>
      <c r="B129" s="16" t="inlineStr">
        <is>
          <t>ITIL 4 and ISO/IEC 27001:2022</t>
        </is>
      </c>
      <c r="C129" s="202" t="n"/>
      <c r="D129" s="201" t="n"/>
      <c r="E129" s="16" t="inlineStr">
        <is>
          <t>IT service / security standards</t>
        </is>
      </c>
      <c r="F129" s="201" t="n"/>
      <c r="G129" s="16" t="inlineStr">
        <is>
          <t>IT &amp; Infrastructure competencies</t>
        </is>
      </c>
      <c r="H129" s="202" t="n"/>
      <c r="I129" s="202" t="n"/>
      <c r="J129" s="201" t="n"/>
      <c r="K129" s="16" t="inlineStr">
        <is>
          <t>https://www.iso.org/standard/27001</t>
        </is>
      </c>
      <c r="L129" s="202" t="n"/>
      <c r="M129" s="202" t="n"/>
      <c r="N129" s="201" t="n"/>
      <c r="O129" s="16" t="inlineStr">
        <is>
          <t>Primary</t>
        </is>
      </c>
    </row>
    <row r="130" ht="28" customHeight="1">
      <c r="A130" s="13" t="inlineStr">
        <is>
          <t>S24</t>
        </is>
      </c>
      <c r="B130" s="16" t="inlineStr">
        <is>
          <t>ICSI · Institute of Company Secretaries of India</t>
        </is>
      </c>
      <c r="C130" s="202" t="n"/>
      <c r="D130" s="201" t="n"/>
      <c r="E130" s="16" t="inlineStr">
        <is>
          <t>Statutory body</t>
        </is>
      </c>
      <c r="F130" s="201" t="n"/>
      <c r="G130" s="16" t="inlineStr">
        <is>
          <t>Secretarial &amp; Legal competencies; statutory gate for Company Secretary</t>
        </is>
      </c>
      <c r="H130" s="202" t="n"/>
      <c r="I130" s="202" t="n"/>
      <c r="J130" s="201" t="n"/>
      <c r="K130" s="16" t="inlineStr">
        <is>
          <t>https://www.icsi.edu</t>
        </is>
      </c>
      <c r="L130" s="202" t="n"/>
      <c r="M130" s="202" t="n"/>
      <c r="N130" s="201" t="n"/>
      <c r="O130" s="16" t="inlineStr">
        <is>
          <t>Primary</t>
        </is>
      </c>
    </row>
    <row r="131" ht="28" customHeight="1">
      <c r="A131" s="13" t="inlineStr">
        <is>
          <t>S25</t>
        </is>
      </c>
      <c r="B131" s="16" t="inlineStr">
        <is>
          <t>AICPA &amp; XBRL US — XBRL US GAAP Certificate</t>
        </is>
      </c>
      <c r="C131" s="202" t="n"/>
      <c r="D131" s="201" t="n"/>
      <c r="E131" s="16" t="inlineStr">
        <is>
          <t>Professional credential</t>
        </is>
      </c>
      <c r="F131" s="201" t="n"/>
      <c r="G131" s="16" t="inlineStr">
        <is>
          <t>XBRL &amp; taxonomy competency and credential</t>
        </is>
      </c>
      <c r="H131" s="202" t="n"/>
      <c r="I131" s="202" t="n"/>
      <c r="J131" s="201" t="n"/>
      <c r="K131" s="16" t="inlineStr">
        <is>
          <t>https://xbrl.us</t>
        </is>
      </c>
      <c r="L131" s="202" t="n"/>
      <c r="M131" s="202" t="n"/>
      <c r="N131" s="201" t="n"/>
      <c r="O131" s="16" t="inlineStr">
        <is>
          <t>Primary</t>
        </is>
      </c>
    </row>
    <row r="132" ht="28" customHeight="1">
      <c r="A132" s="13" t="inlineStr">
        <is>
          <t>S26</t>
        </is>
      </c>
      <c r="B132" s="16" t="inlineStr">
        <is>
          <t>ILO ISCO-08 · India's NCO-2015 follows the same structure</t>
        </is>
      </c>
      <c r="C132" s="202" t="n"/>
      <c r="D132" s="201" t="n"/>
      <c r="E132" s="16" t="inlineStr">
        <is>
          <t>Occupation classification</t>
        </is>
      </c>
      <c r="F132" s="201" t="n"/>
      <c r="G132" s="16" t="inlineStr">
        <is>
          <t>Each job family is anchored to an ISCO-08 unit group so families are standard, not invented</t>
        </is>
      </c>
      <c r="H132" s="202" t="n"/>
      <c r="I132" s="202" t="n"/>
      <c r="J132" s="201" t="n"/>
      <c r="K132" s="16" t="inlineStr">
        <is>
          <t>https://worldoftaxonomy.com/system/isco_08/node/251</t>
        </is>
      </c>
      <c r="L132" s="202" t="n"/>
      <c r="M132" s="202" t="n"/>
      <c r="N132" s="201" t="n"/>
      <c r="O132" s="16" t="inlineStr">
        <is>
          <t>Primary</t>
        </is>
      </c>
    </row>
    <row r="133" ht="67" customHeight="1">
      <c r="A133" s="13" t="inlineStr">
        <is>
          <t>S27</t>
        </is>
      </c>
      <c r="B133" s="16" t="inlineStr">
        <is>
          <t>Deloitte — The skills-based organization: a new operating model for work and the workforce</t>
        </is>
      </c>
      <c r="C133" s="202" t="n"/>
      <c r="D133" s="201" t="n"/>
      <c r="E133" s="16" t="inlineStr">
        <is>
          <t>Workforce research</t>
        </is>
      </c>
      <c r="F133" s="201" t="n"/>
      <c r="G133" s="16" t="inlineStr">
        <is>
          <t>71% of workers already perform some work outside the scope of their job descriptions · The skills-based organization, Deloitte Insights, 7 Sep 2022 → sub-families describe actual work; skills tracked per person</t>
        </is>
      </c>
      <c r="H133" s="202" t="n"/>
      <c r="I133" s="202" t="n"/>
      <c r="J133" s="201" t="n"/>
      <c r="K133" s="16" t="inlineStr">
        <is>
          <t>https://www.deloitte.com/us/en/insights/topics/talent/organizational-skill-based-hiring.html</t>
        </is>
      </c>
      <c r="L133" s="202" t="n"/>
      <c r="M133" s="202" t="n"/>
      <c r="N133" s="201" t="n"/>
      <c r="O133" s="16" t="inlineStr">
        <is>
          <t>Primary</t>
        </is>
      </c>
    </row>
    <row r="134" ht="54" customHeight="1">
      <c r="A134" s="13" t="inlineStr">
        <is>
          <t>S30</t>
        </is>
      </c>
      <c r="B134" s="16" t="inlineStr">
        <is>
          <t>Workiva — engineering levels · Levels.fyi</t>
        </is>
      </c>
      <c r="C134" s="202" t="n"/>
      <c r="D134" s="201" t="n"/>
      <c r="E134" s="16" t="inlineStr">
        <is>
          <t>Product peer · XBRL / regtech SaaS</t>
        </is>
      </c>
      <c r="F134" s="201" t="n"/>
      <c r="G134" s="16" t="inlineStr">
        <is>
          <t>Associate SE → SE → Senior SE → Staff SE → Senior Staff SE · Levels.fyi pages could not be loaded; level names confirmed from Levels.fyi page titles and Workiva postings</t>
        </is>
      </c>
      <c r="H134" s="202" t="n"/>
      <c r="I134" s="202" t="n"/>
      <c r="J134" s="201" t="n"/>
      <c r="K134" s="16" t="inlineStr">
        <is>
          <t>https://www.levels.fyi/companies/workiva/salaries/software-engineer</t>
        </is>
      </c>
      <c r="L134" s="202" t="n"/>
      <c r="M134" s="202" t="n"/>
      <c r="N134" s="201" t="n"/>
      <c r="O134" s="16" t="inlineStr">
        <is>
          <t>Secondary</t>
        </is>
      </c>
    </row>
    <row r="135" ht="28" customHeight="1">
      <c r="A135" s="13" t="inlineStr">
        <is>
          <t>S31</t>
        </is>
      </c>
      <c r="B135" s="16" t="inlineStr">
        <is>
          <t>DataTracks — careers site</t>
        </is>
      </c>
      <c r="C135" s="202" t="n"/>
      <c r="D135" s="201" t="n"/>
      <c r="E135" s="16" t="inlineStr">
        <is>
          <t>Services peer · XBRL / iXBRL filing, India</t>
        </is>
      </c>
      <c r="F135" s="201" t="n"/>
      <c r="G135" s="16" t="inlineStr">
        <is>
          <r>
            <rPr>
              <rFont val="Calibri"/>
              <b val="1"/>
              <sz val="10"/>
            </rPr>
            <t>Two published rungs:</t>
          </r>
          <r>
            <rPr>
              <rFont val="Calibri"/>
              <sz val="10"/>
            </rPr>
            <t xml:space="preserve"> Associate · freshers → Senior Associate · 2–5 yrs; nothing above is published</t>
          </r>
        </is>
      </c>
      <c r="H135" s="202" t="n"/>
      <c r="I135" s="202" t="n"/>
      <c r="J135" s="201" t="n"/>
      <c r="K135" s="16" t="inlineStr">
        <is>
          <t>https://www.datatracks.com/in/careers/</t>
        </is>
      </c>
      <c r="L135" s="202" t="n"/>
      <c r="M135" s="202" t="n"/>
      <c r="N135" s="201" t="n"/>
      <c r="O135" s="16" t="inlineStr">
        <is>
          <t>Job postings</t>
        </is>
      </c>
    </row>
    <row r="136" ht="54" customHeight="1">
      <c r="A136" s="13" t="inlineStr">
        <is>
          <t>S32</t>
        </is>
      </c>
      <c r="B136" s="16" t="inlineStr">
        <is>
          <t>Google / Microsoft / Amazon engineering levels</t>
        </is>
      </c>
      <c r="C136" s="202" t="n"/>
      <c r="D136" s="201" t="n"/>
      <c r="E136" s="16" t="inlineStr">
        <is>
          <t>Global product companies</t>
        </is>
      </c>
      <c r="F136" s="201" t="n"/>
      <c r="G136"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136" s="202" t="n"/>
      <c r="I136" s="202" t="n"/>
      <c r="J136" s="201" t="n"/>
      <c r="K136" s="16" t="inlineStr">
        <is>
          <t>https://testrigor.com/blog/engineering-levels-in-different-companies-compared/ ; https://rajendrauppal.substack.com/p/understanding-levels-at-google-microsoft</t>
        </is>
      </c>
      <c r="L136" s="202" t="n"/>
      <c r="M136" s="202" t="n"/>
      <c r="N136" s="201" t="n"/>
      <c r="O136" s="16" t="inlineStr">
        <is>
          <t>Secondary</t>
        </is>
      </c>
    </row>
    <row r="137" ht="54" customHeight="1">
      <c r="A137" s="13" t="inlineStr">
        <is>
          <t>S33</t>
        </is>
      </c>
      <c r="B137" s="16" t="inlineStr">
        <is>
          <t>Infosys job levels</t>
        </is>
      </c>
      <c r="C137" s="202" t="n"/>
      <c r="D137" s="201" t="n"/>
      <c r="E137" s="16" t="inlineStr">
        <is>
          <t>Indian IT services</t>
        </is>
      </c>
      <c r="F137" s="201" t="n"/>
      <c r="G137" s="16" t="inlineStr">
        <is>
          <t>JL3B Systems Engineer · 0–3 yrs → JL3A Senior SE → JL4 Technology Analyst → JL5 Technology Lead → JL6B Architect / PM → JL6A Senior Architect</t>
        </is>
      </c>
      <c r="H137" s="202" t="n"/>
      <c r="I137" s="202" t="n"/>
      <c r="J137" s="201" t="n"/>
      <c r="K137" s="16" t="inlineStr">
        <is>
          <t>https://www.designgurus.io/blog/infosys-job-levels</t>
        </is>
      </c>
      <c r="L137" s="202" t="n"/>
      <c r="M137" s="202" t="n"/>
      <c r="N137" s="201" t="n"/>
      <c r="O137" s="16" t="inlineStr">
        <is>
          <t>Indicative</t>
        </is>
      </c>
    </row>
    <row r="138" ht="54" customHeight="1">
      <c r="A138" s="13" t="inlineStr">
        <is>
          <t>S34</t>
        </is>
      </c>
      <c r="B138" s="16" t="inlineStr">
        <is>
          <t>TCS grades</t>
        </is>
      </c>
      <c r="C138" s="202" t="n"/>
      <c r="D138" s="201" t="n"/>
      <c r="E138" s="16" t="inlineStr">
        <is>
          <t>Indian IT services</t>
        </is>
      </c>
      <c r="F138" s="201" t="n"/>
      <c r="G138" s="16" t="inlineStr">
        <is>
          <t>C1Y ASE Trainee → C1 ASE / System Engineer → C2 IT Analyst → C3A Assistant Consultant → C3B Associate Consultant → C4 Consultant → C5 Senior Consultant → SP1 Principal Consultant</t>
        </is>
      </c>
      <c r="H138" s="202" t="n"/>
      <c r="I138" s="202" t="n"/>
      <c r="J138" s="201" t="n"/>
      <c r="K138" s="16" t="inlineStr">
        <is>
          <t>https://www.designgurus.io/blog/tcs-job-levels</t>
        </is>
      </c>
      <c r="L138" s="202" t="n"/>
      <c r="M138" s="202" t="n"/>
      <c r="N138" s="201" t="n"/>
      <c r="O138" s="16" t="inlineStr">
        <is>
          <t>Indicative</t>
        </is>
      </c>
    </row>
    <row r="139" ht="54" customHeight="1">
      <c r="A139" s="13" t="inlineStr">
        <is>
          <t>S35</t>
        </is>
      </c>
      <c r="B139" s="16" t="inlineStr">
        <is>
          <t>Accenture India career levels</t>
        </is>
      </c>
      <c r="C139" s="202" t="n"/>
      <c r="D139" s="201" t="n"/>
      <c r="E139" s="16" t="inlineStr">
        <is>
          <t>Global IT services</t>
        </is>
      </c>
      <c r="F139" s="201" t="n"/>
      <c r="G139" s="16" t="inlineStr">
        <is>
          <t>L12 Associate · 0–1 yrs → L11 Analyst → L10 Senior Analyst → L9 Team Lead / Consultant → L8 Associate Manager → L7 Manager → L6 Senior Manager → L5+ leadership</t>
        </is>
      </c>
      <c r="H139" s="202" t="n"/>
      <c r="I139" s="202" t="n"/>
      <c r="J139" s="201" t="n"/>
      <c r="K139" s="16" t="inlineStr">
        <is>
          <t>https://jobrise.io/hi/blog/accenture-salary-package-2026-india/</t>
        </is>
      </c>
      <c r="L139" s="202" t="n"/>
      <c r="M139" s="202" t="n"/>
      <c r="N139" s="201" t="n"/>
      <c r="O139" s="16" t="inlineStr">
        <is>
          <t>Indicative</t>
        </is>
      </c>
    </row>
    <row r="140" ht="41" customHeight="1">
      <c r="A140" s="13" t="inlineStr">
        <is>
          <t>S36</t>
        </is>
      </c>
      <c r="B140" s="16" t="inlineStr">
        <is>
          <t>Deloitte India / USI hierarchy</t>
        </is>
      </c>
      <c r="C140" s="202" t="n"/>
      <c r="D140" s="201" t="n"/>
      <c r="E140" s="16" t="inlineStr">
        <is>
          <t>Big Four consulting</t>
        </is>
      </c>
      <c r="F140" s="201" t="n"/>
      <c r="G140" s="16" t="inlineStr">
        <is>
          <t>Associate Analyst → Analyst → Consultant → Senior Consultant → Manager → Senior Manager → Managing Director → Partner / Principal</t>
        </is>
      </c>
      <c r="H140" s="202" t="n"/>
      <c r="I140" s="202" t="n"/>
      <c r="J140" s="201" t="n"/>
      <c r="K140" s="16" t="inlineStr">
        <is>
          <t>https://networkinterview.com/technical-hierarchy-deloitte-india/</t>
        </is>
      </c>
      <c r="L140" s="202" t="n"/>
      <c r="M140" s="202" t="n"/>
      <c r="N140" s="201" t="n"/>
      <c r="O140" s="16" t="inlineStr">
        <is>
          <t>Indicative</t>
        </is>
      </c>
    </row>
    <row r="141" ht="41" customHeight="1">
      <c r="A141" s="13" t="inlineStr">
        <is>
          <t>S37</t>
        </is>
      </c>
      <c r="B141" s="16" t="inlineStr">
        <is>
          <t>GitLab — job frameworks and layers</t>
        </is>
      </c>
      <c r="C141" s="202" t="n"/>
      <c r="D141" s="201" t="n"/>
      <c r="E141" s="16" t="inlineStr">
        <is>
          <t>Product company · public handbook</t>
        </is>
      </c>
      <c r="F141" s="201" t="n"/>
      <c r="G141" s="16" t="inlineStr">
        <is>
          <t>Two job frameworks · IC, people manager; ≤ 8 layers; Staff ↔ Manager, Principal ↔ Senior Manager, Distinguished ↔ Director, Fellow ↔ VP</t>
        </is>
      </c>
      <c r="H141" s="202" t="n"/>
      <c r="I141" s="202" t="n"/>
      <c r="J141" s="201" t="n"/>
      <c r="K141" s="16" t="inlineStr">
        <is>
          <t>https://handbook.gitlab.com/handbook/company/structure/</t>
        </is>
      </c>
      <c r="L141" s="202" t="n"/>
      <c r="M141" s="202" t="n"/>
      <c r="N141" s="201" t="n"/>
      <c r="O141" s="16" t="inlineStr">
        <is>
          <t>Primary</t>
        </is>
      </c>
    </row>
    <row r="142" ht="41" customHeight="1">
      <c r="A142" s="13" t="inlineStr">
        <is>
          <t>S38</t>
        </is>
      </c>
      <c r="B142" s="16" t="inlineStr">
        <is>
          <t>Infosys, McKinsey, Unilever / HUL, Google — hiring practices</t>
        </is>
      </c>
      <c r="C142" s="202" t="n"/>
      <c r="D142" s="201" t="n"/>
      <c r="E142" s="16" t="inlineStr">
        <is>
          <t>Practice benchmarks</t>
        </is>
      </c>
      <c r="F142" s="201" t="n"/>
      <c r="G142" s="16" t="inlineStr">
        <is>
          <t>Tiered campus entry; entry level by qualification; management-trainee programme; independent levelling panel</t>
        </is>
      </c>
      <c r="H142" s="202" t="n"/>
      <c r="I142" s="202" t="n"/>
      <c r="J142" s="201" t="n"/>
      <c r="K142" s="16" t="inlineStr">
        <is>
          <t>Public careers / recruiting pages</t>
        </is>
      </c>
      <c r="L142" s="202" t="n"/>
      <c r="M142" s="202" t="n"/>
      <c r="N142" s="201" t="n"/>
      <c r="O142" s="16" t="inlineStr">
        <is>
          <t>Secondary</t>
        </is>
      </c>
    </row>
    <row r="143" ht="41" customHeight="1">
      <c r="A143" s="13" t="inlineStr">
        <is>
          <t>S44</t>
        </is>
      </c>
      <c r="B143" s="16" t="inlineStr">
        <is>
          <t>Software Engineering at Google — ch. 5 'How to Lead a Team' · Tech Lead Manager</t>
        </is>
      </c>
      <c r="C143" s="202" t="n"/>
      <c r="D143" s="201" t="n"/>
      <c r="E143" s="16" t="inlineStr">
        <is>
          <t>Practice benchmark</t>
        </is>
      </c>
      <c r="F143" s="201" t="n"/>
      <c r="G143" s="16" t="inlineStr">
        <is>
          <t>The Tech Lead Manager · TLM — a hybrid who leads a team and still contributes technically → B+ Player-Coach</t>
        </is>
      </c>
      <c r="H143" s="202" t="n"/>
      <c r="I143" s="202" t="n"/>
      <c r="J143" s="201" t="n"/>
      <c r="K143" s="16" t="inlineStr">
        <is>
          <t>https://abseil.io/resources/swe-book/html/ch05.html ; https://newsletter.pragmaticengineer.com/p/leading-effective-engineering-teams</t>
        </is>
      </c>
      <c r="L143" s="202" t="n"/>
      <c r="M143" s="202" t="n"/>
      <c r="N143" s="201" t="n"/>
      <c r="O143" s="16" t="inlineStr">
        <is>
          <t>Primary</t>
        </is>
      </c>
    </row>
    <row r="144" ht="67" customHeight="1">
      <c r="A144" s="13" t="inlineStr">
        <is>
          <t>S45</t>
        </is>
      </c>
      <c r="B144" s="16" t="inlineStr">
        <is>
          <t>SaaS player-coach sales and revenue leaders · job postings</t>
        </is>
      </c>
      <c r="C144" s="202" t="n"/>
      <c r="D144" s="201" t="n"/>
      <c r="E144" s="16" t="inlineStr">
        <is>
          <t>Practice benchmark</t>
        </is>
      </c>
      <c r="F144" s="201" t="n"/>
      <c r="G144" s="16" t="inlineStr">
        <is>
          <t>Leaders who carry their own quota or book while building and coaching the team → C+ / B+ Player-Coach in commercial roles</t>
        </is>
      </c>
      <c r="H144" s="202" t="n"/>
      <c r="I144" s="202" t="n"/>
      <c r="J144" s="201" t="n"/>
      <c r="K144" s="16" t="inlineStr">
        <is>
          <t>https://www.itjobswatch.co.uk/jv/Space-Executive/Sales-Lead-Player-Coach-HR-Tech-Job-City-of-London-Greater-London-UK-4vommq ; https://salesgravy.com/the-player-coach-problem-how-to-prospect-and-lead-at-the-same-time-ask-jeb/</t>
        </is>
      </c>
      <c r="L144" s="202" t="n"/>
      <c r="M144" s="202" t="n"/>
      <c r="N144" s="201" t="n"/>
      <c r="O144" s="16" t="inlineStr">
        <is>
          <t>Job postings</t>
        </is>
      </c>
    </row>
    <row r="145" ht="54" customHeight="1">
      <c r="A145" s="13" t="inlineStr">
        <is>
          <t>S46</t>
        </is>
      </c>
      <c r="B145" s="16" t="inlineStr">
        <is>
          <t>Canada Treasury Board — Executive Group Position Evaluation Plan, 2005</t>
        </is>
      </c>
      <c r="C145" s="202" t="n"/>
      <c r="D145" s="201" t="n"/>
      <c r="E145" s="16" t="inlineStr">
        <is>
          <t>Job-evaluation plan · Hay-based</t>
        </is>
      </c>
      <c r="F145" s="201" t="n"/>
      <c r="G145" s="16" t="inlineStr">
        <is>
          <t>Verified Hay point evaluations of real manager and executive jobs; the know-how / problem solving / accountability split by level used in the weight derivation</t>
        </is>
      </c>
      <c r="H145" s="202" t="n"/>
      <c r="I145" s="202" t="n"/>
      <c r="J145" s="201" t="n"/>
      <c r="K145" s="16" t="inlineStr">
        <is>
          <t>https://www.canada.ca/en/treasury-board-secretariat/services/collective-agreements/job-evaluation/executive-group-position-evaluation-plan-september-2005.html</t>
        </is>
      </c>
      <c r="L145" s="202" t="n"/>
      <c r="M145" s="202" t="n"/>
      <c r="N145" s="201" t="n"/>
      <c r="O145" s="16" t="inlineStr">
        <is>
          <t>Primary</t>
        </is>
      </c>
    </row>
    <row r="146" ht="80" customHeight="1">
      <c r="A146" s="13" t="inlineStr">
        <is>
          <t>S47</t>
        </is>
      </c>
      <c r="B146" s="16" t="inlineStr">
        <is>
          <t>Canada Treasury Board — Executive Group Position Evaluation Plan, 2022</t>
        </is>
      </c>
      <c r="C146" s="202" t="n"/>
      <c r="D146" s="201" t="n"/>
      <c r="E146" s="16" t="inlineStr">
        <is>
          <t>Job-evaluation plan · Hay-based</t>
        </is>
      </c>
      <c r="F146" s="201" t="n"/>
      <c r="G146" s="16" t="inlineStr">
        <is>
          <t>Current version of the same plan with benchmark evaluations; confirms accountability's share rises with seniority</t>
        </is>
      </c>
      <c r="H146" s="202" t="n"/>
      <c r="I146" s="202" t="n"/>
      <c r="J146" s="201" t="n"/>
      <c r="K146"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146" s="202" t="n"/>
      <c r="M146" s="202" t="n"/>
      <c r="N146" s="201" t="n"/>
      <c r="O146" s="16" t="inlineStr">
        <is>
          <t>Primary</t>
        </is>
      </c>
    </row>
    <row r="147" ht="41" customHeight="1">
      <c r="A147" s="13" t="inlineStr">
        <is>
          <t>S48</t>
        </is>
      </c>
      <c r="B147" s="16" t="inlineStr">
        <is>
          <t>Hay Group — summary deck of the Guide Chart-Profile method</t>
        </is>
      </c>
      <c r="C147" s="202" t="n"/>
      <c r="D147" s="201" t="n"/>
      <c r="E147" s="16" t="inlineStr">
        <is>
          <t>Method summary</t>
        </is>
      </c>
      <c r="F147" s="201" t="n"/>
      <c r="G147" s="16" t="inlineStr">
        <is>
          <t>Typical Hay profiles for clerical, specialist and supervisory jobs; the shares used for the junior and professional rows</t>
        </is>
      </c>
      <c r="H147" s="202" t="n"/>
      <c r="I147" s="202" t="n"/>
      <c r="J147" s="201" t="n"/>
      <c r="K147" s="16" t="inlineStr">
        <is>
          <t>https://www.slideshare.net/slideshow/hay-summary/55196354</t>
        </is>
      </c>
      <c r="L147" s="202" t="n"/>
      <c r="M147" s="202" t="n"/>
      <c r="N147" s="201" t="n"/>
      <c r="O147" s="16" t="inlineStr">
        <is>
          <t>Secondary</t>
        </is>
      </c>
    </row>
    <row r="148" ht="41" customHeight="1">
      <c r="A148" s="13" t="inlineStr">
        <is>
          <t>S49</t>
        </is>
      </c>
      <c r="B148" s="16" t="inlineStr">
        <is>
          <t>Lincolnshire County Council — Hay Group job evaluation method</t>
        </is>
      </c>
      <c r="C148" s="202" t="n"/>
      <c r="D148" s="201" t="n"/>
      <c r="E148" s="16" t="inlineStr">
        <is>
          <t>Public-sector Hay guide</t>
        </is>
      </c>
      <c r="F148" s="201" t="n"/>
      <c r="G148" s="16" t="inlineStr">
        <is>
          <t>Defines know-how as all knowledge and skill however acquired — the basis for not scoring experience on its own</t>
        </is>
      </c>
      <c r="H148" s="202" t="n"/>
      <c r="I148" s="202" t="n"/>
      <c r="J148" s="201" t="n"/>
      <c r="K148" s="16" t="inlineStr">
        <is>
          <t>https://professionals.lincolnshire.gov.uk/downloads/file/576/hay-group-je-method</t>
        </is>
      </c>
      <c r="L148" s="202" t="n"/>
      <c r="M148" s="202" t="n"/>
      <c r="N148" s="201" t="n"/>
      <c r="O148" s="16" t="inlineStr">
        <is>
          <t>Primary</t>
        </is>
      </c>
    </row>
    <row r="149" ht="28" customHeight="1">
      <c r="A149" s="13" t="inlineStr">
        <is>
          <t>S50</t>
        </is>
      </c>
      <c r="B149" s="16" t="inlineStr">
        <is>
          <t>Western University — Hay method overview</t>
        </is>
      </c>
      <c r="C149" s="202" t="n"/>
      <c r="D149" s="201" t="n"/>
      <c r="E149" s="16" t="inlineStr">
        <is>
          <t>University Hay guide</t>
        </is>
      </c>
      <c r="F149" s="201" t="n"/>
      <c r="G149" s="16" t="inlineStr">
        <is>
          <t>Plain explanation of the three Hay factors and the short profile; cross-check of the Hay shares</t>
        </is>
      </c>
      <c r="H149" s="202" t="n"/>
      <c r="I149" s="202" t="n"/>
      <c r="J149" s="201" t="n"/>
      <c r="K149" s="16" t="inlineStr">
        <is>
          <t>https://www.uwo.ca/humanresources/wjec/docs/hay_method_overview.pdf</t>
        </is>
      </c>
      <c r="L149" s="202" t="n"/>
      <c r="M149" s="202" t="n"/>
      <c r="N149" s="201" t="n"/>
      <c r="O149" s="16" t="inlineStr">
        <is>
          <t>Secondary</t>
        </is>
      </c>
    </row>
    <row r="150" ht="41" customHeight="1">
      <c r="A150" s="13" t="inlineStr">
        <is>
          <t>S51</t>
        </is>
      </c>
      <c r="B150" s="16" t="inlineStr">
        <is>
          <t>Derbyshire County Council — Korn Ferry Hay scheme</t>
        </is>
      </c>
      <c r="C150" s="202" t="n"/>
      <c r="D150" s="201" t="n"/>
      <c r="E150" s="16" t="inlineStr">
        <is>
          <t>Public-sector Hay guide</t>
        </is>
      </c>
      <c r="F150" s="201" t="n"/>
      <c r="G150" s="16" t="inlineStr">
        <is>
          <t>Confirms current Korn Ferry Hay use in UK public employers and the factor definitions</t>
        </is>
      </c>
      <c r="H150" s="202" t="n"/>
      <c r="I150" s="202" t="n"/>
      <c r="J150" s="201" t="n"/>
      <c r="K150" s="16" t="inlineStr">
        <is>
          <t>https://staff.derbyshire.gov.uk/jobs-and-recruitment/job-evaluation/korn-ferry-hay-scheme/korn-ferry-hay-scheme.aspx</t>
        </is>
      </c>
      <c r="L150" s="202" t="n"/>
      <c r="M150" s="202" t="n"/>
      <c r="N150" s="201" t="n"/>
      <c r="O150" s="16" t="inlineStr">
        <is>
          <t>Secondary</t>
        </is>
      </c>
    </row>
    <row r="151" ht="41" customHeight="1">
      <c r="A151" s="13" t="inlineStr">
        <is>
          <t>S52</t>
        </is>
      </c>
      <c r="B151" s="16" t="inlineStr">
        <is>
          <t>Mercer IPE — position evaluation manual and factor sheet</t>
        </is>
      </c>
      <c r="C151" s="202" t="n"/>
      <c r="D151" s="201" t="n"/>
      <c r="E151" s="16" t="inlineStr">
        <is>
          <t>Job-evaluation method · third-party copies</t>
        </is>
      </c>
      <c r="F151" s="201" t="n"/>
      <c r="G151" s="16" t="inlineStr">
        <is>
          <t>Maximum points per factor and the factor definitions — Impact, Communication, Innovation, Knowledge — used for the IPE column of the derivation</t>
        </is>
      </c>
      <c r="H151" s="202" t="n"/>
      <c r="I151" s="202" t="n"/>
      <c r="J151" s="201" t="n"/>
      <c r="K151" s="16" t="inlineStr">
        <is>
          <t>https://www.karlancer.com/api/file/1685038954-V7Gx.pdf ; https://studylib.net/doc/25471018/197145561-evaluation-factors-mercer</t>
        </is>
      </c>
      <c r="L151" s="202" t="n"/>
      <c r="M151" s="202" t="n"/>
      <c r="N151" s="201" t="n"/>
      <c r="O151" s="16" t="inlineStr">
        <is>
          <t>Secondary</t>
        </is>
      </c>
    </row>
    <row r="152" ht="41" customHeight="1">
      <c r="A152" s="13" t="inlineStr">
        <is>
          <t>S53</t>
        </is>
      </c>
      <c r="B152" s="16" t="inlineStr">
        <is>
          <t>NHS Agenda for Change — Job Evaluation Handbook</t>
        </is>
      </c>
      <c r="C152" s="202" t="n"/>
      <c r="D152" s="201" t="n"/>
      <c r="E152" s="16" t="inlineStr">
        <is>
          <t>Public point-factor plan</t>
        </is>
      </c>
      <c r="F152" s="201" t="n"/>
      <c r="G152" s="16" t="inlineStr">
        <is>
          <t>16 factors and 1,000 points with published weights; knowledge 24%, financial and physical resources 6%</t>
        </is>
      </c>
      <c r="H152" s="202" t="n"/>
      <c r="I152" s="202" t="n"/>
      <c r="J152" s="201" t="n"/>
      <c r="K152" s="16" t="inlineStr">
        <is>
          <t>https://www.nhsemployers.org/sites/default/files/pdf/22/165.pdf</t>
        </is>
      </c>
      <c r="L152" s="202" t="n"/>
      <c r="M152" s="202" t="n"/>
      <c r="N152" s="201" t="n"/>
      <c r="O152" s="16" t="inlineStr">
        <is>
          <t>Primary</t>
        </is>
      </c>
    </row>
    <row r="153" ht="28" customHeight="1">
      <c r="A153" s="13" t="inlineStr">
        <is>
          <t>S54</t>
        </is>
      </c>
      <c r="B153" s="16" t="inlineStr">
        <is>
          <t>Police Staff Council — job evaluation handbook, NJC 13-factor scheme</t>
        </is>
      </c>
      <c r="C153" s="202" t="n"/>
      <c r="D153" s="201" t="n"/>
      <c r="E153" s="16" t="inlineStr">
        <is>
          <t>Public point-factor plan</t>
        </is>
      </c>
      <c r="F153" s="201" t="n"/>
      <c r="G153" s="16" t="inlineStr">
        <is>
          <t>Published factor points for the UK local-government scheme; used for the public-plan average</t>
        </is>
      </c>
      <c r="H153" s="202" t="n"/>
      <c r="I153" s="202" t="n"/>
      <c r="J153" s="201" t="n"/>
      <c r="K153" s="16" t="inlineStr">
        <is>
          <t>https://lb2.local.gov.uk/sites/default/files/documents/police-staff-council-13-f-342.pdf</t>
        </is>
      </c>
      <c r="L153" s="202" t="n"/>
      <c r="M153" s="202" t="n"/>
      <c r="N153" s="201" t="n"/>
      <c r="O153" s="16" t="inlineStr">
        <is>
          <t>Primary</t>
        </is>
      </c>
    </row>
    <row r="154" ht="41" customHeight="1">
      <c r="A154" s="13" t="inlineStr">
        <is>
          <t>S55</t>
        </is>
      </c>
      <c r="B154" s="16" t="inlineStr">
        <is>
          <t>Greater London Provincial Council — points weighting, Denbighshire County Council</t>
        </is>
      </c>
      <c r="C154" s="202" t="n"/>
      <c r="D154" s="201" t="n"/>
      <c r="E154" s="16" t="inlineStr">
        <is>
          <t>Public point-factor plan</t>
        </is>
      </c>
      <c r="F154" s="201" t="n"/>
      <c r="G154" s="16" t="inlineStr">
        <is>
          <t>11 factors and 948 points with published weights</t>
        </is>
      </c>
      <c r="H154" s="202" t="n"/>
      <c r="I154" s="202" t="n"/>
      <c r="J154" s="201" t="n"/>
      <c r="K154" s="16" t="inlineStr">
        <is>
          <t>https://www.sirddinbych.gov.uk/en/documents/jobs-and-employees/my-employment/reorganisation-and-change/glpc-points-weighting.pdf</t>
        </is>
      </c>
      <c r="L154" s="202" t="n"/>
      <c r="M154" s="202" t="n"/>
      <c r="N154" s="201" t="n"/>
      <c r="O154" s="16" t="inlineStr">
        <is>
          <t>Primary</t>
        </is>
      </c>
    </row>
    <row r="155" ht="28" customHeight="1">
      <c r="A155" s="13" t="inlineStr">
        <is>
          <t>S56</t>
        </is>
      </c>
      <c r="B155" s="16" t="inlineStr">
        <is>
          <t>Scottish Joint Council scheme — Highland Council scoring matrix</t>
        </is>
      </c>
      <c r="C155" s="202" t="n"/>
      <c r="D155" s="201" t="n"/>
      <c r="E155" s="16" t="inlineStr">
        <is>
          <t>Public point-factor plan</t>
        </is>
      </c>
      <c r="F155" s="201" t="n"/>
      <c r="G155" s="16" t="inlineStr">
        <is>
          <t>13 factors and 1,000 points with published weights</t>
        </is>
      </c>
      <c r="H155" s="202" t="n"/>
      <c r="I155" s="202" t="n"/>
      <c r="J155" s="201" t="n"/>
      <c r="K155" s="16" t="inlineStr">
        <is>
          <t>https://www.highland.gov.uk/download/downloads/id/3889/scoring_matrix.pdf</t>
        </is>
      </c>
      <c r="L155" s="202" t="n"/>
      <c r="M155" s="202" t="n"/>
      <c r="N155" s="201" t="n"/>
      <c r="O155" s="16" t="inlineStr">
        <is>
          <t>Primary</t>
        </is>
      </c>
    </row>
    <row r="156" ht="41" customHeight="1">
      <c r="A156" s="13" t="inlineStr">
        <is>
          <t>S57</t>
        </is>
      </c>
      <c r="B156" s="16" t="inlineStr">
        <is>
          <t>US OPM — Introduction to the Position Classification Standards, Factor Evaluation System</t>
        </is>
      </c>
      <c r="C156" s="202" t="n"/>
      <c r="D156" s="201" t="n"/>
      <c r="E156" s="16" t="inlineStr">
        <is>
          <t>Public point-factor plan</t>
        </is>
      </c>
      <c r="F156" s="201" t="n"/>
      <c r="G156" s="16" t="inlineStr">
        <is>
          <t>9 factors and 4,480 points; the most knowledge-heavy plan, with no separate financial factor</t>
        </is>
      </c>
      <c r="H156" s="202" t="n"/>
      <c r="I156" s="202" t="n"/>
      <c r="J156" s="201" t="n"/>
      <c r="K156" s="16" t="inlineStr">
        <is>
          <t>https://www.opm.gov/policy-data-oversight/classification-qualifications/classifying-general-schedule-positions/positionclassificationintro.pdf</t>
        </is>
      </c>
      <c r="L156" s="202" t="n"/>
      <c r="M156" s="202" t="n"/>
      <c r="N156" s="201" t="n"/>
      <c r="O156" s="16" t="inlineStr">
        <is>
          <t>Primary</t>
        </is>
      </c>
    </row>
    <row r="157" ht="80" customHeight="1">
      <c r="A157" s="13" t="inlineStr">
        <is>
          <t>S58</t>
        </is>
      </c>
      <c r="B157" s="16" t="inlineStr">
        <is>
          <t>McKinsey — Taking a skills-based approach to building the future workforce, 2022</t>
        </is>
      </c>
      <c r="C157" s="202" t="n"/>
      <c r="D157" s="201" t="n"/>
      <c r="E157" s="16" t="inlineStr">
        <is>
          <t>Research report</t>
        </is>
      </c>
      <c r="F157" s="201" t="n"/>
      <c r="G157" s="16" t="inlineStr">
        <is>
          <t>Hiring for skills is more than twice as predictive as hiring for work experience — support for a low Experience weight</t>
        </is>
      </c>
      <c r="H157" s="202" t="n"/>
      <c r="I157" s="202" t="n"/>
      <c r="J157" s="201" t="n"/>
      <c r="K157" s="16" t="inlineStr">
        <is>
          <t>https://www.mckinsey.com/~/media/mckinsey/business%20functions/people%20and%20organizational%20performance/our%20insights/taking%20a%20skills%20based%20approach%20to%20building%20the%20future%20workforce/taking-a-skills-based-approach-to-building-the-future-workforce-vf.pdf</t>
        </is>
      </c>
      <c r="L157" s="202" t="n"/>
      <c r="M157" s="202" t="n"/>
      <c r="N157" s="201" t="n"/>
      <c r="O157" s="16" t="inlineStr">
        <is>
          <t>Primary</t>
        </is>
      </c>
    </row>
    <row r="158" ht="41" customHeight="1">
      <c r="A158" s="13" t="inlineStr">
        <is>
          <t>S59</t>
        </is>
      </c>
      <c r="B158" s="16" t="inlineStr">
        <is>
          <t>Deloitte — Human Capital Trends 2023, skills-based model</t>
        </is>
      </c>
      <c r="C158" s="202" t="n"/>
      <c r="D158" s="201" t="n"/>
      <c r="E158" s="16" t="inlineStr">
        <is>
          <t>Research report</t>
        </is>
      </c>
      <c r="F158" s="201" t="n"/>
      <c r="G158" s="16" t="inlineStr">
        <is>
          <t>Organisations moving to deploy and promote on skills rather than tenure or job history</t>
        </is>
      </c>
      <c r="H158" s="202" t="n"/>
      <c r="I158" s="202" t="n"/>
      <c r="J158" s="201" t="n"/>
      <c r="K158" s="16" t="inlineStr">
        <is>
          <t>https://www.deloitte.com/us/en/insights/topics/talent/human-capital-trends/2023/skills-based-model-end-of-jobs.html</t>
        </is>
      </c>
      <c r="L158" s="202" t="n"/>
      <c r="M158" s="202" t="n"/>
      <c r="N158" s="201" t="n"/>
      <c r="O158" s="16" t="inlineStr">
        <is>
          <t>Primary</t>
        </is>
      </c>
    </row>
    <row r="159" ht="28" customHeight="1">
      <c r="A159" s="13" t="inlineStr">
        <is>
          <t>S60</t>
        </is>
      </c>
      <c r="B159" s="16" t="inlineStr">
        <is>
          <t>World Economic Forum — Skills-first: 6 success factors, 2024</t>
        </is>
      </c>
      <c r="C159" s="202" t="n"/>
      <c r="D159" s="201" t="n"/>
      <c r="E159" s="16" t="inlineStr">
        <is>
          <t>Research article</t>
        </is>
      </c>
      <c r="F159" s="201" t="n"/>
      <c r="G159" s="16" t="inlineStr">
        <is>
          <t>Rethink education and previous experience as proxies for ability</t>
        </is>
      </c>
      <c r="H159" s="202" t="n"/>
      <c r="I159" s="202" t="n"/>
      <c r="J159" s="201" t="n"/>
      <c r="K159" s="16" t="inlineStr">
        <is>
          <t>https://www.weforum.org/stories/2024/01/skills-first-6-success-factors-recruiting-developing-talent/</t>
        </is>
      </c>
      <c r="L159" s="202" t="n"/>
      <c r="M159" s="202" t="n"/>
      <c r="N159" s="201" t="n"/>
      <c r="O159" s="16" t="inlineStr">
        <is>
          <t>Secondary</t>
        </is>
      </c>
    </row>
    <row r="160" ht="41" customHeight="1">
      <c r="A160" s="13" t="inlineStr">
        <is>
          <t>S61</t>
        </is>
      </c>
      <c r="B160" s="16" t="inlineStr">
        <is>
          <t>EY Future of Pay via People Matters — India's 2026 salary increases to reward skills over seniority</t>
        </is>
      </c>
      <c r="C160" s="202" t="n"/>
      <c r="D160" s="201" t="n"/>
      <c r="E160" s="16" t="inlineStr">
        <is>
          <t>India market news</t>
        </is>
      </c>
      <c r="F160" s="201" t="n"/>
      <c r="G160" s="16" t="inlineStr">
        <is>
          <t>India pay moving away from tenure-based increases towards skills-led, performance-driven frameworks</t>
        </is>
      </c>
      <c r="H160" s="202" t="n"/>
      <c r="I160" s="202" t="n"/>
      <c r="J160" s="201" t="n"/>
      <c r="K160" s="16" t="inlineStr">
        <is>
          <t>https://www.peoplematters.in/news/compensation-benefits/indias-2026-salary-increases-to-reward-skills-over-seniority-ey-48541</t>
        </is>
      </c>
      <c r="L160" s="202" t="n"/>
      <c r="M160" s="202" t="n"/>
      <c r="N160" s="201" t="n"/>
      <c r="O160" s="16" t="inlineStr">
        <is>
          <t>Secondary</t>
        </is>
      </c>
    </row>
    <row r="161" ht="41" customHeight="1">
      <c r="A161" s="13" t="inlineStr">
        <is>
          <t>S62</t>
        </is>
      </c>
      <c r="B161" s="16" t="inlineStr">
        <is>
          <t>WTW — Building resilient career ecosystems, India 2023</t>
        </is>
      </c>
      <c r="C161" s="202" t="n"/>
      <c r="D161" s="201" t="n"/>
      <c r="E161" s="16" t="inlineStr">
        <is>
          <t>Consulting insight · India</t>
        </is>
      </c>
      <c r="F161" s="201" t="n"/>
      <c r="G161" s="16" t="inlineStr">
        <is>
          <t>WTW's view of career architecture design in India; complements the WTW GGS factors in S07</t>
        </is>
      </c>
      <c r="H161" s="202" t="n"/>
      <c r="I161" s="202" t="n"/>
      <c r="J161" s="201" t="n"/>
      <c r="K161" s="16" t="inlineStr">
        <is>
          <t>https://www.wtwco.com/en-in/insights/2023/09/building-resilient-career-ecosystems-with-robust-career-strategy-and-design</t>
        </is>
      </c>
      <c r="L161" s="202" t="n"/>
      <c r="M161" s="202" t="n"/>
      <c r="N161" s="201" t="n"/>
      <c r="O161" s="16" t="inlineStr">
        <is>
          <t>Secondary</t>
        </is>
      </c>
    </row>
    <row r="162" ht="41" customHeight="1">
      <c r="A162" s="13" t="inlineStr">
        <is>
          <t>S63</t>
        </is>
      </c>
      <c r="B162" s="16" t="inlineStr">
        <is>
          <t>iPleaders — Director under the Companies Act 2013</t>
        </is>
      </c>
      <c r="C162" s="202" t="n"/>
      <c r="D162" s="201" t="n"/>
      <c r="E162" s="16" t="inlineStr">
        <is>
          <t>Legal explainer · India</t>
        </is>
      </c>
      <c r="F162" s="201" t="n"/>
      <c r="G162" s="16" t="inlineStr">
        <is>
          <r>
            <rPr>
              <rFont val="Calibri"/>
              <b val="1"/>
              <sz val="10"/>
            </rPr>
            <t>Section 2, clause 34:</t>
          </r>
          <r>
            <rPr>
              <rFont val="Calibri"/>
              <sz val="10"/>
            </rPr>
            <t xml:space="preserve"> 'director' means a director appointed to the Board — the reason IRIS uses no 'Director' title</t>
          </r>
        </is>
      </c>
      <c r="H162" s="202" t="n"/>
      <c r="I162" s="202" t="n"/>
      <c r="J162" s="201" t="n"/>
      <c r="K162" s="16" t="inlineStr">
        <is>
          <t>https://blog.ipleaders.in/director-companies-act-2013/</t>
        </is>
      </c>
      <c r="L162" s="202" t="n"/>
      <c r="M162" s="202" t="n"/>
      <c r="N162" s="201" t="n"/>
      <c r="O162" s="16" t="inlineStr">
        <is>
          <t>Primary</t>
        </is>
      </c>
    </row>
    <row r="163" ht="41" customHeight="1">
      <c r="A163" s="13" t="inlineStr">
        <is>
          <t>S64</t>
        </is>
      </c>
      <c r="B163" s="16" t="inlineStr">
        <is>
          <t>Kaanoon — 'Director' as an HR designation but not under the Companies Act</t>
        </is>
      </c>
      <c r="C163" s="202" t="n"/>
      <c r="D163" s="201" t="n"/>
      <c r="E163" s="16" t="inlineStr">
        <is>
          <t>Legal Q&amp;A · India</t>
        </is>
      </c>
      <c r="F163" s="201" t="n"/>
      <c r="G163" s="16" t="inlineStr">
        <is>
          <t>Practitioner view that a 'Director' designation for non-board staff causes confusion and disclosure risk</t>
        </is>
      </c>
      <c r="H163" s="202" t="n"/>
      <c r="I163" s="202" t="n"/>
      <c r="J163" s="201" t="n"/>
      <c r="K163" s="16" t="inlineStr">
        <is>
          <t>https://www.kaanoon.com/241487/designation-with-word-director-as-per-hr-policy-but-not-as-per-companies-act</t>
        </is>
      </c>
      <c r="L163" s="202" t="n"/>
      <c r="M163" s="202" t="n"/>
      <c r="N163" s="201" t="n"/>
      <c r="O163" s="16" t="inlineStr">
        <is>
          <t>Secondary</t>
        </is>
      </c>
    </row>
    <row r="164" ht="28" customHeight="1">
      <c r="A164" s="13" t="inlineStr">
        <is>
          <t>S65</t>
        </is>
      </c>
      <c r="B164" s="16" t="inlineStr">
        <is>
          <t>Wipro — Distinguished Member of Technical Staff</t>
        </is>
      </c>
      <c r="C164" s="202" t="n"/>
      <c r="D164" s="201" t="n"/>
      <c r="E164" s="16" t="inlineStr">
        <is>
          <t>Indian IT company programme</t>
        </is>
      </c>
      <c r="F164" s="201" t="n"/>
      <c r="G164" s="16" t="inlineStr">
        <is>
          <t>Indian example of the 'Distinguished' top-specialist title — Option B for the D1 title</t>
        </is>
      </c>
      <c r="H164" s="202" t="n"/>
      <c r="I164" s="202" t="n"/>
      <c r="J164" s="201" t="n"/>
      <c r="K164" s="16" t="inlineStr">
        <is>
          <t>https://www.wipro.com/innovation/distinguished-member-of-technical-staff/</t>
        </is>
      </c>
      <c r="L164" s="202" t="n"/>
      <c r="M164" s="202" t="n"/>
      <c r="N164" s="201" t="n"/>
      <c r="O164" s="16" t="inlineStr">
        <is>
          <t>Primary</t>
        </is>
      </c>
    </row>
    <row r="165" ht="28" customHeight="1">
      <c r="A165" s="13" t="inlineStr">
        <is>
          <t>S66</t>
        </is>
      </c>
      <c r="B165" s="16" t="inlineStr">
        <is>
          <t>Salesforce engineering levels — AMTS to Distinguished Engineer</t>
        </is>
      </c>
      <c r="C165" s="202" t="n"/>
      <c r="D165" s="201" t="n"/>
      <c r="E165" s="16" t="inlineStr">
        <is>
          <t>Company ladder · Design Gurus</t>
        </is>
      </c>
      <c r="F165" s="201" t="n"/>
      <c r="G165" s="16" t="inlineStr">
        <is>
          <t>Global SaaS example of the top-specialist title above Principal Architect</t>
        </is>
      </c>
      <c r="H165" s="202" t="n"/>
      <c r="I165" s="202" t="n"/>
      <c r="J165" s="201" t="n"/>
      <c r="K165" s="16" t="inlineStr">
        <is>
          <t>https://www.designgurus.io/blog/salesforce-software-engineer-levels</t>
        </is>
      </c>
      <c r="L165" s="202" t="n"/>
      <c r="M165" s="202" t="n"/>
      <c r="N165" s="201" t="n"/>
      <c r="O165" s="16" t="inlineStr">
        <is>
          <t>Secondary</t>
        </is>
      </c>
    </row>
    <row r="166" ht="28" customHeight="1">
      <c r="A166" s="13" t="inlineStr">
        <is>
          <t>S67</t>
        </is>
      </c>
      <c r="B166" s="16" t="inlineStr">
        <is>
          <t>LeadDev — Who are staff, principal and distinguished engineers</t>
        </is>
      </c>
      <c r="C166" s="202" t="n"/>
      <c r="D166" s="201" t="n"/>
      <c r="E166" s="16" t="inlineStr">
        <is>
          <t>Practice article</t>
        </is>
      </c>
      <c r="F166" s="201" t="n"/>
      <c r="G166" s="16" t="inlineStr">
        <is>
          <t>How Principal, Distinguished and Fellow tiers are used and how rare they are</t>
        </is>
      </c>
      <c r="H166" s="202" t="n"/>
      <c r="I166" s="202" t="n"/>
      <c r="J166" s="201" t="n"/>
      <c r="K166" s="16" t="inlineStr">
        <is>
          <t>https://leaddev.com/career-ladders/who-are-staff-principal-and-distinguished-engineers</t>
        </is>
      </c>
      <c r="L166" s="202" t="n"/>
      <c r="M166" s="202" t="n"/>
      <c r="N166" s="201" t="n"/>
      <c r="O166" s="16" t="inlineStr">
        <is>
          <t>Secondary</t>
        </is>
      </c>
    </row>
    <row r="167" ht="28" customHeight="1">
      <c r="A167" s="13" t="inlineStr">
        <is>
          <t>S68</t>
        </is>
      </c>
      <c r="B167" s="16" t="inlineStr">
        <is>
          <t>Dropbox — engineering career framework</t>
        </is>
      </c>
      <c r="C167" s="202" t="n"/>
      <c r="D167" s="201" t="n"/>
      <c r="E167" s="16" t="inlineStr">
        <is>
          <t>Company framework</t>
        </is>
      </c>
      <c r="F167" s="201" t="n"/>
      <c r="G167" s="16" t="inlineStr">
        <is>
          <t>Published IC ladder with top-specialist tiers and their scope</t>
        </is>
      </c>
      <c r="H167" s="202" t="n"/>
      <c r="I167" s="202" t="n"/>
      <c r="J167" s="201" t="n"/>
      <c r="K167" s="16" t="inlineStr">
        <is>
          <t>https://dropbox.tech/culture/our-updated-engineering-career-framework</t>
        </is>
      </c>
      <c r="L167" s="202" t="n"/>
      <c r="M167" s="202" t="n"/>
      <c r="N167" s="201" t="n"/>
      <c r="O167" s="16" t="inlineStr">
        <is>
          <t>Secondary</t>
        </is>
      </c>
    </row>
    <row r="168" ht="28" customHeight="1">
      <c r="A168" s="13" t="inlineStr">
        <is>
          <t>S69</t>
        </is>
      </c>
      <c r="B168" s="16" t="inlineStr">
        <is>
          <t>Square — growth framework for engineers and engineering managers</t>
        </is>
      </c>
      <c r="C168" s="202" t="n"/>
      <c r="D168" s="201" t="n"/>
      <c r="E168" s="16" t="inlineStr">
        <is>
          <t>Company framework</t>
        </is>
      </c>
      <c r="F168" s="201" t="n"/>
      <c r="G168" s="16" t="inlineStr">
        <is>
          <t>Published IC and manager ladders side by side</t>
        </is>
      </c>
      <c r="H168" s="202" t="n"/>
      <c r="I168" s="202" t="n"/>
      <c r="J168" s="201" t="n"/>
      <c r="K168" s="16" t="inlineStr">
        <is>
          <t>https://developer.squareup.com/blog/squares-growth-framework-for-engineers-and-engineering-managers/</t>
        </is>
      </c>
      <c r="L168" s="202" t="n"/>
      <c r="M168" s="202" t="n"/>
      <c r="N168" s="201" t="n"/>
      <c r="O168" s="16" t="inlineStr">
        <is>
          <t>Secondary</t>
        </is>
      </c>
    </row>
    <row r="169" ht="41" customHeight="1">
      <c r="A169" s="13" t="inlineStr">
        <is>
          <t>S70</t>
        </is>
      </c>
      <c r="B169" s="16" t="inlineStr">
        <is>
          <t>Carta and Pave — job levelling frameworks</t>
        </is>
      </c>
      <c r="C169" s="202" t="n"/>
      <c r="D169" s="201" t="n"/>
      <c r="E169" s="16" t="inlineStr">
        <is>
          <t>Compensation platforms</t>
        </is>
      </c>
      <c r="F169" s="201" t="n"/>
      <c r="G169" s="16" t="inlineStr">
        <is>
          <t>Market levelling guides used to check the level count and the IC ↔ manager pairing</t>
        </is>
      </c>
      <c r="H169" s="202" t="n"/>
      <c r="I169" s="202" t="n"/>
      <c r="J169" s="201" t="n"/>
      <c r="K169" s="16" t="inlineStr">
        <is>
          <t>https://carta.com/learn/startups/compensation/job-leveling/ ; https://pave.com/blog-posts/job-leveling-framework</t>
        </is>
      </c>
      <c r="L169" s="202" t="n"/>
      <c r="M169" s="202" t="n"/>
      <c r="N169" s="201" t="n"/>
      <c r="O169" s="16" t="inlineStr">
        <is>
          <t>Secondary</t>
        </is>
      </c>
    </row>
    <row r="170" ht="28" customHeight="1">
      <c r="A170" s="13" t="inlineStr">
        <is>
          <t>S71</t>
        </is>
      </c>
      <c r="B170" s="16" t="inlineStr">
        <is>
          <t>Figures — Figures levels</t>
        </is>
      </c>
      <c r="C170" s="202" t="n"/>
      <c r="D170" s="201" t="n"/>
      <c r="E170" s="16" t="inlineStr">
        <is>
          <t>Compensation platform</t>
        </is>
      </c>
      <c r="F170" s="201" t="n"/>
      <c r="G170" s="16" t="inlineStr">
        <is>
          <t>Second levelling crosswalk alongside the Mercer levels in S03</t>
        </is>
      </c>
      <c r="H170" s="202" t="n"/>
      <c r="I170" s="202" t="n"/>
      <c r="J170" s="201" t="n"/>
      <c r="K170" s="16" t="inlineStr">
        <is>
          <t>https://help.figures.hr/en/articles/389317-figures-levels</t>
        </is>
      </c>
      <c r="L170" s="202" t="n"/>
      <c r="M170" s="202" t="n"/>
      <c r="N170" s="201" t="n"/>
      <c r="O170" s="16" t="inlineStr">
        <is>
          <t>Secondary</t>
        </is>
      </c>
    </row>
    <row r="171" ht="41" customHeight="1">
      <c r="A171" s="13" t="inlineStr">
        <is>
          <t>S72</t>
        </is>
      </c>
      <c r="B171" s="16" t="inlineStr">
        <is>
          <t>PayScale India — Chief Architect, IT</t>
        </is>
      </c>
      <c r="C171" s="202" t="n"/>
      <c r="D171" s="201" t="n"/>
      <c r="E171" s="16" t="inlineStr">
        <is>
          <t>Salary data site · India</t>
        </is>
      </c>
      <c r="F171" s="201" t="n"/>
      <c r="G171" s="16" t="inlineStr">
        <is>
          <t>Shows Chief Architect, IT tracked as an experienced and late-career role in India — Option A for the D1 title</t>
        </is>
      </c>
      <c r="H171" s="202" t="n"/>
      <c r="I171" s="202" t="n"/>
      <c r="J171" s="201" t="n"/>
      <c r="K171" s="16" t="inlineStr">
        <is>
          <t>https://www.payscale.com/research/IN/Job=Chief_Architect%2C_IT/Skill-Experience</t>
        </is>
      </c>
      <c r="L171" s="202" t="n"/>
      <c r="M171" s="202" t="n"/>
      <c r="N171" s="201" t="n"/>
      <c r="O171" s="16" t="inlineStr">
        <is>
          <t>Indicative</t>
        </is>
      </c>
    </row>
    <row r="172" ht="28" customHeight="1">
      <c r="A172" s="13" t="inlineStr">
        <is>
          <t>S40</t>
        </is>
      </c>
      <c r="B172" s="16" t="inlineStr">
        <is>
          <t>Employee Master_New_23092026 and Employee Master_OLD</t>
        </is>
      </c>
      <c r="C172" s="202" t="n"/>
      <c r="D172" s="201" t="n"/>
      <c r="E172" s="16" t="inlineStr">
        <is>
          <t>IRIS HRIS</t>
        </is>
      </c>
      <c r="F172" s="201" t="n"/>
      <c r="G172" s="16" t="inlineStr">
        <is>
          <t>Roster, department, manager, experience, qualification, category</t>
        </is>
      </c>
      <c r="H172" s="202" t="n"/>
      <c r="I172" s="202" t="n"/>
      <c r="J172" s="201" t="n"/>
      <c r="K172" s="16" t="inlineStr">
        <is>
          <t>Internal</t>
        </is>
      </c>
      <c r="L172" s="202" t="n"/>
      <c r="M172" s="202" t="n"/>
      <c r="N172" s="201" t="n"/>
      <c r="O172" s="16" t="inlineStr">
        <is>
          <t>Internal</t>
        </is>
      </c>
    </row>
    <row r="173" ht="28" customHeight="1">
      <c r="A173" s="13" t="inlineStr">
        <is>
          <t>S41</t>
        </is>
      </c>
      <c r="B173" s="16" t="inlineStr">
        <is>
          <t>How We Grow survey · 521 responses</t>
        </is>
      </c>
      <c r="C173" s="202" t="n"/>
      <c r="D173" s="201" t="n"/>
      <c r="E173" s="16" t="inlineStr">
        <is>
          <t>IRIS employees</t>
        </is>
      </c>
      <c r="F173" s="201" t="n"/>
      <c r="G173" s="16" t="inlineStr">
        <is>
          <t>Purpose, deliverables, accountability, decision rights, skills, tools, learning needs</t>
        </is>
      </c>
      <c r="H173" s="202" t="n"/>
      <c r="I173" s="202" t="n"/>
      <c r="J173" s="201" t="n"/>
      <c r="K173" s="16" t="inlineStr">
        <is>
          <t>Internal</t>
        </is>
      </c>
      <c r="L173" s="202" t="n"/>
      <c r="M173" s="202" t="n"/>
      <c r="N173" s="201" t="n"/>
      <c r="O173" s="16" t="inlineStr">
        <is>
          <t>Internal</t>
        </is>
      </c>
    </row>
    <row r="174" ht="28" customHeight="1">
      <c r="A174" s="13" t="inlineStr">
        <is>
          <t>S42</t>
        </is>
      </c>
      <c r="B174" s="16" t="inlineStr">
        <is>
          <t>Manager talent-mapping files</t>
        </is>
      </c>
      <c r="C174" s="202" t="n"/>
      <c r="D174" s="201" t="n"/>
      <c r="E174" s="16" t="inlineStr">
        <is>
          <t>IRIS managers</t>
        </is>
      </c>
      <c r="F174" s="201" t="n"/>
      <c r="G174" s="16" t="inlineStr">
        <is>
          <t>KRAs, rating, potential, readiness, 9-box, manager training need</t>
        </is>
      </c>
      <c r="H174" s="202" t="n"/>
      <c r="I174" s="202" t="n"/>
      <c r="J174" s="201" t="n"/>
      <c r="K174" s="16" t="inlineStr">
        <is>
          <t>Internal</t>
        </is>
      </c>
      <c r="L174" s="202" t="n"/>
      <c r="M174" s="202" t="n"/>
      <c r="N174" s="201" t="n"/>
      <c r="O174" s="16" t="inlineStr">
        <is>
          <t>Internal</t>
        </is>
      </c>
    </row>
    <row r="175" ht="28" customHeight="1">
      <c r="A175" s="13" t="inlineStr">
        <is>
          <t>S43</t>
        </is>
      </c>
      <c r="B175" s="16" t="inlineStr">
        <is>
          <t>IRIS talent-mapping workbooks v1 and v2</t>
        </is>
      </c>
      <c r="C175" s="202" t="n"/>
      <c r="D175" s="201" t="n"/>
      <c r="E175" s="16" t="inlineStr">
        <is>
          <t>This exercise</t>
        </is>
      </c>
      <c r="F175" s="201" t="n"/>
      <c r="G175" s="16" t="inlineStr">
        <is>
          <t>Factor ratings, competency ratings, duplication and mobility analysis</t>
        </is>
      </c>
      <c r="H175" s="202" t="n"/>
      <c r="I175" s="202" t="n"/>
      <c r="J175" s="201" t="n"/>
      <c r="K175" s="16" t="inlineStr">
        <is>
          <t>Internal</t>
        </is>
      </c>
      <c r="L175" s="202" t="n"/>
      <c r="M175" s="202" t="n"/>
      <c r="N175" s="201" t="n"/>
      <c r="O175" s="16" t="inlineStr">
        <is>
          <t>Internal</t>
        </is>
      </c>
    </row>
    <row r="176" ht="15" customHeight="1"/>
    <row r="177" ht="20" customHeight="1">
      <c r="A177" s="6" t="inlineStr">
        <is>
          <t>R5b. Career Architecture V2 evidence register · HR research, 7 Oct 2026</t>
        </is>
      </c>
    </row>
    <row r="178" ht="28" customHeight="1">
      <c r="A178" s="11"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179" ht="28" customHeight="1">
      <c r="A179" s="12" t="inlineStr">
        <is>
          <t>ID</t>
        </is>
      </c>
      <c r="B179" s="12" t="inlineStr">
        <is>
          <t>Lens</t>
        </is>
      </c>
      <c r="C179" s="201" t="n"/>
      <c r="D179" s="12" t="inlineStr">
        <is>
          <t>Organisation</t>
        </is>
      </c>
      <c r="E179" s="201" t="n"/>
      <c r="F179" s="12" t="inlineStr">
        <is>
          <t>Observed title / publication</t>
        </is>
      </c>
      <c r="G179" s="201" t="n"/>
      <c r="H179" s="12" t="inlineStr">
        <is>
          <t>What it supports</t>
        </is>
      </c>
      <c r="I179" s="202" t="n"/>
      <c r="J179" s="201" t="n"/>
      <c r="K179" s="12" t="inlineStr">
        <is>
          <t>Transfer limit</t>
        </is>
      </c>
      <c r="L179" s="202" t="n"/>
      <c r="M179" s="201" t="n"/>
      <c r="N179" s="12" t="inlineStr">
        <is>
          <t>Geography</t>
        </is>
      </c>
      <c r="O179" s="12" t="inlineStr">
        <is>
          <t>Link</t>
        </is>
      </c>
    </row>
    <row r="180" ht="54" customHeight="1">
      <c r="A180" s="13" t="inlineStr">
        <is>
          <t>N01</t>
        </is>
      </c>
      <c r="B180" s="16" t="inlineStr">
        <is>
          <t>Lens 1 direct peer</t>
        </is>
      </c>
      <c r="C180" s="201" t="n"/>
      <c r="D180" s="16" t="inlineStr">
        <is>
          <t>Regnology</t>
        </is>
      </c>
      <c r="E180" s="201" t="n"/>
      <c r="F180" s="16" t="inlineStr">
        <is>
          <t>Senior Software Engineer, Pune</t>
        </is>
      </c>
      <c r="G180" s="201" t="n"/>
      <c r="H180" s="16" t="inlineStr">
        <is>
          <t>Java delivery, design, code review and junior mentoring.</t>
        </is>
      </c>
      <c r="I180" s="202" t="n"/>
      <c r="J180" s="201" t="n"/>
      <c r="K180" s="16" t="inlineStr">
        <is>
          <t>Selected senior role only; tenure requirement is not a grading rule.</t>
        </is>
      </c>
      <c r="L180" s="202" t="n"/>
      <c r="M180" s="201" t="n"/>
      <c r="N180" s="16" t="inlineStr">
        <is>
          <t>India</t>
        </is>
      </c>
      <c r="O180" s="16" t="inlineStr">
        <is>
          <t>https://regnology.jobs.personio.de/job/2374470</t>
        </is>
      </c>
    </row>
    <row r="181" ht="67" customHeight="1">
      <c r="A181" s="13" t="inlineStr">
        <is>
          <t>N02</t>
        </is>
      </c>
      <c r="B181" s="16" t="inlineStr">
        <is>
          <t>Lens 1 direct peer</t>
        </is>
      </c>
      <c r="C181" s="201" t="n"/>
      <c r="D181" s="16" t="inlineStr">
        <is>
          <t>Regnology</t>
        </is>
      </c>
      <c r="E181" s="201" t="n"/>
      <c r="F181" s="16" t="inlineStr">
        <is>
          <t>Release Engineer, Pune</t>
        </is>
      </c>
      <c r="G181" s="201" t="n"/>
      <c r="H181" s="16" t="inlineStr">
        <is>
          <t>Independent cross-team release coordination and quality/risk trade-offs.</t>
        </is>
      </c>
      <c r="I181" s="202" t="n"/>
      <c r="J181" s="201" t="n"/>
      <c r="K181" s="16" t="inlineStr">
        <is>
          <t>Supports release scope, not a standalone QA career ladder.</t>
        </is>
      </c>
      <c r="L181" s="202" t="n"/>
      <c r="M181" s="201" t="n"/>
      <c r="N181" s="16" t="inlineStr">
        <is>
          <t>India</t>
        </is>
      </c>
      <c r="O181" s="16" t="inlineStr">
        <is>
          <t>https://regnology.jobs.personio.de/job/2605587?language=en</t>
        </is>
      </c>
    </row>
    <row r="182" ht="106" customHeight="1">
      <c r="A182" s="13" t="inlineStr">
        <is>
          <t>N03</t>
        </is>
      </c>
      <c r="B182" s="16" t="inlineStr">
        <is>
          <t>Lens 1 direct peer</t>
        </is>
      </c>
      <c r="C182" s="201" t="n"/>
      <c r="D182" s="16" t="inlineStr">
        <is>
          <t>Workiva</t>
        </is>
      </c>
      <c r="E182" s="201" t="n"/>
      <c r="F182" s="16" t="inlineStr">
        <is>
          <t>Principal Security Engineer</t>
        </is>
      </c>
      <c r="G182" s="201" t="n"/>
      <c r="H182" s="16" t="inlineStr">
        <is>
          <t>Cross-platform cloud security architecture and enterprise technical influence.</t>
        </is>
      </c>
      <c r="I182" s="202" t="n"/>
      <c r="J182" s="201" t="n"/>
      <c r="K182" s="16" t="inlineStr">
        <is>
          <t>Selected expert role; no verified internal grade or India title match.</t>
        </is>
      </c>
      <c r="L182" s="202" t="n"/>
      <c r="M182" s="201" t="n"/>
      <c r="N182" s="16" t="inlineStr">
        <is>
          <t>USA</t>
        </is>
      </c>
      <c r="O182" s="16" t="inlineStr">
        <is>
          <t>https://workiva.wd503.myworkdayjobs.com/en-US/careers/job/Principal-Security-Engineer_R11408</t>
        </is>
      </c>
    </row>
    <row r="183" ht="119" customHeight="1">
      <c r="A183" s="13" t="inlineStr">
        <is>
          <t>N04</t>
        </is>
      </c>
      <c r="B183" s="16" t="inlineStr">
        <is>
          <t>Lens 1 direct peer</t>
        </is>
      </c>
      <c r="C183" s="201" t="n"/>
      <c r="D183" s="16" t="inlineStr">
        <is>
          <t>Workiva</t>
        </is>
      </c>
      <c r="E183" s="201" t="n"/>
      <c r="F183" s="16" t="inlineStr">
        <is>
          <t>Senior People Business Partner</t>
        </is>
      </c>
      <c r="G183" s="201" t="n"/>
      <c r="H183" s="16" t="inlineStr">
        <is>
          <t>Regional GTM partnership, organisation design, employee relations and leadership advice.</t>
        </is>
      </c>
      <c r="I183" s="202" t="n"/>
      <c r="J183" s="201" t="n"/>
      <c r="K183" s="16" t="inlineStr">
        <is>
          <t>Supports HRBP and adjacent OD work, not every HR speciality.</t>
        </is>
      </c>
      <c r="L183" s="202" t="n"/>
      <c r="M183" s="201" t="n"/>
      <c r="N183" s="16" t="inlineStr">
        <is>
          <t>UK / EMEA</t>
        </is>
      </c>
      <c r="O183" s="16" t="inlineStr">
        <is>
          <t>https://workiva.wd503.myworkdayjobs.com/en-US/careers/job/Senior-People-Business-Partner---GTM---Sales_R11653</t>
        </is>
      </c>
    </row>
    <row r="184" ht="106" customHeight="1">
      <c r="A184" s="13" t="inlineStr">
        <is>
          <t>N05</t>
        </is>
      </c>
      <c r="B184" s="16" t="inlineStr">
        <is>
          <t>Lens 1 direct peer</t>
        </is>
      </c>
      <c r="C184" s="201" t="n"/>
      <c r="D184" s="16" t="inlineStr">
        <is>
          <t>Workiva</t>
        </is>
      </c>
      <c r="E184" s="201" t="n"/>
      <c r="F184" s="16" t="inlineStr">
        <is>
          <t>Principal Product Designer</t>
        </is>
      </c>
      <c r="G184" s="201" t="n"/>
      <c r="H184" s="16" t="inlineStr">
        <is>
          <t>Multi-product UX strategy, hands-on design and mentoring senior designers.</t>
        </is>
      </c>
      <c r="I184" s="202" t="n"/>
      <c r="J184" s="201" t="n"/>
      <c r="K184" s="16" t="inlineStr">
        <is>
          <t>Observed expert role; unrelated to brand-design seniority.</t>
        </is>
      </c>
      <c r="L184" s="202" t="n"/>
      <c r="M184" s="201" t="n"/>
      <c r="N184" s="16" t="inlineStr">
        <is>
          <t>USA</t>
        </is>
      </c>
      <c r="O184" s="16" t="inlineStr">
        <is>
          <t>https://workiva.wd503.myworkdayjobs.com/en-US/careers/job/Principal-Product-Designer_R11461</t>
        </is>
      </c>
    </row>
    <row r="185" ht="119" customHeight="1">
      <c r="A185" s="13" t="inlineStr">
        <is>
          <t>N06</t>
        </is>
      </c>
      <c r="B185" s="16" t="inlineStr">
        <is>
          <t>Lens 1 direct peer</t>
        </is>
      </c>
      <c r="C185" s="201" t="n"/>
      <c r="D185" s="16" t="inlineStr">
        <is>
          <t>Workiva</t>
        </is>
      </c>
      <c r="E185" s="201" t="n"/>
      <c r="F185" s="16" t="inlineStr">
        <is>
          <t>Senior Learning and Development Partner</t>
        </is>
      </c>
      <c r="G185" s="201" t="n"/>
      <c r="H185" s="16" t="inlineStr">
        <is>
          <t>Explicit IC role owning a learning portfolio, facilitation and evaluation.</t>
        </is>
      </c>
      <c r="I185" s="202" t="n"/>
      <c r="J185" s="201" t="n"/>
      <c r="K185" s="16" t="inlineStr">
        <is>
          <t>People-management experience is preferred, not evidence of direct reports in this job.</t>
        </is>
      </c>
      <c r="L185" s="202" t="n"/>
      <c r="M185" s="201" t="n"/>
      <c r="N185" s="16" t="inlineStr">
        <is>
          <t>UK / global remit</t>
        </is>
      </c>
      <c r="O185" s="16" t="inlineStr">
        <is>
          <t>https://workiva.wd503.myworkdayjobs.com/en-US/careers/job/Senior-Learning-and-Development-Partner_R11848</t>
        </is>
      </c>
    </row>
    <row r="186" ht="119" customHeight="1">
      <c r="A186" s="13" t="inlineStr">
        <is>
          <t>N07</t>
        </is>
      </c>
      <c r="B186" s="16" t="inlineStr">
        <is>
          <t>Lens 1 direct peer</t>
        </is>
      </c>
      <c r="C186" s="201" t="n"/>
      <c r="D186" s="16" t="inlineStr">
        <is>
          <t>Workiva</t>
        </is>
      </c>
      <c r="E186" s="201" t="n"/>
      <c r="F186" s="16" t="inlineStr">
        <is>
          <t>Brand Graphic Design Intern, 2027 cohort</t>
        </is>
      </c>
      <c r="G186" s="201" t="n"/>
      <c r="H186" s="16" t="inlineStr">
        <is>
          <t>Mentored brand asset production with review before stakeholder release.</t>
        </is>
      </c>
      <c r="I186" s="202" t="n"/>
      <c r="J186" s="201" t="n"/>
      <c r="K186" s="16" t="inlineStr">
        <is>
          <t>Advertised 2027 programme; listed application deadline predates review. Not an active-vacancy claim.</t>
        </is>
      </c>
      <c r="L186" s="202" t="n"/>
      <c r="M186" s="201" t="n"/>
      <c r="N186" s="16" t="inlineStr">
        <is>
          <t>USA</t>
        </is>
      </c>
      <c r="O186" s="16" t="inlineStr">
        <is>
          <t>https://workiva.wd503.myworkdayjobs.com/en-US/careers/job/Spring---Summer-2027-Intern---Brand-Design_R12318</t>
        </is>
      </c>
    </row>
    <row r="187" ht="119" customHeight="1">
      <c r="A187" s="13" t="inlineStr">
        <is>
          <t>N08</t>
        </is>
      </c>
      <c r="B187" s="16" t="inlineStr">
        <is>
          <t>Lens 1 direct peer</t>
        </is>
      </c>
      <c r="C187" s="201" t="n"/>
      <c r="D187" s="16" t="inlineStr">
        <is>
          <t>Workiva</t>
        </is>
      </c>
      <c r="E187" s="201" t="n"/>
      <c r="F187" s="16" t="inlineStr">
        <is>
          <t>Marketing Intern, 2027 cohort</t>
        </is>
      </c>
      <c r="G187" s="201" t="n"/>
      <c r="H187" s="16" t="inlineStr">
        <is>
          <t>Entry tasks span campaigns, CRM data, automation, content and events.</t>
        </is>
      </c>
      <c r="I187" s="202" t="n"/>
      <c r="J187" s="201" t="n"/>
      <c r="K187" s="16" t="inlineStr">
        <is>
          <t>Entry exposure only; listed September 2026 deadline has passed.</t>
        </is>
      </c>
      <c r="L187" s="202" t="n"/>
      <c r="M187" s="201" t="n"/>
      <c r="N187" s="16" t="inlineStr">
        <is>
          <t>USA</t>
        </is>
      </c>
      <c r="O187" s="16" t="inlineStr">
        <is>
          <t>https://workiva.wd503.myworkdayjobs.com/careers/job/usa---remote/spring---summer-2027-intern---marketing_r12193</t>
        </is>
      </c>
    </row>
    <row r="188" ht="106" customHeight="1">
      <c r="A188" s="13" t="inlineStr">
        <is>
          <t>N09</t>
        </is>
      </c>
      <c r="B188" s="16" t="inlineStr">
        <is>
          <t>Lens 1 direct peer</t>
        </is>
      </c>
      <c r="C188" s="201" t="n"/>
      <c r="D188" s="16" t="inlineStr">
        <is>
          <t>Workiva</t>
        </is>
      </c>
      <c r="E188" s="201" t="n"/>
      <c r="F188" s="16" t="inlineStr">
        <is>
          <t>Senior Campaign Manager</t>
        </is>
      </c>
      <c r="G188" s="201" t="n"/>
      <c r="H188" s="16" t="inlineStr">
        <is>
          <t>Integrated campaign ownership, channel decisions and pipeline accountability.</t>
        </is>
      </c>
      <c r="I188" s="202" t="n"/>
      <c r="J188" s="201" t="n"/>
      <c r="K188" s="16" t="inlineStr">
        <is>
          <t>Manager title does not establish direct reports.</t>
        </is>
      </c>
      <c r="L188" s="202" t="n"/>
      <c r="M188" s="201" t="n"/>
      <c r="N188" s="16" t="inlineStr">
        <is>
          <t>USA</t>
        </is>
      </c>
      <c r="O188" s="16" t="inlineStr">
        <is>
          <t>https://workiva.wd503.myworkdayjobs.com/careers/job/usa---remote/senior-campaign-manager_r12423-1</t>
        </is>
      </c>
    </row>
    <row r="189" ht="119" customHeight="1">
      <c r="A189" s="13" t="inlineStr">
        <is>
          <t>N10</t>
        </is>
      </c>
      <c r="B189" s="16" t="inlineStr">
        <is>
          <t>Lens 1 direct peer</t>
        </is>
      </c>
      <c r="C189" s="201" t="n"/>
      <c r="D189" s="16" t="inlineStr">
        <is>
          <t>Workiva</t>
        </is>
      </c>
      <c r="E189" s="201" t="n"/>
      <c r="F189" s="16" t="inlineStr">
        <is>
          <t>Product Marketing Operations Director</t>
        </is>
      </c>
      <c r="G189" s="201" t="n"/>
      <c r="H189" s="16" t="inlineStr">
        <is>
          <t>Explicit IC director role owning planning, budgets and cross-functional operating cadence.</t>
        </is>
      </c>
      <c r="I189" s="202" t="n"/>
      <c r="J189" s="201" t="n"/>
      <c r="K189" s="16" t="inlineStr">
        <is>
          <t>Not the same job as marketing automation; important title/track counterexample.</t>
        </is>
      </c>
      <c r="L189" s="202" t="n"/>
      <c r="M189" s="201" t="n"/>
      <c r="N189" s="16" t="inlineStr">
        <is>
          <t>USA</t>
        </is>
      </c>
      <c r="O189" s="16" t="inlineStr">
        <is>
          <t>https://workiva.wd503.myworkdayjobs.com/en-US/careers/job/Product-Marketing-Operations-Director_R12164</t>
        </is>
      </c>
    </row>
    <row r="190" ht="145" customHeight="1">
      <c r="A190" s="13" t="inlineStr">
        <is>
          <t>N11</t>
        </is>
      </c>
      <c r="B190" s="16" t="inlineStr">
        <is>
          <t>Lens 1 direct peer</t>
        </is>
      </c>
      <c r="C190" s="201" t="n"/>
      <c r="D190" s="16" t="inlineStr">
        <is>
          <t>Workiva</t>
        </is>
      </c>
      <c r="E190" s="201" t="n"/>
      <c r="F190" s="16" t="inlineStr">
        <is>
          <t>Sales Development Representative, SLED</t>
        </is>
      </c>
      <c r="G190" s="201" t="n"/>
      <c r="H190" s="16" t="inlineStr">
        <is>
          <t>Prospecting and qualification feed account executives.</t>
        </is>
      </c>
      <c r="I190" s="202" t="n"/>
      <c r="J190" s="201" t="n"/>
      <c r="K190" s="16" t="inlineStr">
        <is>
          <t>US public-sector segment; do not transplant activity quotas.</t>
        </is>
      </c>
      <c r="L190" s="202" t="n"/>
      <c r="M190" s="201" t="n"/>
      <c r="N190" s="16" t="inlineStr">
        <is>
          <t>USA</t>
        </is>
      </c>
      <c r="O190" s="16" t="inlineStr">
        <is>
          <t>https://workiva.wd503.myworkdayjobs.com/en-US/careers/job/Territory-Development-Representative---State--Local---Education--SLED-_R12066</t>
        </is>
      </c>
    </row>
    <row r="191" ht="132" customHeight="1">
      <c r="A191" s="13" t="inlineStr">
        <is>
          <t>N12</t>
        </is>
      </c>
      <c r="B191" s="16" t="inlineStr">
        <is>
          <t>Lens 1 direct peer</t>
        </is>
      </c>
      <c r="C191" s="201" t="n"/>
      <c r="D191" s="16" t="inlineStr">
        <is>
          <t>Workiva</t>
        </is>
      </c>
      <c r="E191" s="201" t="n"/>
      <c r="F191" s="16" t="inlineStr">
        <is>
          <t>Account Executive, SLED</t>
        </is>
      </c>
      <c r="G191" s="201" t="n"/>
      <c r="H191" s="16" t="inlineStr">
        <is>
          <t>Owns acquisition, expansion, commercial forecasting and closing.</t>
        </is>
      </c>
      <c r="I191" s="202" t="n"/>
      <c r="J191" s="201" t="n"/>
      <c r="K191" s="16" t="inlineStr">
        <is>
          <t>Account sales is distinct from SDR qualification; no grade inferred.</t>
        </is>
      </c>
      <c r="L191" s="202" t="n"/>
      <c r="M191" s="201" t="n"/>
      <c r="N191" s="16" t="inlineStr">
        <is>
          <t>USA</t>
        </is>
      </c>
      <c r="O191" s="16" t="inlineStr">
        <is>
          <t>https://workiva.wd503.myworkdayjobs.com/careers/job/usa---remote/account-executive---state--local---education--sled-_r12020</t>
        </is>
      </c>
    </row>
    <row r="192" ht="106" customHeight="1">
      <c r="A192" s="13" t="inlineStr">
        <is>
          <t>N13</t>
        </is>
      </c>
      <c r="B192" s="16" t="inlineStr">
        <is>
          <t>Lens 1 direct peer</t>
        </is>
      </c>
      <c r="C192" s="201" t="n"/>
      <c r="D192" s="16" t="inlineStr">
        <is>
          <t>Workiva</t>
        </is>
      </c>
      <c r="E192" s="201" t="n"/>
      <c r="F192" s="16" t="inlineStr">
        <is>
          <t>Senior Account Executive, SLED</t>
        </is>
      </c>
      <c r="G192" s="201" t="n"/>
      <c r="H192" s="16" t="inlineStr">
        <is>
          <t>Senior account-executive title and enterprise sales duties are published.</t>
        </is>
      </c>
      <c r="I192" s="202" t="n"/>
      <c r="J192" s="201" t="n"/>
      <c r="K192" s="16" t="inlineStr">
        <is>
          <r>
            <rPr>
              <rFont val="Calibri"/>
              <b val="1"/>
              <sz val="10"/>
            </rPr>
            <t>Similar duties to AE listing:</t>
          </r>
          <r>
            <rPr>
              <rFont val="Calibri"/>
              <sz val="10"/>
            </rPr>
            <t xml:space="preserve"> precise step-up in scope is not established.</t>
          </r>
        </is>
      </c>
      <c r="L192" s="202" t="n"/>
      <c r="M192" s="201" t="n"/>
      <c r="N192" s="16" t="inlineStr">
        <is>
          <t>USA</t>
        </is>
      </c>
      <c r="O192" s="16" t="inlineStr">
        <is>
          <t>https://workiva.wd503.myworkdayjobs.com/en-US/careers/job/Senior-Account-Executive---SLED_R12096</t>
        </is>
      </c>
    </row>
    <row r="193" ht="119" customHeight="1">
      <c r="A193" s="13" t="inlineStr">
        <is>
          <t>N14</t>
        </is>
      </c>
      <c r="B193" s="16" t="inlineStr">
        <is>
          <t>Lens 1 direct peer</t>
        </is>
      </c>
      <c r="C193" s="201" t="n"/>
      <c r="D193" s="16" t="inlineStr">
        <is>
          <t>Workiva</t>
        </is>
      </c>
      <c r="E193" s="201" t="n"/>
      <c r="F193" s="16" t="inlineStr">
        <is>
          <t>Senior Partner Sales Executive</t>
        </is>
      </c>
      <c r="G193" s="201" t="n"/>
      <c r="H193" s="16" t="inlineStr">
        <is>
          <t>Partner GTM responsibility with a partnerships director reporting line.</t>
        </is>
      </c>
      <c r="I193" s="202" t="n"/>
      <c r="J193" s="201" t="n"/>
      <c r="K193" s="16" t="inlineStr">
        <is>
          <t>Brazil-specific role; not proof of the full alliance hierarchy.</t>
        </is>
      </c>
      <c r="L193" s="202" t="n"/>
      <c r="M193" s="201" t="n"/>
      <c r="N193" s="16" t="inlineStr">
        <is>
          <t>Brazil</t>
        </is>
      </c>
      <c r="O193" s="16" t="inlineStr">
        <is>
          <t>https://workiva.wd503.myworkdayjobs.com/careers/job/remote---brazil/senior-partner-sales-executive---brazil_r12195</t>
        </is>
      </c>
    </row>
    <row r="194" ht="119" customHeight="1">
      <c r="A194" s="13" t="inlineStr">
        <is>
          <t>N15</t>
        </is>
      </c>
      <c r="B194" s="16" t="inlineStr">
        <is>
          <t>Lens 1 direct peer</t>
        </is>
      </c>
      <c r="C194" s="201" t="n"/>
      <c r="D194" s="16" t="inlineStr">
        <is>
          <t>Workiva</t>
        </is>
      </c>
      <c r="E194" s="201" t="n"/>
      <c r="F194" s="16" t="inlineStr">
        <is>
          <t>Customer Success Manager</t>
        </is>
      </c>
      <c r="G194" s="201" t="n"/>
      <c r="H194" s="16" t="inlineStr">
        <is>
          <t>Assigned accounts, adoption, customer outcomes and renewal coordination.</t>
        </is>
      </c>
      <c r="I194" s="202" t="n"/>
      <c r="J194" s="201" t="n"/>
      <c r="K194" s="16" t="inlineStr">
        <is>
          <t>Language and territory requirements are local overlays.</t>
        </is>
      </c>
      <c r="L194" s="202" t="n"/>
      <c r="M194" s="201" t="n"/>
      <c r="N194" s="16" t="inlineStr">
        <is>
          <t>Netherlands / Sweden</t>
        </is>
      </c>
      <c r="O194" s="16" t="inlineStr">
        <is>
          <t>https://workiva.wd503.myworkdayjobs.com/en-US/careers/job/Customer-Success-Manager---Finnish-Speaker_R11553-1</t>
        </is>
      </c>
    </row>
    <row r="195" ht="132" customHeight="1">
      <c r="A195" s="13" t="inlineStr">
        <is>
          <t>N16</t>
        </is>
      </c>
      <c r="B195" s="16" t="inlineStr">
        <is>
          <t>Lens 1 direct peer</t>
        </is>
      </c>
      <c r="C195" s="201" t="n"/>
      <c r="D195" s="16" t="inlineStr">
        <is>
          <t>Workiva</t>
        </is>
      </c>
      <c r="E195" s="201" t="n"/>
      <c r="F195" s="16" t="inlineStr">
        <is>
          <t>Lead Customer Success Manager, Public Sector</t>
        </is>
      </c>
      <c r="G195" s="201" t="n"/>
      <c r="H195" s="16" t="inlineStr">
        <is>
          <t>Complex public-sector account portfolios, executive engagement and escalations.</t>
        </is>
      </c>
      <c r="I195" s="202" t="n"/>
      <c r="J195" s="201" t="n"/>
      <c r="K195" s="16" t="inlineStr">
        <is>
          <t>Cross-geography comparison with N15 is directional, not a certified promotion sequence.</t>
        </is>
      </c>
      <c r="L195" s="202" t="n"/>
      <c r="M195" s="201" t="n"/>
      <c r="N195" s="16" t="inlineStr">
        <is>
          <t>USA</t>
        </is>
      </c>
      <c r="O195" s="16" t="inlineStr">
        <is>
          <t>https://workiva.wd503.myworkdayjobs.com/careers/job/usa---remote/lead-customer-success-manager--public-sector_r12417</t>
        </is>
      </c>
    </row>
    <row r="196" ht="106" customHeight="1">
      <c r="A196" s="13" t="inlineStr">
        <is>
          <t>N17</t>
        </is>
      </c>
      <c r="B196" s="16" t="inlineStr">
        <is>
          <t>Lens 1 direct peer</t>
        </is>
      </c>
      <c r="C196" s="201" t="n"/>
      <c r="D196" s="16" t="inlineStr">
        <is>
          <t>Workiva</t>
        </is>
      </c>
      <c r="E196" s="201" t="n"/>
      <c r="F196" s="16" t="inlineStr">
        <is>
          <t>VP of Customer Experience</t>
        </is>
      </c>
      <c r="G196" s="201" t="n"/>
      <c r="H196" s="16" t="inlineStr">
        <is>
          <t>Broad support, customer education, community and digital-experience leadership.</t>
        </is>
      </c>
      <c r="I196" s="202" t="n"/>
      <c r="J196" s="201" t="n"/>
      <c r="K196" s="16" t="inlineStr">
        <is>
          <t>A shared functional destination, not a separate VP for every support specialism.</t>
        </is>
      </c>
      <c r="L196" s="202" t="n"/>
      <c r="M196" s="201" t="n"/>
      <c r="N196" s="16" t="inlineStr">
        <is>
          <t>USA</t>
        </is>
      </c>
      <c r="O196" s="16" t="inlineStr">
        <is>
          <t>https://workiva.wd503.myworkdayjobs.com/careers/job/USA---Remote/VP-of-Customer-Experience_R11897</t>
        </is>
      </c>
    </row>
    <row r="197" ht="93" customHeight="1">
      <c r="A197" s="13" t="inlineStr">
        <is>
          <t>N18</t>
        </is>
      </c>
      <c r="B197" s="16" t="inlineStr">
        <is>
          <t>Lens 1 direct peer</t>
        </is>
      </c>
      <c r="C197" s="201" t="n"/>
      <c r="D197" s="16" t="inlineStr">
        <is>
          <t>Workiva</t>
        </is>
      </c>
      <c r="E197" s="201" t="n"/>
      <c r="F197" s="16" t="inlineStr">
        <is>
          <t>Product Support Engineer</t>
        </is>
      </c>
      <c r="G197" s="201" t="n"/>
      <c r="H197" s="16" t="inlineStr">
        <is>
          <t>Product diagnosis, customer cases, knowledge articles and junior mentoring.</t>
        </is>
      </c>
      <c r="I197" s="202" t="n"/>
      <c r="J197" s="201" t="n"/>
      <c r="K197" s="16" t="inlineStr">
        <is>
          <t>Customer product support, not internal employee IT.</t>
        </is>
      </c>
      <c r="L197" s="202" t="n"/>
      <c r="M197" s="201" t="n"/>
      <c r="N197" s="16" t="inlineStr">
        <is>
          <t>UK / Netherlands</t>
        </is>
      </c>
      <c r="O197" s="16" t="inlineStr">
        <is>
          <t>https://workiva.wd503.myworkdayjobs.com/en-US/careers/job/Product-Support-Engineer_R11734</t>
        </is>
      </c>
    </row>
    <row r="198" ht="132" customHeight="1">
      <c r="A198" s="13" t="inlineStr">
        <is>
          <t>N19</t>
        </is>
      </c>
      <c r="B198" s="16" t="inlineStr">
        <is>
          <t>Lens 1 direct peer</t>
        </is>
      </c>
      <c r="C198" s="201" t="n"/>
      <c r="D198" s="16" t="inlineStr">
        <is>
          <t>Workiva</t>
        </is>
      </c>
      <c r="E198" s="201" t="n"/>
      <c r="F198" s="16" t="inlineStr">
        <is>
          <t>Senior Manager of Product Support</t>
        </is>
      </c>
      <c r="G198" s="201" t="n"/>
      <c r="H198" s="16" t="inlineStr">
        <is>
          <t>Formal support-team leadership and full performance-cycle ownership.</t>
        </is>
      </c>
      <c r="I198" s="202" t="n"/>
      <c r="J198" s="201" t="n"/>
      <c r="K198" s="16" t="inlineStr">
        <is>
          <t>Evidence distinguishes people management from technical case leadership.</t>
        </is>
      </c>
      <c r="L198" s="202" t="n"/>
      <c r="M198" s="201" t="n"/>
      <c r="N198" s="16" t="inlineStr">
        <is>
          <t>Netherlands</t>
        </is>
      </c>
      <c r="O198" s="16" t="inlineStr">
        <is>
          <t>https://workiva.wd503.myworkdayjobs.com/en-US/careers/job/Senior-Manager-of-Product-Support---FRX---Capital-Markets_R11869</t>
        </is>
      </c>
    </row>
    <row r="199" ht="119" customHeight="1">
      <c r="A199" s="13" t="inlineStr">
        <is>
          <t>N20</t>
        </is>
      </c>
      <c r="B199" s="16" t="inlineStr">
        <is>
          <t>Lens 1 direct peer</t>
        </is>
      </c>
      <c r="C199" s="201" t="n"/>
      <c r="D199" s="16" t="inlineStr">
        <is>
          <t>Workiva</t>
        </is>
      </c>
      <c r="E199" s="201" t="n"/>
      <c r="F199" s="16" t="inlineStr">
        <is>
          <t>Senior AV Engineer</t>
        </is>
      </c>
      <c r="G199" s="201" t="n"/>
      <c r="H199" s="16" t="inlineStr">
        <is>
          <t>Independently recommends equipment and coordinates vendors without purchasing authority.</t>
        </is>
      </c>
      <c r="I199" s="202" t="n"/>
      <c r="J199" s="201" t="n"/>
      <c r="K199" s="16" t="inlineStr">
        <is>
          <t>Adjacent to workplace/IT, not a facilities or procurement ladder.</t>
        </is>
      </c>
      <c r="L199" s="202" t="n"/>
      <c r="M199" s="201" t="n"/>
      <c r="N199" s="16" t="inlineStr">
        <is>
          <t>USA</t>
        </is>
      </c>
      <c r="O199" s="16" t="inlineStr">
        <is>
          <t>https://workiva.wd503.myworkdayjobs.com/en-US/careers/job/Senior-AV-Engineer---Hybrid--Ames--IA-Office-_R11923</t>
        </is>
      </c>
    </row>
    <row r="200" ht="67" customHeight="1">
      <c r="A200" s="13" t="inlineStr">
        <is>
          <t>N21</t>
        </is>
      </c>
      <c r="B200" s="16" t="inlineStr">
        <is>
          <t>Lens 1 direct peer</t>
        </is>
      </c>
      <c r="C200" s="201" t="n"/>
      <c r="D200" s="16" t="inlineStr">
        <is>
          <t>Regnology</t>
        </is>
      </c>
      <c r="E200" s="201" t="n"/>
      <c r="F200" s="16" t="inlineStr">
        <is>
          <t>IT Technical Writer</t>
        </is>
      </c>
      <c r="G200" s="201" t="n"/>
      <c r="H200" s="16" t="inlineStr">
        <is>
          <t>Banking-product documentation, domain accuracy and documentation-as-code.</t>
        </is>
      </c>
      <c r="I200" s="202" t="n"/>
      <c r="J200" s="201" t="n"/>
      <c r="K200" s="16" t="inlineStr">
        <is>
          <t>Distinct from document conversion; supports a proposed technical-writing branch.</t>
        </is>
      </c>
      <c r="L200" s="202" t="n"/>
      <c r="M200" s="201" t="n"/>
      <c r="N200" s="16" t="inlineStr">
        <is>
          <t>Tunisia</t>
        </is>
      </c>
      <c r="O200" s="16" t="inlineStr">
        <is>
          <t>https://www.regnology.net/en/careers/detail/?id=2644483</t>
        </is>
      </c>
    </row>
    <row r="201" ht="67" customHeight="1">
      <c r="A201" s="13" t="inlineStr">
        <is>
          <t>N22</t>
        </is>
      </c>
      <c r="B201" s="16" t="inlineStr">
        <is>
          <t>Lens 2 domain practice</t>
        </is>
      </c>
      <c r="C201" s="201" t="n"/>
      <c r="D201" s="16" t="inlineStr">
        <is>
          <t>Dropbox</t>
        </is>
      </c>
      <c r="E201" s="201" t="n"/>
      <c r="F201" s="16" t="inlineStr">
        <is>
          <t>Engineering career framework v2.9.1</t>
        </is>
      </c>
      <c r="G201" s="201" t="n"/>
      <c r="H201" s="16" t="inlineStr">
        <is>
          <t>Separate software, QA, SDET, reliability, ML, data, security and management paths.</t>
        </is>
      </c>
      <c r="I201" s="202" t="n"/>
      <c r="J201" s="201" t="n"/>
      <c r="K201" s="16" t="inlineStr">
        <is>
          <t>Published discipline paths differ in length. Neither Dropbox codes nor pay levels are copied.</t>
        </is>
      </c>
      <c r="L201" s="202" t="n"/>
      <c r="M201" s="201" t="n"/>
      <c r="N201" s="16" t="inlineStr">
        <is>
          <t>Global</t>
        </is>
      </c>
      <c r="O201" s="16" t="inlineStr">
        <is>
          <t>https://dropbox.github.io/dbx-career-framework/index.html</t>
        </is>
      </c>
    </row>
    <row r="202" ht="41" customHeight="1">
      <c r="A202" s="13" t="inlineStr">
        <is>
          <t>N23</t>
        </is>
      </c>
      <c r="B202" s="16" t="inlineStr">
        <is>
          <t>Lens 2 other sector</t>
        </is>
      </c>
      <c r="C202" s="201" t="n"/>
      <c r="D202" s="16" t="inlineStr">
        <is>
          <t>Wise</t>
        </is>
      </c>
      <c r="E202" s="201" t="n"/>
      <c r="F202" s="16" t="inlineStr">
        <is>
          <t>Product career map</t>
        </is>
      </c>
      <c r="G202" s="201" t="n"/>
      <c r="H202" s="16" t="inlineStr">
        <is>
          <t>Product ownership expands from features through broader product and team portfolios.</t>
        </is>
      </c>
      <c r="I202" s="202" t="n"/>
      <c r="J202" s="201" t="n"/>
      <c r="K202" s="16" t="inlineStr">
        <is>
          <t>Company-specific path; leadership terms do not automatically mean people management.</t>
        </is>
      </c>
      <c r="L202" s="202" t="n"/>
      <c r="M202" s="201" t="n"/>
      <c r="N202" s="16" t="inlineStr">
        <is>
          <t>Global</t>
        </is>
      </c>
      <c r="O202" s="16" t="inlineStr">
        <is>
          <t>https://wise.jobs/product-career-map</t>
        </is>
      </c>
    </row>
    <row r="203" ht="41" customHeight="1">
      <c r="A203" s="13" t="inlineStr">
        <is>
          <t>N24</t>
        </is>
      </c>
      <c r="B203" s="16" t="inlineStr">
        <is>
          <t>Lens 2 other sector</t>
        </is>
      </c>
      <c r="C203" s="201" t="n"/>
      <c r="D203" s="16" t="inlineStr">
        <is>
          <t>Wise</t>
        </is>
      </c>
      <c r="E203" s="201" t="n"/>
      <c r="F203" s="16" t="inlineStr">
        <is>
          <t>Analytics career map</t>
        </is>
      </c>
      <c r="G203" s="201" t="n"/>
      <c r="H203" s="16" t="inlineStr">
        <is>
          <t>Separate IC and analytics leadership paths; responsibility and skills are distinct.</t>
        </is>
      </c>
      <c r="I203" s="202" t="n"/>
      <c r="J203" s="201" t="n"/>
      <c r="K203" s="16" t="inlineStr">
        <is>
          <t>Published job expectations support scope design; salary figures excluded.</t>
        </is>
      </c>
      <c r="L203" s="202" t="n"/>
      <c r="M203" s="201" t="n"/>
      <c r="N203" s="16" t="inlineStr">
        <is>
          <t>Global</t>
        </is>
      </c>
      <c r="O203" s="16" t="inlineStr">
        <is>
          <t>https://wise.jobs/analytics-career-map</t>
        </is>
      </c>
    </row>
    <row r="204" ht="54" customHeight="1">
      <c r="A204" s="13" t="inlineStr">
        <is>
          <t>N25</t>
        </is>
      </c>
      <c r="B204" s="16" t="inlineStr">
        <is>
          <t>Lens 2 other sector</t>
        </is>
      </c>
      <c r="C204" s="201" t="n"/>
      <c r="D204" s="16" t="inlineStr">
        <is>
          <t>Wise</t>
        </is>
      </c>
      <c r="E204" s="201" t="n"/>
      <c r="F204" s="16" t="inlineStr">
        <is>
          <t>Data science career map</t>
        </is>
      </c>
      <c r="G204" s="201" t="n"/>
      <c r="H204" s="16" t="inlineStr">
        <is>
          <t>Published data-science levels describe wider ownership, problem solving and influence.</t>
        </is>
      </c>
      <c r="I204" s="202" t="n"/>
      <c r="J204" s="201" t="n"/>
      <c r="K204" s="16" t="inlineStr">
        <is>
          <t>Data-science evidence replaces the V1 use of data-engineering titles for this discipline.</t>
        </is>
      </c>
      <c r="L204" s="202" t="n"/>
      <c r="M204" s="201" t="n"/>
      <c r="N204" s="16" t="inlineStr">
        <is>
          <t>Global</t>
        </is>
      </c>
      <c r="O204" s="16" t="inlineStr">
        <is>
          <t>https://wise.jobs/data-science-career-map</t>
        </is>
      </c>
    </row>
    <row r="205" ht="119" customHeight="1">
      <c r="A205" s="13" t="inlineStr">
        <is>
          <t>N26</t>
        </is>
      </c>
      <c r="B205" s="16" t="inlineStr">
        <is>
          <t>Lens 2 professional standard</t>
        </is>
      </c>
      <c r="C205" s="201" t="n"/>
      <c r="D205" s="16" t="inlineStr">
        <is>
          <t>NIST</t>
        </is>
      </c>
      <c r="E205" s="201" t="n"/>
      <c r="F205" s="16" t="inlineStr">
        <is>
          <t>NICE framework current components</t>
        </is>
      </c>
      <c r="G205" s="201" t="n"/>
      <c r="H205" s="16" t="inlineStr">
        <is>
          <t>Separates cybersecurity work roles, tasks, knowledge and skills; current listed components v2.2.0.</t>
        </is>
      </c>
      <c r="I205" s="202" t="n"/>
      <c r="J205" s="201" t="n"/>
      <c r="K205" s="16" t="inlineStr">
        <is>
          <t>Work roles are not corporate grades. Retain version and do not infer maturity from title.</t>
        </is>
      </c>
      <c r="L205" s="202" t="n"/>
      <c r="M205" s="201" t="n"/>
      <c r="N205" s="16" t="inlineStr">
        <is>
          <t>Global</t>
        </is>
      </c>
      <c r="O205" s="16" t="inlineStr">
        <is>
          <t>https://www.nist.gov/itl/applied-cybersecurity/nice/nice-framework-resource-center/nice-framework-current-versions</t>
        </is>
      </c>
    </row>
    <row r="206" ht="132" customHeight="1">
      <c r="A206" s="13" t="inlineStr">
        <is>
          <t>N27</t>
        </is>
      </c>
      <c r="B206" s="16" t="inlineStr">
        <is>
          <t>Method</t>
        </is>
      </c>
      <c r="C206" s="201" t="n"/>
      <c r="D206" s="16" t="inlineStr">
        <is>
          <t>ILO</t>
        </is>
      </c>
      <c r="E206" s="201" t="n"/>
      <c r="F206" s="16" t="inlineStr">
        <is>
          <t>Gender-neutral job evaluation guide</t>
        </is>
      </c>
      <c r="G206" s="201" t="n"/>
      <c r="H206" s="16" t="inlineStr">
        <is>
          <t>Analytical evaluation considers skills, effort, responsibility and working conditions.</t>
        </is>
      </c>
      <c r="I206" s="202" t="n"/>
      <c r="J206" s="201" t="n"/>
      <c r="K206" s="16" t="inlineStr">
        <is>
          <t>2009 methodology, not a validation of the proposed weights or current legal advice.</t>
        </is>
      </c>
      <c r="L206" s="202" t="n"/>
      <c r="M206" s="201" t="n"/>
      <c r="N206" s="16" t="inlineStr">
        <is>
          <t>Global</t>
        </is>
      </c>
      <c r="O206" s="16" t="inlineStr">
        <is>
          <t>https://www.ilo.org/sites/default/files/wcmsp5/groups/public/%40ed_norm/%40declaration/documents/publication/wcms_122372.pdf</t>
        </is>
      </c>
    </row>
    <row r="207" ht="80" customHeight="1">
      <c r="A207" s="13" t="inlineStr">
        <is>
          <t>N28</t>
        </is>
      </c>
      <c r="B207" s="16" t="inlineStr">
        <is>
          <t>Lens 2 professional standard</t>
        </is>
      </c>
      <c r="C207" s="201" t="n"/>
      <c r="D207" s="16" t="inlineStr">
        <is>
          <t>Chartered Governance Institute</t>
        </is>
      </c>
      <c r="E207" s="201" t="n"/>
      <c r="F207" s="16" t="inlineStr">
        <is>
          <t>Governance competency framework</t>
        </is>
      </c>
      <c r="G207" s="201" t="n"/>
      <c r="H207" s="16" t="inlineStr">
        <is>
          <t>Governance capability develops through entry, emerging, established and expert stages.</t>
        </is>
      </c>
      <c r="I207" s="202" t="n"/>
      <c r="J207" s="201" t="n"/>
      <c r="K207" s="16" t="inlineStr">
        <is>
          <t>Competence stages are not statutory appointments or corporate grades.</t>
        </is>
      </c>
      <c r="L207" s="202" t="n"/>
      <c r="M207" s="201" t="n"/>
      <c r="N207" s="16" t="inlineStr">
        <is>
          <t>Global</t>
        </is>
      </c>
      <c r="O207" s="16" t="inlineStr">
        <is>
          <t>https://www.cgi.org.uk/qualifications-training/competency-framework/</t>
        </is>
      </c>
    </row>
    <row r="208" ht="80" customHeight="1">
      <c r="A208" s="13" t="inlineStr">
        <is>
          <t>N29</t>
        </is>
      </c>
      <c r="B208" s="16" t="inlineStr">
        <is>
          <t>Lens 2 professional standard</t>
        </is>
      </c>
      <c r="C208" s="201" t="n"/>
      <c r="D208" s="16" t="inlineStr">
        <is>
          <t>Association of Corporate Treasurers</t>
        </is>
      </c>
      <c r="E208" s="201" t="n"/>
      <c r="F208" s="16" t="inlineStr">
        <is>
          <t>Treasury competency framework</t>
        </is>
      </c>
      <c r="G208" s="201" t="n"/>
      <c r="H208" s="16" t="inlineStr">
        <is>
          <t>Treasury has tactical, operational, managerial and strategic responsibility contexts.</t>
        </is>
      </c>
      <c r="I208" s="202" t="n"/>
      <c r="J208" s="201" t="n"/>
      <c r="K208" s="16" t="inlineStr">
        <is>
          <t>Use treasury scope; salary guidance and external level codes are excluded.</t>
        </is>
      </c>
      <c r="L208" s="202" t="n"/>
      <c r="M208" s="201" t="n"/>
      <c r="N208" s="16" t="inlineStr">
        <is>
          <t>Global</t>
        </is>
      </c>
      <c r="O208" s="16" t="inlineStr">
        <is>
          <t>https://www.treasurers.org/cpd-and-training/competency-framework/</t>
        </is>
      </c>
    </row>
    <row r="209" ht="80" customHeight="1">
      <c r="A209" s="13" t="inlineStr">
        <is>
          <t>N30</t>
        </is>
      </c>
      <c r="B209" s="16" t="inlineStr">
        <is>
          <t>Lens 2 professional standard</t>
        </is>
      </c>
      <c r="C209" s="201" t="n"/>
      <c r="D209" s="16" t="inlineStr">
        <is>
          <t>APM</t>
        </is>
      </c>
      <c r="E209" s="201" t="n"/>
      <c r="F209" s="16" t="inlineStr">
        <is>
          <t>Competence framework</t>
        </is>
      </c>
      <c r="G209" s="201" t="n"/>
      <c r="H209" s="16" t="inlineStr">
        <is>
          <t>Separate project, programme, portfolio and PMO roles with knowledge/application criteria.</t>
        </is>
      </c>
      <c r="I209" s="202" t="n"/>
      <c r="J209" s="201" t="n"/>
      <c r="K209" s="16" t="inlineStr">
        <is>
          <t>Competency ratings are not job-size grades or a compulsory career sequence.</t>
        </is>
      </c>
      <c r="L209" s="202" t="n"/>
      <c r="M209" s="201" t="n"/>
      <c r="N209" s="16" t="inlineStr">
        <is>
          <t>Global</t>
        </is>
      </c>
      <c r="O209" s="16" t="inlineStr">
        <is>
          <t>https://www.apm.org.uk/resources/find-a-resource/competence-framework/</t>
        </is>
      </c>
    </row>
    <row r="210" ht="93" customHeight="1">
      <c r="A210" s="13" t="inlineStr">
        <is>
          <t>N31</t>
        </is>
      </c>
      <c r="B210" s="16" t="inlineStr">
        <is>
          <t>Lens 2 professional standard</t>
        </is>
      </c>
      <c r="C210" s="201" t="n"/>
      <c r="D210" s="16" t="inlineStr">
        <is>
          <t>ATD</t>
        </is>
      </c>
      <c r="E210" s="201" t="n"/>
      <c r="F210" s="16" t="inlineStr">
        <is>
          <t>Talent Development Capability Model</t>
        </is>
      </c>
      <c r="G210" s="201" t="n"/>
      <c r="H210" s="16" t="inlineStr">
        <is>
          <t>Development capabilities cover personal, professional and organisational practice.</t>
        </is>
      </c>
      <c r="I210" s="202" t="n"/>
      <c r="J210" s="201" t="n"/>
      <c r="K210" s="16" t="inlineStr">
        <is>
          <t>Capability model guides L&amp;D role content; does not grade jobs.</t>
        </is>
      </c>
      <c r="L210" s="202" t="n"/>
      <c r="M210" s="201" t="n"/>
      <c r="N210" s="16" t="inlineStr">
        <is>
          <t>Global</t>
        </is>
      </c>
      <c r="O210" s="16" t="inlineStr">
        <is>
          <t>https://www.td.org/chapters/clc/talent-development-capability-model-chapter-resources</t>
        </is>
      </c>
    </row>
    <row r="211" ht="80" customHeight="1">
      <c r="A211" s="13" t="inlineStr">
        <is>
          <t>N32</t>
        </is>
      </c>
      <c r="B211" s="16" t="inlineStr">
        <is>
          <t>Lens 2 professional standard</t>
        </is>
      </c>
      <c r="C211" s="201" t="n"/>
      <c r="D211" s="16" t="inlineStr">
        <is>
          <t>CIPS</t>
        </is>
      </c>
      <c r="E211" s="201" t="n"/>
      <c r="F211" s="16" t="inlineStr">
        <is>
          <t>Global Standard for procurement and supply</t>
        </is>
      </c>
      <c r="G211" s="201" t="n"/>
      <c r="H211" s="16" t="inlineStr">
        <is>
          <t>Current overview uses Delivering, Managing, Leading and Influencing bands.</t>
        </is>
      </c>
      <c r="I211" s="202" t="n"/>
      <c r="J211" s="201" t="n"/>
      <c r="K211" s="16" t="inlineStr">
        <is>
          <t>Do not carry forward an older five-band model or map qualification levels to grades.</t>
        </is>
      </c>
      <c r="L211" s="202" t="n"/>
      <c r="M211" s="201" t="n"/>
      <c r="N211" s="16" t="inlineStr">
        <is>
          <t>Global</t>
        </is>
      </c>
      <c r="O211" s="16" t="inlineStr">
        <is>
          <t>https://www.cips.org/intelligence-hub/global-standard-for-procurement-supply</t>
        </is>
      </c>
    </row>
    <row r="212" ht="80" customHeight="1">
      <c r="A212" s="13" t="inlineStr">
        <is>
          <t>N33</t>
        </is>
      </c>
      <c r="B212" s="16" t="inlineStr">
        <is>
          <t>Lens 2 professional standard</t>
        </is>
      </c>
      <c r="C212" s="201" t="n"/>
      <c r="D212" s="16" t="inlineStr">
        <is>
          <t>IIA</t>
        </is>
      </c>
      <c r="E212" s="201" t="n"/>
      <c r="F212" s="16" t="inlineStr">
        <is>
          <t>Internal Auditing Competency Framework, 2025</t>
        </is>
      </c>
      <c r="G212" s="201" t="n"/>
      <c r="H212" s="16" t="inlineStr">
        <is>
          <t>Updated guidance identifies audit knowledge, skills and proficiency expectations.</t>
        </is>
      </c>
      <c r="I212" s="202" t="n"/>
      <c r="J212" s="201" t="n"/>
      <c r="K212" s="16" t="inlineStr">
        <is>
          <t>Overview only; detailed member templates not inspected.</t>
        </is>
      </c>
      <c r="L212" s="202" t="n"/>
      <c r="M212" s="201" t="n"/>
      <c r="N212" s="16" t="inlineStr">
        <is>
          <t>Global</t>
        </is>
      </c>
      <c r="O212" s="16" t="inlineStr">
        <is>
          <t>https://www.theiia.org/en/content/guidance/global/competency-framework/</t>
        </is>
      </c>
    </row>
    <row r="213" ht="158" customHeight="1">
      <c r="A213" s="13" t="inlineStr">
        <is>
          <t>N34</t>
        </is>
      </c>
      <c r="B213" s="16" t="inlineStr">
        <is>
          <t>Lens 2 professional standard</t>
        </is>
      </c>
      <c r="C213" s="201" t="n"/>
      <c r="D213" s="16" t="inlineStr">
        <is>
          <t>ACCA</t>
        </is>
      </c>
      <c r="E213" s="201" t="n"/>
      <c r="F213" s="16" t="inlineStr">
        <is>
          <t>Career Navigator capability model</t>
        </is>
      </c>
      <c r="G213" s="201" t="n"/>
      <c r="H213" s="16" t="inlineStr">
        <is>
          <t>Role requirements combine technical and wider business capabilities across finance careers.</t>
        </is>
      </c>
      <c r="I213" s="202" t="n"/>
      <c r="J213" s="201" t="n"/>
      <c r="K213" s="16" t="inlineStr">
        <is>
          <t>Qualification completion is not automatic corporate seniority.</t>
        </is>
      </c>
      <c r="L213" s="202" t="n"/>
      <c r="M213" s="201" t="n"/>
      <c r="N213" s="16" t="inlineStr">
        <is>
          <t>Global</t>
        </is>
      </c>
      <c r="O213" s="16" t="inlineStr">
        <is>
          <t>https://www.accaglobal.com/gb/en/employer/train-and-develop-finance-talent/what-skills-and-competencies-does-the-acca-qualification-develop.html</t>
        </is>
      </c>
    </row>
    <row r="214" ht="80" customHeight="1">
      <c r="A214" s="13" t="inlineStr">
        <is>
          <t>N35</t>
        </is>
      </c>
      <c r="B214" s="16" t="inlineStr">
        <is>
          <t>Lens 2 other sector</t>
        </is>
      </c>
      <c r="C214" s="201" t="n"/>
      <c r="D214" s="16" t="inlineStr">
        <is>
          <t>Skills England</t>
        </is>
      </c>
      <c r="E214" s="201" t="n"/>
      <c r="F214" s="16" t="inlineStr">
        <is>
          <t>Sales executive occupational standard</t>
        </is>
      </c>
      <c r="G214" s="201" t="n"/>
      <c r="H214" s="16" t="inlineStr">
        <is>
          <t>Sales work includes needs analysis, end-to-end selling and growing accounts.</t>
        </is>
      </c>
      <c r="I214" s="202" t="n"/>
      <c r="J214" s="201" t="n"/>
      <c r="K214" s="16" t="inlineStr">
        <is>
          <t>Apprenticeship level is educational and must not become a job grade.</t>
        </is>
      </c>
      <c r="L214" s="202" t="n"/>
      <c r="M214" s="201" t="n"/>
      <c r="N214" s="16" t="inlineStr">
        <is>
          <t>UK</t>
        </is>
      </c>
      <c r="O214" s="16" t="inlineStr">
        <is>
          <t>https://skillsengland.education.gov.uk/apprenticeship-standards/st0572-v1-1</t>
        </is>
      </c>
    </row>
    <row r="215" ht="41" customHeight="1">
      <c r="A215" s="13" t="inlineStr">
        <is>
          <t>N36</t>
        </is>
      </c>
      <c r="B215" s="16" t="inlineStr">
        <is>
          <t>Lens 2 professional standard</t>
        </is>
      </c>
      <c r="C215" s="201" t="n"/>
      <c r="D215" s="16" t="inlineStr">
        <is>
          <t>IIA</t>
        </is>
      </c>
      <c r="E215" s="201" t="n"/>
      <c r="F215" s="16" t="inlineStr">
        <is>
          <t>Global Internal Audit Standards</t>
        </is>
      </c>
      <c r="G215" s="201" t="n"/>
      <c r="H215" s="16" t="inlineStr">
        <is>
          <t>Professional standards address the effective governance and practice of internal audit.</t>
        </is>
      </c>
      <c r="I215" s="202" t="n"/>
      <c r="J215" s="201" t="n"/>
      <c r="K215" s="16" t="inlineStr">
        <is>
          <t>A role taxonomy must preserve audit independence; it is not a reporting-line mandate for every firm.</t>
        </is>
      </c>
      <c r="L215" s="202" t="n"/>
      <c r="M215" s="201" t="n"/>
      <c r="N215" s="16" t="inlineStr">
        <is>
          <t>Global</t>
        </is>
      </c>
      <c r="O215" s="16" t="inlineStr">
        <is>
          <t>https://www.theiia.org/en/standards/</t>
        </is>
      </c>
    </row>
    <row r="216" ht="54" customHeight="1">
      <c r="A216" s="13" t="inlineStr">
        <is>
          <t>R03</t>
        </is>
      </c>
      <c r="B216" s="16" t="inlineStr">
        <is>
          <t>Lens 1</t>
        </is>
      </c>
      <c r="C216" s="201" t="n"/>
      <c r="D216" s="16" t="inlineStr">
        <is>
          <t>DataTracks</t>
        </is>
      </c>
      <c r="E216" s="201" t="n"/>
      <c r="F216" s="16" t="inlineStr">
        <is>
          <t>Published career openings</t>
        </is>
      </c>
      <c r="G216" s="201" t="n"/>
      <c r="H216" s="16" t="inlineStr">
        <is>
          <t>Associate Document Specialist, Senior Associate Document Specialist and Business Development Executive are published in Chennai.</t>
        </is>
      </c>
      <c r="I216" s="202" t="n"/>
      <c r="J216" s="201" t="n"/>
      <c r="K216" s="16" t="inlineStr">
        <is>
          <t>Observable role titles only. No complete manager-to-executive ladder is published on this page.</t>
        </is>
      </c>
      <c r="L216" s="202" t="n"/>
      <c r="M216" s="201" t="n"/>
      <c r="N216" s="16" t="inlineStr">
        <is>
          <t>India</t>
        </is>
      </c>
      <c r="O216" s="16" t="inlineStr">
        <is>
          <t>https://datatracks.com/careers/</t>
        </is>
      </c>
    </row>
    <row r="217" ht="67" customHeight="1">
      <c r="A217" s="13" t="inlineStr">
        <is>
          <t>R05</t>
        </is>
      </c>
      <c r="B217" s="16" t="inlineStr">
        <is>
          <t>Lens 1</t>
        </is>
      </c>
      <c r="C217" s="201" t="n"/>
      <c r="D217" s="16" t="inlineStr">
        <is>
          <t>Regnology</t>
        </is>
      </c>
      <c r="E217" s="201" t="n"/>
      <c r="F217" s="16" t="inlineStr">
        <is>
          <t>Senior risk consultant</t>
        </is>
      </c>
      <c r="G217" s="201" t="n"/>
      <c r="H217" s="16" t="inlineStr">
        <is>
          <t>A senior risk consultant is described as a domain expert delivering functional financial-institution implementations.</t>
        </is>
      </c>
      <c r="I217" s="202" t="n"/>
      <c r="J217" s="201" t="n"/>
      <c r="K217" s="16" t="inlineStr">
        <is>
          <t>Risk implementation example from Poland; adjacent to XBRL advisory, not identical. No employer grade equivalence.</t>
        </is>
      </c>
      <c r="L217" s="202" t="n"/>
      <c r="M217" s="201" t="n"/>
      <c r="N217" s="16" t="inlineStr">
        <is>
          <t>Global</t>
        </is>
      </c>
      <c r="O217" s="16" t="inlineStr">
        <is>
          <t>https://regnology.jobs.personio.de/job/2645750?language=en</t>
        </is>
      </c>
    </row>
    <row r="218" ht="93" customHeight="1">
      <c r="A218" s="13" t="inlineStr">
        <is>
          <t>R06</t>
        </is>
      </c>
      <c r="B218" s="16" t="inlineStr">
        <is>
          <t>Lens 1</t>
        </is>
      </c>
      <c r="C218" s="201" t="n"/>
      <c r="D218" s="16" t="inlineStr">
        <is>
          <t>Workiva</t>
        </is>
      </c>
      <c r="E218" s="201" t="n"/>
      <c r="F218" s="16" t="inlineStr">
        <is>
          <t>Staff data engineer</t>
        </is>
      </c>
      <c r="G218" s="201" t="n"/>
      <c r="H218" s="16" t="inlineStr">
        <is>
          <t>The posting assigns ownership of data foundations across GRC engineering.</t>
        </is>
      </c>
      <c r="I218" s="202" t="n"/>
      <c r="J218" s="201" t="n"/>
      <c r="K218" s="16" t="inlineStr">
        <is>
          <t>Same requisition has inconsistent indexed text across locale URLs. Use the data-specific canonical extract; title and full grade remain uncertain.</t>
        </is>
      </c>
      <c r="L218" s="202" t="n"/>
      <c r="M218" s="201" t="n"/>
      <c r="N218" s="16" t="inlineStr">
        <is>
          <t>USA</t>
        </is>
      </c>
      <c r="O218" s="16" t="inlineStr">
        <is>
          <t>https://workiva.wd503.myworkdayjobs.com/careers/job/Staff-Data-Engineer_R12046</t>
        </is>
      </c>
    </row>
    <row r="219" ht="119" customHeight="1">
      <c r="A219" s="13" t="inlineStr">
        <is>
          <t>R08</t>
        </is>
      </c>
      <c r="B219" s="16" t="inlineStr">
        <is>
          <t>Lens 1</t>
        </is>
      </c>
      <c r="C219" s="201" t="n"/>
      <c r="D219" s="16" t="inlineStr">
        <is>
          <t>Workiva</t>
        </is>
      </c>
      <c r="E219" s="201" t="n"/>
      <c r="F219" s="16" t="inlineStr">
        <is>
          <t>Vice president product marketing</t>
        </is>
      </c>
      <c r="G219" s="201" t="n"/>
      <c r="H219" s="16" t="inlineStr">
        <is>
          <t>The position leads portfolio positioning, go-to-market strategy and a large product-marketing team.</t>
        </is>
      </c>
      <c r="I219" s="202" t="n"/>
      <c r="J219" s="201" t="n"/>
      <c r="K219" s="16" t="inlineStr">
        <is>
          <t>Supports functional executive scope. Does not mean every marketing speciality needs a VP.</t>
        </is>
      </c>
      <c r="L219" s="202" t="n"/>
      <c r="M219" s="201" t="n"/>
      <c r="N219" s="16" t="inlineStr">
        <is>
          <t>USA</t>
        </is>
      </c>
      <c r="O219" s="16" t="inlineStr">
        <is>
          <t>https://workiva.wd503.myworkdayjobs.com/careers/job/usa---remote/vice-president-of-product-marketing_r12408</t>
        </is>
      </c>
    </row>
    <row r="220" ht="119" customHeight="1">
      <c r="A220" s="13" t="inlineStr">
        <is>
          <t>R09</t>
        </is>
      </c>
      <c r="B220" s="16" t="inlineStr">
        <is>
          <t>Lens 1</t>
        </is>
      </c>
      <c r="C220" s="201" t="n"/>
      <c r="D220" s="16" t="inlineStr">
        <is>
          <t>Workiva</t>
        </is>
      </c>
      <c r="E220" s="201" t="n"/>
      <c r="F220" s="16" t="inlineStr">
        <is>
          <t>Lead program manager</t>
        </is>
      </c>
      <c r="G220" s="201" t="n"/>
      <c r="H220" s="16" t="inlineStr">
        <is>
          <t>The role coordinates complex cross-functional revenue programs, dependencies, adoption and outcomes.</t>
        </is>
      </c>
      <c r="I220" s="202" t="n"/>
      <c r="J220" s="201" t="n"/>
      <c r="K220" s="16" t="inlineStr">
        <is>
          <t>Program leadership can operate through influence without formal reporting authority.</t>
        </is>
      </c>
      <c r="L220" s="202" t="n"/>
      <c r="M220" s="201" t="n"/>
      <c r="N220" s="16" t="inlineStr">
        <is>
          <t>USA</t>
        </is>
      </c>
      <c r="O220" s="16" t="inlineStr">
        <is>
          <t>https://workiva.wd503.myworkdayjobs.com/careers/job/USA---Remote/Lead-Program-Manager---GTM-Acceleration_R11909</t>
        </is>
      </c>
    </row>
    <row r="221" ht="106" customHeight="1">
      <c r="A221" s="13" t="inlineStr">
        <is>
          <t>R10</t>
        </is>
      </c>
      <c r="B221" s="16" t="inlineStr">
        <is>
          <t>Lens 1</t>
        </is>
      </c>
      <c r="C221" s="201" t="n"/>
      <c r="D221" s="16" t="inlineStr">
        <is>
          <t>Workiva</t>
        </is>
      </c>
      <c r="E221" s="201" t="n"/>
      <c r="F221" s="16" t="inlineStr">
        <is>
          <t>Lead data product manager</t>
        </is>
      </c>
      <c r="G221" s="201" t="n"/>
      <c r="H221" s="16" t="inlineStr">
        <is>
          <t>The position owns data-product requirements, quality and adoption with finance and people stakeholders.</t>
        </is>
      </c>
      <c r="I221" s="202" t="n"/>
      <c r="J221" s="201" t="n"/>
      <c r="K221" s="16" t="inlineStr">
        <is>
          <t>Product ownership is distinct from engineering or people management.</t>
        </is>
      </c>
      <c r="L221" s="202" t="n"/>
      <c r="M221" s="201" t="n"/>
      <c r="N221" s="16" t="inlineStr">
        <is>
          <t>USA</t>
        </is>
      </c>
      <c r="O221" s="16" t="inlineStr">
        <is>
          <t>https://workiva.wd503.myworkdayjobs.com/en-US/careers/job/Lead-Data-Product-Manager_R12042</t>
        </is>
      </c>
    </row>
    <row r="222" ht="54" customHeight="1">
      <c r="A222" s="13" t="inlineStr">
        <is>
          <t>R13</t>
        </is>
      </c>
      <c r="B222" s="16" t="inlineStr">
        <is>
          <t>Lens 1</t>
        </is>
      </c>
      <c r="C222" s="201" t="n"/>
      <c r="D222" s="16" t="inlineStr">
        <is>
          <t>CoreFiling</t>
        </is>
      </c>
      <c r="E222" s="201" t="n"/>
      <c r="F222" s="16" t="inlineStr">
        <is>
          <t>Careers and technical context</t>
        </is>
      </c>
      <c r="G222" s="201" t="n"/>
      <c r="H222" s="16" t="inlineStr">
        <is>
          <t>Careers content links regulatory-domain expertise with Java, microservices, Kubernetes, training and rotations.</t>
        </is>
      </c>
      <c r="I222" s="202" t="n"/>
      <c r="J222" s="201" t="n"/>
      <c r="K222" s="16" t="inlineStr">
        <is>
          <t>Describes development practice but does not publish a full level hierarchy.</t>
        </is>
      </c>
      <c r="L222" s="202" t="n"/>
      <c r="M222" s="201" t="n"/>
      <c r="N222" s="16" t="inlineStr">
        <is>
          <t>Global</t>
        </is>
      </c>
      <c r="O222" s="16" t="inlineStr">
        <is>
          <t>https://www.corefiling.com/company/careers/</t>
        </is>
      </c>
    </row>
    <row r="223" ht="67" customHeight="1">
      <c r="A223" s="13" t="inlineStr">
        <is>
          <t>R16</t>
        </is>
      </c>
      <c r="B223" s="16" t="inlineStr">
        <is>
          <t>Lens 1 adjacent</t>
        </is>
      </c>
      <c r="C223" s="201" t="n"/>
      <c r="D223" s="16" t="inlineStr">
        <is>
          <t>S&amp;P Global</t>
        </is>
      </c>
      <c r="E223" s="201" t="n"/>
      <c r="F223" s="16" t="inlineStr">
        <is>
          <t>Lead data analyst</t>
        </is>
      </c>
      <c r="G223" s="201" t="n"/>
      <c r="H223" s="16" t="inlineStr">
        <is>
          <t>The listed duties include financial-data sourcing, validation, reconciliation and escalation within SOPs.</t>
        </is>
      </c>
      <c r="I223" s="202" t="n"/>
      <c r="J223" s="201" t="n"/>
      <c r="K223" s="16" t="inlineStr">
        <is>
          <t>Lead title coexists with bounded operating duties. Title alone cannot size the role; direct fetch returned 403.</t>
        </is>
      </c>
      <c r="L223" s="202" t="n"/>
      <c r="M223" s="201" t="n"/>
      <c r="N223" s="16" t="inlineStr">
        <is>
          <t>India</t>
        </is>
      </c>
      <c r="O223" s="16" t="inlineStr">
        <is>
          <t>https://careers.spglobal.com/jobs/330702?lang=en-us</t>
        </is>
      </c>
    </row>
    <row r="224" ht="67" customHeight="1">
      <c r="A224" s="13" t="inlineStr">
        <is>
          <t>R19</t>
        </is>
      </c>
      <c r="B224" s="16" t="inlineStr">
        <is>
          <t>Lens 1 adjacent</t>
        </is>
      </c>
      <c r="C224" s="201" t="n"/>
      <c r="D224" s="16" t="inlineStr">
        <is>
          <t>SAP</t>
        </is>
      </c>
      <c r="E224" s="201" t="n"/>
      <c r="F224" s="16" t="inlineStr">
        <is>
          <t>Legal counsel</t>
        </is>
      </c>
      <c r="G224" s="201" t="n"/>
      <c r="H224" s="16" t="inlineStr">
        <is>
          <t>Bangalore counsel role covers independent privacy/AI legal advice, documentation and risk ownership.</t>
        </is>
      </c>
      <c r="I224" s="202" t="n"/>
      <c r="J224" s="201" t="n"/>
      <c r="K224" s="16" t="inlineStr">
        <is>
          <t>Privacy counsel is a legal sub-specialism, not company-secretarial work or the full commercial legal hierarchy.</t>
        </is>
      </c>
      <c r="L224" s="202" t="n"/>
      <c r="M224" s="201" t="n"/>
      <c r="N224" s="16" t="inlineStr">
        <is>
          <t>India</t>
        </is>
      </c>
      <c r="O224" s="16" t="inlineStr">
        <is>
          <t>https://jobs.sap.com/en/jobs/744000153442007/legal-counsel/</t>
        </is>
      </c>
    </row>
    <row r="225" ht="145" customHeight="1">
      <c r="A225" s="13" t="inlineStr">
        <is>
          <t>R20</t>
        </is>
      </c>
      <c r="B225" s="16" t="inlineStr">
        <is>
          <t>Lens 1 adjacent</t>
        </is>
      </c>
      <c r="C225" s="201" t="n"/>
      <c r="D225" s="16" t="inlineStr">
        <is>
          <t>Thomson Reuters</t>
        </is>
      </c>
      <c r="E225" s="201" t="n"/>
      <c r="F225" s="16" t="inlineStr">
        <is>
          <t>Senior accountant</t>
        </is>
      </c>
      <c r="G225" s="201" t="n"/>
      <c r="H225" s="16" t="inlineStr">
        <is>
          <t>An India posting provides senior-accountant nomenclature in an information-services employer.</t>
        </is>
      </c>
      <c r="I225" s="202" t="n"/>
      <c r="J225" s="201" t="n"/>
      <c r="K225" s="16" t="inlineStr">
        <is>
          <t>Adjacent sector example and selected accounting scope, not a universal finance level.</t>
        </is>
      </c>
      <c r="L225" s="202" t="n"/>
      <c r="M225" s="201" t="n"/>
      <c r="N225" s="16" t="inlineStr">
        <is>
          <t>India</t>
        </is>
      </c>
      <c r="O225" s="16" t="inlineStr">
        <is>
          <t>https://thomsonreuters.wd5.myworkdayjobs.com/en-US/External_Career_Site/job/Senior-Accountant---Fixed-Asset---Project-Accounting_JREQ200356</t>
        </is>
      </c>
    </row>
    <row r="226" ht="67" customHeight="1">
      <c r="A226" s="13" t="inlineStr">
        <is>
          <t>R21</t>
        </is>
      </c>
      <c r="B226" s="16" t="inlineStr">
        <is>
          <t>Lens 2</t>
        </is>
      </c>
      <c r="C226" s="201" t="n"/>
      <c r="D226" s="16" t="inlineStr">
        <is>
          <t>GitLab</t>
        </is>
      </c>
      <c r="E226" s="201" t="n"/>
      <c r="F226" s="16" t="inlineStr">
        <is>
          <t>Organizational structure</t>
        </is>
      </c>
      <c r="G226" s="201" t="n"/>
      <c r="H226" s="16" t="inlineStr">
        <is>
          <t>Public structure material separates IC and manager frameworks and links progression to business need and scope.</t>
        </is>
      </c>
      <c r="I226" s="202" t="n"/>
      <c r="J226" s="201" t="n"/>
      <c r="K226" s="16" t="inlineStr">
        <is>
          <t>Use the design principles; do not copy GitLab grades or spans automatically.</t>
        </is>
      </c>
      <c r="L226" s="202" t="n"/>
      <c r="M226" s="201" t="n"/>
      <c r="N226" s="16" t="inlineStr">
        <is>
          <t>Global</t>
        </is>
      </c>
      <c r="O226" s="16" t="inlineStr">
        <is>
          <t>https://handbook.gitlab.com/handbook/company/structure/</t>
        </is>
      </c>
    </row>
    <row r="227" ht="93" customHeight="1">
      <c r="A227" s="13" t="inlineStr">
        <is>
          <t>R24</t>
        </is>
      </c>
      <c r="B227" s="16" t="inlineStr">
        <is>
          <t>Lens 2</t>
        </is>
      </c>
      <c r="C227" s="201" t="n"/>
      <c r="D227" s="16" t="inlineStr">
        <is>
          <t>GitLab</t>
        </is>
      </c>
      <c r="E227" s="201" t="n"/>
      <c r="F227" s="16" t="inlineStr">
        <is>
          <t>Product design</t>
        </is>
      </c>
      <c r="G227" s="201" t="n"/>
      <c r="H227" s="16" t="inlineStr">
        <is>
          <t>Staff, principal and distinguished design roles broaden influence from a group to company-level direction.</t>
        </is>
      </c>
      <c r="I227" s="202" t="n"/>
      <c r="J227" s="201" t="n"/>
      <c r="K227" s="16" t="inlineStr">
        <is>
          <t>Provides an expert path, not a requirement for every design team to create those positions.</t>
        </is>
      </c>
      <c r="L227" s="202" t="n"/>
      <c r="M227" s="201" t="n"/>
      <c r="N227" s="16" t="inlineStr">
        <is>
          <t>Global</t>
        </is>
      </c>
      <c r="O227" s="16" t="inlineStr">
        <is>
          <t>https://handbook.gitlab.com/job-description-library/product/product-designer/</t>
        </is>
      </c>
    </row>
    <row r="228" ht="93" customHeight="1">
      <c r="A228" s="13" t="inlineStr">
        <is>
          <t>R26</t>
        </is>
      </c>
      <c r="B228" s="16" t="inlineStr">
        <is>
          <t>Lens 2</t>
        </is>
      </c>
      <c r="C228" s="201" t="n"/>
      <c r="D228" s="16" t="inlineStr">
        <is>
          <t>GitLab</t>
        </is>
      </c>
      <c r="E228" s="201" t="n"/>
      <c r="F228" s="16" t="inlineStr">
        <is>
          <t>Solutions architect</t>
        </is>
      </c>
      <c r="G228" s="201" t="n"/>
      <c r="H228" s="16" t="inlineStr">
        <is>
          <t>The role supports technical evaluation, solution validation and customer business value; an associate level is published.</t>
        </is>
      </c>
      <c r="I228" s="202" t="n"/>
      <c r="J228" s="201" t="n"/>
      <c r="K228" s="16" t="inlineStr">
        <is>
          <t>Sales solutions architecture is distinct from internal platform architecture.</t>
        </is>
      </c>
      <c r="L228" s="202" t="n"/>
      <c r="M228" s="201" t="n"/>
      <c r="N228" s="16" t="inlineStr">
        <is>
          <t>Global</t>
        </is>
      </c>
      <c r="O228" s="16" t="inlineStr">
        <is>
          <t>https://handbook.gitlab.com/job-description-library/sales/solutions-architect/</t>
        </is>
      </c>
    </row>
    <row r="229" ht="93" customHeight="1">
      <c r="A229" s="13" t="inlineStr">
        <is>
          <t>R27</t>
        </is>
      </c>
      <c r="B229" s="16" t="inlineStr">
        <is>
          <t>Lens 2</t>
        </is>
      </c>
      <c r="C229" s="201" t="n"/>
      <c r="D229" s="16" t="inlineStr">
        <is>
          <t>GitLab</t>
        </is>
      </c>
      <c r="E229" s="201" t="n"/>
      <c r="F229" s="16" t="inlineStr">
        <is>
          <t>Support engineer</t>
        </is>
      </c>
      <c r="G229" s="201" t="n"/>
      <c r="H229" s="16" t="inlineStr">
        <is>
          <t>The role handles product problems through customer tickets; associate and other support-engineering levels are documented.</t>
        </is>
      </c>
      <c r="I229" s="202" t="n"/>
      <c r="J229" s="201" t="n"/>
      <c r="K229" s="16" t="inlineStr">
        <is>
          <t>Do not treat customer support as the same discipline as IT service desk.</t>
        </is>
      </c>
      <c r="L229" s="202" t="n"/>
      <c r="M229" s="201" t="n"/>
      <c r="N229" s="16" t="inlineStr">
        <is>
          <t>Global</t>
        </is>
      </c>
      <c r="O229" s="16" t="inlineStr">
        <is>
          <t>https://handbook.gitlab.com/job-description-library/engineering/support-engineer/</t>
        </is>
      </c>
    </row>
    <row r="230" ht="106" customHeight="1">
      <c r="A230" s="13" t="inlineStr">
        <is>
          <t>R32</t>
        </is>
      </c>
      <c r="B230" s="16" t="inlineStr">
        <is>
          <t>Lens 2</t>
        </is>
      </c>
      <c r="C230" s="201" t="n"/>
      <c r="D230" s="16" t="inlineStr">
        <is>
          <t>GitLab</t>
        </is>
      </c>
      <c r="E230" s="201" t="n"/>
      <c r="F230" s="16" t="inlineStr">
        <is>
          <t>Legal counsel</t>
        </is>
      </c>
      <c r="G230" s="201" t="n"/>
      <c r="H230" s="16" t="inlineStr">
        <is>
          <t>Associate and counsel responsibilities are published; the page explicitly leaves the next career step undefined.</t>
        </is>
      </c>
      <c r="I230" s="202" t="n"/>
      <c r="J230" s="201" t="n"/>
      <c r="K230" s="16" t="inlineStr">
        <is>
          <t>Higher legal roles in the proposal are synthesized, not represented as GitLab's published full ladder.</t>
        </is>
      </c>
      <c r="L230" s="202" t="n"/>
      <c r="M230" s="201" t="n"/>
      <c r="N230" s="16" t="inlineStr">
        <is>
          <t>Global</t>
        </is>
      </c>
      <c r="O230" s="16" t="inlineStr">
        <is>
          <t>https://handbook.gitlab.com/job-description-library/legal-and-corporate-affairs/legal-counsel/</t>
        </is>
      </c>
    </row>
    <row r="231" ht="119" customHeight="1">
      <c r="A231" s="13" t="inlineStr">
        <is>
          <t>R33</t>
        </is>
      </c>
      <c r="B231" s="16" t="inlineStr">
        <is>
          <t>Lens 2</t>
        </is>
      </c>
      <c r="C231" s="201" t="n"/>
      <c r="D231" s="16" t="inlineStr">
        <is>
          <t>Whatfix</t>
        </is>
      </c>
      <c r="E231" s="201" t="n"/>
      <c r="F231" s="16" t="inlineStr">
        <is>
          <t>Sales development framework</t>
        </is>
      </c>
      <c r="G231" s="201" t="n"/>
      <c r="H231" s="16" t="inlineStr">
        <is>
          <t>The published framework distinguishes descriptive title, scope and competency expectations for sales development.</t>
        </is>
      </c>
      <c r="I231" s="202" t="n"/>
      <c r="J231" s="201" t="n"/>
      <c r="K231" s="16" t="inlineStr">
        <is>
          <t>Version history is 2023–2024. It is a dated India SaaS practice example, not current internal policy.</t>
        </is>
      </c>
      <c r="L231" s="202" t="n"/>
      <c r="M231" s="201" t="n"/>
      <c r="N231" s="16" t="inlineStr">
        <is>
          <t>Global</t>
        </is>
      </c>
      <c r="O231" s="16" t="inlineStr">
        <is>
          <t>https://whatfix.com/wp-content/uploads/2024/06/sales_development_team_-_career___competency_framework.pdf</t>
        </is>
      </c>
    </row>
    <row r="232" ht="54" customHeight="1">
      <c r="A232" s="13" t="inlineStr">
        <is>
          <t>R35</t>
        </is>
      </c>
      <c r="B232" s="16" t="inlineStr">
        <is>
          <t>Professional overlay</t>
        </is>
      </c>
      <c r="C232" s="201" t="n"/>
      <c r="D232" s="16" t="inlineStr">
        <is>
          <t>SFIA Foundation</t>
        </is>
      </c>
      <c r="E232" s="201" t="n"/>
      <c r="F232" s="16" t="inlineStr">
        <is>
          <t>SFIA 9 responsibility levels</t>
        </is>
      </c>
      <c r="G232" s="201" t="n"/>
      <c r="H232" s="16" t="inlineStr">
        <is>
          <t>Seven responsibility levels distinguish autonomy, influence, complexity and broader accountability.</t>
        </is>
      </c>
      <c r="I232" s="202" t="n"/>
      <c r="J232" s="201" t="n"/>
      <c r="K232" s="16" t="inlineStr">
        <is>
          <t>SFIA levels are skills/responsibility anchors, not salary grades or this model's 13 levels.</t>
        </is>
      </c>
      <c r="L232" s="202" t="n"/>
      <c r="M232" s="201" t="n"/>
      <c r="N232" s="16" t="inlineStr">
        <is>
          <t>Global</t>
        </is>
      </c>
      <c r="O232" s="16" t="inlineStr">
        <is>
          <t>https://sfia-online.org/en/sfia-9/responsibilities</t>
        </is>
      </c>
    </row>
    <row r="233" ht="106" customHeight="1">
      <c r="A233" s="13" t="inlineStr">
        <is>
          <t>R36</t>
        </is>
      </c>
      <c r="B233" s="16" t="inlineStr">
        <is>
          <t>Professional overlay</t>
        </is>
      </c>
      <c r="C233" s="201" t="n"/>
      <c r="D233" s="16" t="inlineStr">
        <is>
          <t>CIPD</t>
        </is>
      </c>
      <c r="E233" s="201" t="n"/>
      <c r="F233" s="16" t="inlineStr">
        <is>
          <t>Profession map impact levels</t>
        </is>
      </c>
      <c r="G233" s="201" t="n"/>
      <c r="H233" s="16" t="inlineStr">
        <is>
          <t>The four impact levels move from tactical work through operational complexity to strategic and sustained value.</t>
        </is>
      </c>
      <c r="I233" s="202" t="n"/>
      <c r="J233" s="201" t="n"/>
      <c r="K233" s="16" t="inlineStr">
        <is>
          <t>Membership designations and impact levels are not corporate job titles.</t>
        </is>
      </c>
      <c r="L233" s="202" t="n"/>
      <c r="M233" s="201" t="n"/>
      <c r="N233" s="16" t="inlineStr">
        <is>
          <t>Global</t>
        </is>
      </c>
      <c r="O233" s="16" t="inlineStr">
        <is>
          <t>https://www.cipd.org/en/the-people-profession/the-profession-map/explore-the-profession-map/levels/</t>
        </is>
      </c>
    </row>
    <row r="234" ht="106" customHeight="1">
      <c r="A234" s="13" t="inlineStr">
        <is>
          <t>R40</t>
        </is>
      </c>
      <c r="B234" s="16" t="inlineStr">
        <is>
          <t>Professional overlay</t>
        </is>
      </c>
      <c r="C234" s="201" t="n"/>
      <c r="D234" s="16" t="inlineStr">
        <is>
          <t>CIM</t>
        </is>
      </c>
      <c r="E234" s="201" t="n"/>
      <c r="F234" s="16" t="inlineStr">
        <is>
          <t>Global professional marketing framework</t>
        </is>
      </c>
      <c r="G234" s="201" t="n"/>
      <c r="H234" s="16" t="inlineStr">
        <is>
          <t>The framework differentiates marketing capabilities and five competency stages from aware to expert.</t>
        </is>
      </c>
      <c r="I234" s="202" t="n"/>
      <c r="J234" s="201" t="n"/>
      <c r="K234" s="16" t="inlineStr">
        <is>
          <t>Use concepts and attribution; this proposal does not reproduce or modify the licensed framework.</t>
        </is>
      </c>
      <c r="L234" s="202" t="n"/>
      <c r="M234" s="201" t="n"/>
      <c r="N234" s="16" t="inlineStr">
        <is>
          <t>Global</t>
        </is>
      </c>
      <c r="O234" s="16" t="inlineStr">
        <is>
          <t>https://www.cim.co.uk/membership/cim-standards/global-professional-marketing-framework-gpmf/</t>
        </is>
      </c>
    </row>
    <row r="235" ht="67" customHeight="1">
      <c r="A235" s="13" t="inlineStr">
        <is>
          <t>R42</t>
        </is>
      </c>
      <c r="B235" s="16" t="inlineStr">
        <is>
          <t>Professional overlay</t>
        </is>
      </c>
      <c r="C235" s="201" t="n"/>
      <c r="D235" s="16" t="inlineStr">
        <is>
          <t>XBRL International</t>
        </is>
      </c>
      <c r="E235" s="201" t="n"/>
      <c r="F235" s="16" t="inlineStr">
        <is>
          <t>Taxonomy quick start guide</t>
        </is>
      </c>
      <c r="G235" s="201" t="n"/>
      <c r="H235" s="16" t="inlineStr">
        <is>
          <t>Taxonomy development involves content, architecture, testing, documentation and lifecycle governance.</t>
        </is>
      </c>
      <c r="I235" s="202" t="n"/>
      <c r="J235" s="201" t="n"/>
      <c r="K235" s="16" t="inlineStr">
        <is>
          <t>The page labels the guide a review draft published in 2023. Role design uses its technical process concepts.</t>
        </is>
      </c>
      <c r="L235" s="202" t="n"/>
      <c r="M235" s="201" t="n"/>
      <c r="N235" s="16" t="inlineStr">
        <is>
          <t>Global</t>
        </is>
      </c>
      <c r="O235" s="16" t="inlineStr">
        <is>
          <t>https://www.xbrl.org/guidance/taxonomy-quick-start-guide/</t>
        </is>
      </c>
    </row>
    <row r="236" ht="41" customHeight="1">
      <c r="A236" s="13" t="inlineStr">
        <is>
          <t>R44</t>
        </is>
      </c>
      <c r="B236" s="16" t="inlineStr">
        <is>
          <t>Professional overlay</t>
        </is>
      </c>
      <c r="C236" s="201" t="n"/>
      <c r="D236" s="16" t="inlineStr">
        <is>
          <t>IFMA</t>
        </is>
      </c>
      <c r="E236" s="201" t="n"/>
      <c r="F236" s="16" t="inlineStr">
        <is>
          <t>Facility management competencies</t>
        </is>
      </c>
      <c r="G236" s="201" t="n"/>
      <c r="H236" s="16" t="inlineStr">
        <is>
          <t>Facility management integrates people, places and processes and spans several competence domains.</t>
        </is>
      </c>
      <c r="I236" s="202" t="n"/>
      <c r="J236" s="201" t="n"/>
      <c r="K236" s="16" t="inlineStr">
        <is>
          <t>Facilities and workplace roles have broader scope than general office administration.</t>
        </is>
      </c>
      <c r="L236" s="202" t="n"/>
      <c r="M236" s="201" t="n"/>
      <c r="N236" s="16" t="inlineStr">
        <is>
          <t>Global</t>
        </is>
      </c>
      <c r="O236" s="16" t="inlineStr">
        <is>
          <t>https://www.ifma.org/about/what-is-fm/</t>
        </is>
      </c>
    </row>
    <row r="237" ht="93" customHeight="1">
      <c r="A237" s="13" t="inlineStr">
        <is>
          <t>R49</t>
        </is>
      </c>
      <c r="B237" s="16" t="inlineStr">
        <is>
          <t>Lens 2 other</t>
        </is>
      </c>
      <c r="C237" s="201" t="n"/>
      <c r="D237" s="16" t="inlineStr">
        <is>
          <t>UK Government</t>
        </is>
      </c>
      <c r="E237" s="201" t="n"/>
      <c r="F237" s="16" t="inlineStr">
        <is>
          <t>Business analyst role levels</t>
        </is>
      </c>
      <c r="G237" s="201" t="n"/>
      <c r="H237" s="16" t="inlineStr">
        <is>
          <t>The current public framework identifies trainee, junior, practitioner, senior, lead and head roles.</t>
        </is>
      </c>
      <c r="I237" s="202" t="n"/>
      <c r="J237" s="201" t="n"/>
      <c r="K237" s="16" t="inlineStr">
        <is>
          <t>Updated August 2026. Civil Service grades are not private-sector corporate levels.</t>
        </is>
      </c>
      <c r="L237" s="202" t="n"/>
      <c r="M237" s="201" t="n"/>
      <c r="N237" s="16" t="inlineStr">
        <is>
          <t>Global</t>
        </is>
      </c>
      <c r="O237" s="16" t="inlineStr">
        <is>
          <t>https://understand-digital-data-roles-skills.service.gov.uk/role/business-analyst/</t>
        </is>
      </c>
    </row>
    <row r="238" ht="15" customHeight="1"/>
    <row r="239" ht="20" customHeight="1">
      <c r="A239" s="6" t="inlineStr">
        <is>
          <t>R6. Websites referenced</t>
        </is>
      </c>
    </row>
    <row r="240" ht="15" customHeight="1">
      <c r="A240" s="12" t="inlineStr">
        <is>
          <t>Website</t>
        </is>
      </c>
      <c r="B240" s="202" t="n"/>
      <c r="C240" s="201" t="n"/>
      <c r="D240" s="12" t="inlineStr">
        <is>
          <t>References</t>
        </is>
      </c>
      <c r="E240" s="12" t="inlineStr">
        <is>
          <t>Example link</t>
        </is>
      </c>
      <c r="F240" s="202" t="n"/>
      <c r="G240" s="202" t="n"/>
      <c r="H240" s="202" t="n"/>
      <c r="I240" s="202" t="n"/>
      <c r="J240" s="202" t="n"/>
      <c r="K240" s="202" t="n"/>
      <c r="L240" s="202" t="n"/>
      <c r="M240" s="202" t="n"/>
      <c r="N240" s="202" t="n"/>
      <c r="O240" s="201" t="n"/>
    </row>
    <row r="241" ht="15" customHeight="1">
      <c r="A241" s="13" t="inlineStr">
        <is>
          <t>levels.fyi</t>
        </is>
      </c>
      <c r="B241" s="202" t="n"/>
      <c r="C241" s="201" t="n"/>
      <c r="D241" s="15" t="n">
        <v>9</v>
      </c>
      <c r="E241" s="16" t="inlineStr">
        <is>
          <t>https://www.levels.fyi/companies/workiva/salaries/software-engineer</t>
        </is>
      </c>
      <c r="F241" s="202" t="n"/>
      <c r="G241" s="202" t="n"/>
      <c r="H241" s="202" t="n"/>
      <c r="I241" s="202" t="n"/>
      <c r="J241" s="202" t="n"/>
      <c r="K241" s="202" t="n"/>
      <c r="L241" s="202" t="n"/>
      <c r="M241" s="202" t="n"/>
      <c r="N241" s="202" t="n"/>
      <c r="O241" s="201" t="n"/>
    </row>
    <row r="242" ht="15" customHeight="1">
      <c r="A242" s="13" t="inlineStr">
        <is>
          <t>designgurus.io</t>
        </is>
      </c>
      <c r="B242" s="202" t="n"/>
      <c r="C242" s="201" t="n"/>
      <c r="D242" s="15" t="n">
        <v>7</v>
      </c>
      <c r="E242" s="16" t="inlineStr">
        <is>
          <t>https://www.designgurus.io/blog/salesforce-software-engineer-levels</t>
        </is>
      </c>
      <c r="F242" s="202" t="n"/>
      <c r="G242" s="202" t="n"/>
      <c r="H242" s="202" t="n"/>
      <c r="I242" s="202" t="n"/>
      <c r="J242" s="202" t="n"/>
      <c r="K242" s="202" t="n"/>
      <c r="L242" s="202" t="n"/>
      <c r="M242" s="202" t="n"/>
      <c r="N242" s="202" t="n"/>
      <c r="O242" s="201" t="n"/>
    </row>
    <row r="243" ht="15" customHeight="1">
      <c r="A243" s="13" t="inlineStr">
        <is>
          <t>sfia-online.org</t>
        </is>
      </c>
      <c r="B243" s="202" t="n"/>
      <c r="C243" s="201" t="n"/>
      <c r="D243" s="15" t="n">
        <v>4</v>
      </c>
      <c r="E243" s="16" t="inlineStr">
        <is>
          <t>https://sfia-online.org/en/about-sfia/how-sfia-works</t>
        </is>
      </c>
      <c r="F243" s="202" t="n"/>
      <c r="G243" s="202" t="n"/>
      <c r="H243" s="202" t="n"/>
      <c r="I243" s="202" t="n"/>
      <c r="J243" s="202" t="n"/>
      <c r="K243" s="202" t="n"/>
      <c r="L243" s="202" t="n"/>
      <c r="M243" s="202" t="n"/>
      <c r="N243" s="202" t="n"/>
      <c r="O243" s="201" t="n"/>
    </row>
    <row r="244" ht="28" customHeight="1">
      <c r="A244" s="13" t="inlineStr">
        <is>
          <t>canada.ca</t>
        </is>
      </c>
      <c r="B244" s="202" t="n"/>
      <c r="C244" s="201" t="n"/>
      <c r="D244" s="15" t="n">
        <v>3</v>
      </c>
      <c r="E244" s="16" t="inlineStr">
        <is>
          <t>https://www.canada.ca/en/treasury-board-secretariat/services/collective-agreements/job-evaluation/executive-group-position-evaluation-plan-september-2005.html</t>
        </is>
      </c>
      <c r="F244" s="202" t="n"/>
      <c r="G244" s="202" t="n"/>
      <c r="H244" s="202" t="n"/>
      <c r="I244" s="202" t="n"/>
      <c r="J244" s="202" t="n"/>
      <c r="K244" s="202" t="n"/>
      <c r="L244" s="202" t="n"/>
      <c r="M244" s="202" t="n"/>
      <c r="N244" s="202" t="n"/>
      <c r="O244" s="201" t="n"/>
    </row>
    <row r="245" ht="15" customHeight="1">
      <c r="A245" s="13" t="inlineStr">
        <is>
          <t>cfoshortlist.com</t>
        </is>
      </c>
      <c r="B245" s="202" t="n"/>
      <c r="C245" s="201" t="n"/>
      <c r="D245" s="15" t="n">
        <v>3</v>
      </c>
      <c r="E245" s="16" t="inlineStr">
        <is>
          <t>https://www.cfoshortlist.com/reports/sec-reporting-software</t>
        </is>
      </c>
      <c r="F245" s="202" t="n"/>
      <c r="G245" s="202" t="n"/>
      <c r="H245" s="202" t="n"/>
      <c r="I245" s="202" t="n"/>
      <c r="J245" s="202" t="n"/>
      <c r="K245" s="202" t="n"/>
      <c r="L245" s="202" t="n"/>
      <c r="M245" s="202" t="n"/>
      <c r="N245" s="202" t="n"/>
      <c r="O245" s="201" t="n"/>
    </row>
    <row r="246" ht="15" customHeight="1">
      <c r="A246" s="13" t="inlineStr">
        <is>
          <t>regnology.net</t>
        </is>
      </c>
      <c r="B246" s="202" t="n"/>
      <c r="C246" s="201" t="n"/>
      <c r="D246" s="15" t="n">
        <v>3</v>
      </c>
      <c r="E246" s="16" t="inlineStr">
        <is>
          <t>https://www.regnology.net/en/careers/detail/?id=2527504</t>
        </is>
      </c>
      <c r="F246" s="202" t="n"/>
      <c r="G246" s="202" t="n"/>
      <c r="H246" s="202" t="n"/>
      <c r="I246" s="202" t="n"/>
      <c r="J246" s="202" t="n"/>
      <c r="K246" s="202" t="n"/>
      <c r="L246" s="202" t="n"/>
      <c r="M246" s="202" t="n"/>
      <c r="N246" s="202" t="n"/>
      <c r="O246" s="201" t="n"/>
    </row>
    <row r="247" ht="15" customHeight="1">
      <c r="A247" s="13" t="inlineStr">
        <is>
          <t>support.pave.com</t>
        </is>
      </c>
      <c r="B247" s="202" t="n"/>
      <c r="C247" s="201" t="n"/>
      <c r="D247" s="15" t="n">
        <v>3</v>
      </c>
      <c r="E247" s="16" t="inlineStr">
        <is>
          <t>https://support.pave.com/articles/understand-job-levels-SiKTjMHZtr.md</t>
        </is>
      </c>
      <c r="F247" s="202" t="n"/>
      <c r="G247" s="202" t="n"/>
      <c r="H247" s="202" t="n"/>
      <c r="I247" s="202" t="n"/>
      <c r="J247" s="202" t="n"/>
      <c r="K247" s="202" t="n"/>
      <c r="L247" s="202" t="n"/>
      <c r="M247" s="202" t="n"/>
      <c r="N247" s="202" t="n"/>
      <c r="O247" s="201" t="n"/>
    </row>
    <row r="248" ht="15" customHeight="1">
      <c r="A248" s="13" t="inlineStr">
        <is>
          <t>builtin.com</t>
        </is>
      </c>
      <c r="B248" s="202" t="n"/>
      <c r="C248" s="201" t="n"/>
      <c r="D248" s="15" t="n">
        <v>2</v>
      </c>
      <c r="E248" s="16" t="inlineStr">
        <is>
          <t>https://builtin.com/job/professional-services-manager/3581840</t>
        </is>
      </c>
      <c r="F248" s="202" t="n"/>
      <c r="G248" s="202" t="n"/>
      <c r="H248" s="202" t="n"/>
      <c r="I248" s="202" t="n"/>
      <c r="J248" s="202" t="n"/>
      <c r="K248" s="202" t="n"/>
      <c r="L248" s="202" t="n"/>
      <c r="M248" s="202" t="n"/>
      <c r="N248" s="202" t="n"/>
      <c r="O248" s="201" t="n"/>
    </row>
    <row r="249" ht="15" customHeight="1">
      <c r="A249" s="13" t="inlineStr">
        <is>
          <t>centralbanking.com</t>
        </is>
      </c>
      <c r="B249" s="202" t="n"/>
      <c r="C249" s="201" t="n"/>
      <c r="D249" s="15" t="n">
        <v>2</v>
      </c>
      <c r="E249" s="16" t="inlineStr">
        <is>
          <t>https://www.centralbanking.com/awards/7941536/technology-services-regulatory-regnology</t>
        </is>
      </c>
      <c r="F249" s="202" t="n"/>
      <c r="G249" s="202" t="n"/>
      <c r="H249" s="202" t="n"/>
      <c r="I249" s="202" t="n"/>
      <c r="J249" s="202" t="n"/>
      <c r="K249" s="202" t="n"/>
      <c r="L249" s="202" t="n"/>
      <c r="M249" s="202" t="n"/>
      <c r="N249" s="202" t="n"/>
      <c r="O249" s="201" t="n"/>
    </row>
    <row r="250" ht="15" customHeight="1">
      <c r="A250" s="13" t="inlineStr">
        <is>
          <t>datatracks.com</t>
        </is>
      </c>
      <c r="B250" s="202" t="n"/>
      <c r="C250" s="201" t="n"/>
      <c r="D250" s="15" t="n">
        <v>2</v>
      </c>
      <c r="E250" s="16" t="inlineStr">
        <is>
          <t>https://www.datatracks.com/in/careers/</t>
        </is>
      </c>
      <c r="F250" s="202" t="n"/>
      <c r="G250" s="202" t="n"/>
      <c r="H250" s="202" t="n"/>
      <c r="I250" s="202" t="n"/>
      <c r="J250" s="202" t="n"/>
      <c r="K250" s="202" t="n"/>
      <c r="L250" s="202" t="n"/>
      <c r="M250" s="202" t="n"/>
      <c r="N250" s="202" t="n"/>
      <c r="O250" s="201" t="n"/>
    </row>
    <row r="251" ht="15" customHeight="1">
      <c r="A251" s="13" t="inlineStr">
        <is>
          <t>deloitte.com</t>
        </is>
      </c>
      <c r="B251" s="202" t="n"/>
      <c r="C251" s="201" t="n"/>
      <c r="D251" s="15" t="n">
        <v>2</v>
      </c>
      <c r="E251" s="16" t="inlineStr">
        <is>
          <t>https://www.deloitte.com/us/en/insights/topics/talent/organizational-skill-based-hiring.html</t>
        </is>
      </c>
      <c r="F251" s="202" t="n"/>
      <c r="G251" s="202" t="n"/>
      <c r="H251" s="202" t="n"/>
      <c r="I251" s="202" t="n"/>
      <c r="J251" s="202" t="n"/>
      <c r="K251" s="202" t="n"/>
      <c r="L251" s="202" t="n"/>
      <c r="M251" s="202" t="n"/>
      <c r="N251" s="202" t="n"/>
      <c r="O251" s="201" t="n"/>
    </row>
    <row r="252" ht="15" customHeight="1">
      <c r="A252" s="13" t="inlineStr">
        <is>
          <t>gainsight.com</t>
        </is>
      </c>
      <c r="B252" s="202" t="n"/>
      <c r="C252" s="201" t="n"/>
      <c r="D252" s="15" t="n">
        <v>2</v>
      </c>
      <c r="E252" s="16" t="inlineStr">
        <is>
          <t>https://www.gainsight.com/blog/customer-success-career-opportunities/</t>
        </is>
      </c>
      <c r="F252" s="202" t="n"/>
      <c r="G252" s="202" t="n"/>
      <c r="H252" s="202" t="n"/>
      <c r="I252" s="202" t="n"/>
      <c r="J252" s="202" t="n"/>
      <c r="K252" s="202" t="n"/>
      <c r="L252" s="202" t="n"/>
      <c r="M252" s="202" t="n"/>
      <c r="N252" s="202" t="n"/>
      <c r="O252" s="201" t="n"/>
    </row>
    <row r="253" ht="15" customHeight="1">
      <c r="A253" s="13" t="inlineStr">
        <is>
          <t>handbook.gitlab.com</t>
        </is>
      </c>
      <c r="B253" s="202" t="n"/>
      <c r="C253" s="201" t="n"/>
      <c r="D253" s="15" t="n">
        <v>2</v>
      </c>
      <c r="E253" s="16" t="inlineStr">
        <is>
          <t>https://handbook.gitlab.com/handbook/company/structure/</t>
        </is>
      </c>
      <c r="F253" s="202" t="n"/>
      <c r="G253" s="202" t="n"/>
      <c r="H253" s="202" t="n"/>
      <c r="I253" s="202" t="n"/>
      <c r="J253" s="202" t="n"/>
      <c r="K253" s="202" t="n"/>
      <c r="L253" s="202" t="n"/>
      <c r="M253" s="202" t="n"/>
      <c r="N253" s="202" t="n"/>
      <c r="O253" s="201" t="n"/>
    </row>
    <row r="254" ht="15" customHeight="1">
      <c r="A254" s="13" t="inlineStr">
        <is>
          <t>help.figures.hr</t>
        </is>
      </c>
      <c r="B254" s="202" t="n"/>
      <c r="C254" s="201" t="n"/>
      <c r="D254" s="15" t="n">
        <v>2</v>
      </c>
      <c r="E254" s="16" t="inlineStr">
        <is>
          <t>https://help.figures.hr/en/articles/389223-mercer-levels</t>
        </is>
      </c>
      <c r="F254" s="202" t="n"/>
      <c r="G254" s="202" t="n"/>
      <c r="H254" s="202" t="n"/>
      <c r="I254" s="202" t="n"/>
      <c r="J254" s="202" t="n"/>
      <c r="K254" s="202" t="n"/>
      <c r="L254" s="202" t="n"/>
      <c r="M254" s="202" t="n"/>
      <c r="N254" s="202" t="n"/>
      <c r="O254" s="201" t="n"/>
    </row>
    <row r="255" ht="15" customHeight="1">
      <c r="A255" s="13" t="inlineStr">
        <is>
          <t>icsi.edu</t>
        </is>
      </c>
      <c r="B255" s="202" t="n"/>
      <c r="C255" s="201" t="n"/>
      <c r="D255" s="15" t="n">
        <v>2</v>
      </c>
      <c r="E255" s="16" t="inlineStr">
        <is>
          <t>https://www.icsi.edu</t>
        </is>
      </c>
      <c r="F255" s="202" t="n"/>
      <c r="G255" s="202" t="n"/>
      <c r="H255" s="202" t="n"/>
      <c r="I255" s="202" t="n"/>
      <c r="J255" s="202" t="n"/>
      <c r="K255" s="202" t="n"/>
      <c r="L255" s="202" t="n"/>
      <c r="M255" s="202" t="n"/>
      <c r="N255" s="202" t="n"/>
      <c r="O255" s="201" t="n"/>
    </row>
    <row r="256" ht="15" customHeight="1">
      <c r="A256" s="13" t="inlineStr">
        <is>
          <t>iiba.org</t>
        </is>
      </c>
      <c r="B256" s="202" t="n"/>
      <c r="C256" s="201" t="n"/>
      <c r="D256" s="15" t="n">
        <v>2</v>
      </c>
      <c r="E256" s="16" t="inlineStr">
        <is>
          <t>https://www.iiba.org</t>
        </is>
      </c>
      <c r="F256" s="202" t="n"/>
      <c r="G256" s="202" t="n"/>
      <c r="H256" s="202" t="n"/>
      <c r="I256" s="202" t="n"/>
      <c r="J256" s="202" t="n"/>
      <c r="K256" s="202" t="n"/>
      <c r="L256" s="202" t="n"/>
      <c r="M256" s="202" t="n"/>
      <c r="N256" s="202" t="n"/>
      <c r="O256" s="201" t="n"/>
    </row>
    <row r="257" ht="15" customHeight="1">
      <c r="A257" s="13" t="inlineStr">
        <is>
          <t>imanet.org</t>
        </is>
      </c>
      <c r="B257" s="202" t="n"/>
      <c r="C257" s="201" t="n"/>
      <c r="D257" s="15" t="n">
        <v>2</v>
      </c>
      <c r="E257" s="16" t="inlineStr">
        <is>
          <t>https://www.imanet.org/framework</t>
        </is>
      </c>
      <c r="F257" s="202" t="n"/>
      <c r="G257" s="202" t="n"/>
      <c r="H257" s="202" t="n"/>
      <c r="I257" s="202" t="n"/>
      <c r="J257" s="202" t="n"/>
      <c r="K257" s="202" t="n"/>
      <c r="L257" s="202" t="n"/>
      <c r="M257" s="202" t="n"/>
      <c r="N257" s="202" t="n"/>
      <c r="O257" s="201" t="n"/>
    </row>
    <row r="258" ht="15" customHeight="1">
      <c r="A258" s="13" t="inlineStr">
        <is>
          <t>iso.org</t>
        </is>
      </c>
      <c r="B258" s="202" t="n"/>
      <c r="C258" s="201" t="n"/>
      <c r="D258" s="15" t="n">
        <v>2</v>
      </c>
      <c r="E258" s="16" t="inlineStr">
        <is>
          <t>https://www.iso.org/standard/27001</t>
        </is>
      </c>
      <c r="F258" s="202" t="n"/>
      <c r="G258" s="202" t="n"/>
      <c r="H258" s="202" t="n"/>
      <c r="I258" s="202" t="n"/>
      <c r="J258" s="202" t="n"/>
      <c r="K258" s="202" t="n"/>
      <c r="L258" s="202" t="n"/>
      <c r="M258" s="202" t="n"/>
      <c r="N258" s="202" t="n"/>
      <c r="O258" s="201" t="n"/>
    </row>
    <row r="259" ht="15" customHeight="1">
      <c r="A259" s="13" t="inlineStr">
        <is>
          <t>istqb.org</t>
        </is>
      </c>
      <c r="B259" s="202" t="n"/>
      <c r="C259" s="201" t="n"/>
      <c r="D259" s="15" t="n">
        <v>2</v>
      </c>
      <c r="E259" s="16" t="inlineStr">
        <is>
          <t>https://www.istqb.org</t>
        </is>
      </c>
      <c r="F259" s="202" t="n"/>
      <c r="G259" s="202" t="n"/>
      <c r="H259" s="202" t="n"/>
      <c r="I259" s="202" t="n"/>
      <c r="J259" s="202" t="n"/>
      <c r="K259" s="202" t="n"/>
      <c r="L259" s="202" t="n"/>
      <c r="M259" s="202" t="n"/>
      <c r="N259" s="202" t="n"/>
      <c r="O259" s="201" t="n"/>
    </row>
    <row r="260" ht="15" customHeight="1">
      <c r="A260" s="13" t="inlineStr">
        <is>
          <t>jobrise.io</t>
        </is>
      </c>
      <c r="B260" s="202" t="n"/>
      <c r="C260" s="201" t="n"/>
      <c r="D260" s="15" t="n">
        <v>2</v>
      </c>
      <c r="E260" s="16" t="inlineStr">
        <is>
          <t>https://jobrise.io/hi/blog/accenture-salary-package-2026-india/</t>
        </is>
      </c>
      <c r="F260" s="202" t="n"/>
      <c r="G260" s="202" t="n"/>
      <c r="H260" s="202" t="n"/>
      <c r="I260" s="202" t="n"/>
      <c r="J260" s="202" t="n"/>
      <c r="K260" s="202" t="n"/>
      <c r="L260" s="202" t="n"/>
      <c r="M260" s="202" t="n"/>
      <c r="N260" s="202" t="n"/>
      <c r="O260" s="201" t="n"/>
    </row>
    <row r="261" ht="28" customHeight="1">
      <c r="A261" s="13" t="inlineStr">
        <is>
          <t>mckinsey.com</t>
        </is>
      </c>
      <c r="B261" s="202" t="n"/>
      <c r="C261" s="201" t="n"/>
      <c r="D261" s="15" t="n">
        <v>2</v>
      </c>
      <c r="E261" s="16" t="inlineStr">
        <is>
          <t>https://www.mckinsey.com/capabilities/people-and-organizational-performance/our-insights/how-to-identify-the-right-spans-of-control-for-your-organization</t>
        </is>
      </c>
      <c r="F261" s="202" t="n"/>
      <c r="G261" s="202" t="n"/>
      <c r="H261" s="202" t="n"/>
      <c r="I261" s="202" t="n"/>
      <c r="J261" s="202" t="n"/>
      <c r="K261" s="202" t="n"/>
      <c r="L261" s="202" t="n"/>
      <c r="M261" s="202" t="n"/>
      <c r="N261" s="202" t="n"/>
      <c r="O261" s="201" t="n"/>
    </row>
    <row r="262" ht="15" customHeight="1">
      <c r="A262" s="13" t="inlineStr">
        <is>
          <t>mercer.com</t>
        </is>
      </c>
      <c r="B262" s="202" t="n"/>
      <c r="C262" s="201" t="n"/>
      <c r="D262" s="15" t="n">
        <v>2</v>
      </c>
      <c r="E262" s="16" t="inlineStr">
        <is>
          <t>https://info.mercer.com/rs/521-DEV-513/images/MLS-Job-Catalogue.pdf</t>
        </is>
      </c>
      <c r="F262" s="202" t="n"/>
      <c r="G262" s="202" t="n"/>
      <c r="H262" s="202" t="n"/>
      <c r="I262" s="202" t="n"/>
      <c r="J262" s="202" t="n"/>
      <c r="K262" s="202" t="n"/>
      <c r="L262" s="202" t="n"/>
      <c r="M262" s="202" t="n"/>
      <c r="N262" s="202" t="n"/>
      <c r="O262" s="201" t="n"/>
    </row>
    <row r="263" ht="15" customHeight="1">
      <c r="A263" s="13" t="inlineStr">
        <is>
          <t>networkinterview.com</t>
        </is>
      </c>
      <c r="B263" s="202" t="n"/>
      <c r="C263" s="201" t="n"/>
      <c r="D263" s="15" t="n">
        <v>2</v>
      </c>
      <c r="E263" s="16" t="inlineStr">
        <is>
          <t>https://networkinterview.com/technical-hierarchy-deloitte-india/</t>
        </is>
      </c>
      <c r="F263" s="202" t="n"/>
      <c r="G263" s="202" t="n"/>
      <c r="H263" s="202" t="n"/>
      <c r="I263" s="202" t="n"/>
      <c r="J263" s="202" t="n"/>
      <c r="K263" s="202" t="n"/>
      <c r="L263" s="202" t="n"/>
      <c r="M263" s="202" t="n"/>
      <c r="N263" s="202" t="n"/>
      <c r="O263" s="201" t="n"/>
    </row>
    <row r="264" ht="15" customHeight="1">
      <c r="A264" s="13" t="inlineStr">
        <is>
          <t>pmi.org</t>
        </is>
      </c>
      <c r="B264" s="202" t="n"/>
      <c r="C264" s="201" t="n"/>
      <c r="D264" s="15" t="n">
        <v>2</v>
      </c>
      <c r="E264" s="16" t="inlineStr">
        <is>
          <t>https://www.pmi.org/certifications/certification-resources/maintain/talent-triangle</t>
        </is>
      </c>
      <c r="F264" s="202" t="n"/>
      <c r="G264" s="202" t="n"/>
      <c r="H264" s="202" t="n"/>
      <c r="I264" s="202" t="n"/>
      <c r="J264" s="202" t="n"/>
      <c r="K264" s="202" t="n"/>
      <c r="L264" s="202" t="n"/>
      <c r="M264" s="202" t="n"/>
      <c r="N264" s="202" t="n"/>
      <c r="O264" s="201" t="n"/>
    </row>
    <row r="265" ht="15" customHeight="1">
      <c r="A265" s="13" t="inlineStr">
        <is>
          <t>prospeo.io</t>
        </is>
      </c>
      <c r="B265" s="202" t="n"/>
      <c r="C265" s="201" t="n"/>
      <c r="D265" s="15" t="n">
        <v>2</v>
      </c>
      <c r="E265" s="16" t="inlineStr">
        <is>
          <t>https://prospeo.io/s/sales-titles-hierarchy</t>
        </is>
      </c>
      <c r="F265" s="202" t="n"/>
      <c r="G265" s="202" t="n"/>
      <c r="H265" s="202" t="n"/>
      <c r="I265" s="202" t="n"/>
      <c r="J265" s="202" t="n"/>
      <c r="K265" s="202" t="n"/>
      <c r="L265" s="202" t="n"/>
      <c r="M265" s="202" t="n"/>
      <c r="N265" s="202" t="n"/>
      <c r="O265" s="201" t="n"/>
    </row>
    <row r="266" ht="15" customHeight="1">
      <c r="A266" s="13" t="inlineStr">
        <is>
          <t>radford.aon.com</t>
        </is>
      </c>
      <c r="B266" s="202" t="n"/>
      <c r="C266" s="201" t="n"/>
      <c r="D266" s="15" t="n">
        <v>2</v>
      </c>
      <c r="E266" s="16" t="inlineStr">
        <is>
          <t>https://radford.aon.com/en-us/products/release-notes/2021/radford-job-architecture-leveling</t>
        </is>
      </c>
      <c r="F266" s="202" t="n"/>
      <c r="G266" s="202" t="n"/>
      <c r="H266" s="202" t="n"/>
      <c r="I266" s="202" t="n"/>
      <c r="J266" s="202" t="n"/>
      <c r="K266" s="202" t="n"/>
      <c r="L266" s="202" t="n"/>
      <c r="M266" s="202" t="n"/>
      <c r="N266" s="202" t="n"/>
      <c r="O266" s="201" t="n"/>
    </row>
    <row r="267" ht="15" customHeight="1">
      <c r="A267" s="13" t="inlineStr">
        <is>
          <t>shrm.org</t>
        </is>
      </c>
      <c r="B267" s="202" t="n"/>
      <c r="C267" s="201" t="n"/>
      <c r="D267" s="15" t="n">
        <v>2</v>
      </c>
      <c r="E267" s="16" t="inlineStr">
        <is>
          <t>https://www.shrm.org/credentials/certification/shrm-bask</t>
        </is>
      </c>
      <c r="F267" s="202" t="n"/>
      <c r="G267" s="202" t="n"/>
      <c r="H267" s="202" t="n"/>
      <c r="I267" s="202" t="n"/>
      <c r="J267" s="202" t="n"/>
      <c r="K267" s="202" t="n"/>
      <c r="L267" s="202" t="n"/>
      <c r="M267" s="202" t="n"/>
      <c r="N267" s="202" t="n"/>
      <c r="O267" s="201" t="n"/>
    </row>
    <row r="268" ht="15" customHeight="1">
      <c r="A268" s="13" t="inlineStr">
        <is>
          <t>testrigor.com</t>
        </is>
      </c>
      <c r="B268" s="202" t="n"/>
      <c r="C268" s="201" t="n"/>
      <c r="D268" s="15" t="n">
        <v>2</v>
      </c>
      <c r="E268" s="16" t="inlineStr">
        <is>
          <t>https://testrigor.com/blog/engineering-levels-in-different-companies-compared/</t>
        </is>
      </c>
      <c r="F268" s="202" t="n"/>
      <c r="G268" s="202" t="n"/>
      <c r="H268" s="202" t="n"/>
      <c r="I268" s="202" t="n"/>
      <c r="J268" s="202" t="n"/>
      <c r="K268" s="202" t="n"/>
      <c r="L268" s="202" t="n"/>
      <c r="M268" s="202" t="n"/>
      <c r="N268" s="202" t="n"/>
      <c r="O268" s="201" t="n"/>
    </row>
    <row r="269" ht="15" customHeight="1">
      <c r="A269" s="13" t="inlineStr">
        <is>
          <t>tsia.com</t>
        </is>
      </c>
      <c r="B269" s="202" t="n"/>
      <c r="C269" s="201" t="n"/>
      <c r="D269" s="15" t="n">
        <v>2</v>
      </c>
      <c r="E269" s="16" t="inlineStr">
        <is>
          <t>https://www.tsia.com</t>
        </is>
      </c>
      <c r="F269" s="202" t="n"/>
      <c r="G269" s="202" t="n"/>
      <c r="H269" s="202" t="n"/>
      <c r="I269" s="202" t="n"/>
      <c r="J269" s="202" t="n"/>
      <c r="K269" s="202" t="n"/>
      <c r="L269" s="202" t="n"/>
      <c r="M269" s="202" t="n"/>
      <c r="N269" s="202" t="n"/>
      <c r="O269" s="201" t="n"/>
    </row>
    <row r="270" ht="15" customHeight="1">
      <c r="A270" s="13" t="inlineStr">
        <is>
          <t>uwo.ca</t>
        </is>
      </c>
      <c r="B270" s="202" t="n"/>
      <c r="C270" s="201" t="n"/>
      <c r="D270" s="15" t="n">
        <v>2</v>
      </c>
      <c r="E270" s="16" t="inlineStr">
        <is>
          <t>https://www.uwo.ca/humanresources/wjec/docs/hay_method_overview.pdf</t>
        </is>
      </c>
      <c r="F270" s="202" t="n"/>
      <c r="G270" s="202" t="n"/>
      <c r="H270" s="202" t="n"/>
      <c r="I270" s="202" t="n"/>
      <c r="J270" s="202" t="n"/>
      <c r="K270" s="202" t="n"/>
      <c r="L270" s="202" t="n"/>
      <c r="M270" s="202" t="n"/>
      <c r="N270" s="202" t="n"/>
      <c r="O270" s="201" t="n"/>
    </row>
    <row r="271" ht="15" customHeight="1">
      <c r="A271" s="13" t="inlineStr">
        <is>
          <t>weforum.org</t>
        </is>
      </c>
      <c r="B271" s="202" t="n"/>
      <c r="C271" s="201" t="n"/>
      <c r="D271" s="15" t="n">
        <v>2</v>
      </c>
      <c r="E271" s="16" t="inlineStr">
        <is>
          <t>https://www.weforum.org/publications/the-future-of-jobs-report-2025/digest/</t>
        </is>
      </c>
      <c r="F271" s="202" t="n"/>
      <c r="G271" s="202" t="n"/>
      <c r="H271" s="202" t="n"/>
      <c r="I271" s="202" t="n"/>
      <c r="J271" s="202" t="n"/>
      <c r="K271" s="202" t="n"/>
      <c r="L271" s="202" t="n"/>
      <c r="M271" s="202" t="n"/>
      <c r="N271" s="202" t="n"/>
      <c r="O271" s="201" t="n"/>
    </row>
    <row r="272" ht="15" customHeight="1">
      <c r="A272" s="13" t="inlineStr">
        <is>
          <t>wtwco.com</t>
        </is>
      </c>
      <c r="B272" s="202" t="n"/>
      <c r="C272" s="201" t="n"/>
      <c r="D272" s="15" t="n">
        <v>2</v>
      </c>
      <c r="E272" s="16" t="inlineStr">
        <is>
          <t>https://www.wtwco.com/en-in/insights/2023/09/building-resilient-career-ecosystems-with-robust-career-strategy-and-design</t>
        </is>
      </c>
      <c r="F272" s="202" t="n"/>
      <c r="G272" s="202" t="n"/>
      <c r="H272" s="202" t="n"/>
      <c r="I272" s="202" t="n"/>
      <c r="J272" s="202" t="n"/>
      <c r="K272" s="202" t="n"/>
      <c r="L272" s="202" t="n"/>
      <c r="M272" s="202" t="n"/>
      <c r="N272" s="202" t="n"/>
      <c r="O272" s="201" t="n"/>
    </row>
    <row r="273" ht="15" customHeight="1">
      <c r="A273" s="13" t="inlineStr">
        <is>
          <t>xbrl.us</t>
        </is>
      </c>
      <c r="B273" s="202" t="n"/>
      <c r="C273" s="201" t="n"/>
      <c r="D273" s="15" t="n">
        <v>2</v>
      </c>
      <c r="E273" s="16" t="inlineStr">
        <is>
          <t>https://xbrl.us</t>
        </is>
      </c>
      <c r="F273" s="202" t="n"/>
      <c r="G273" s="202" t="n"/>
      <c r="H273" s="202" t="n"/>
      <c r="I273" s="202" t="n"/>
      <c r="J273" s="202" t="n"/>
      <c r="K273" s="202" t="n"/>
      <c r="L273" s="202" t="n"/>
      <c r="M273" s="202" t="n"/>
      <c r="N273" s="202" t="n"/>
      <c r="O273" s="201" t="n"/>
    </row>
    <row r="274" ht="15" customHeight="1">
      <c r="A274" s="13" t="inlineStr">
        <is>
          <t>abseil.io</t>
        </is>
      </c>
      <c r="B274" s="202" t="n"/>
      <c r="C274" s="201" t="n"/>
      <c r="D274" s="15" t="n">
        <v>1</v>
      </c>
      <c r="E274" s="16" t="inlineStr">
        <is>
          <t>https://abseil.io/resources/swe-book/html/ch05.html</t>
        </is>
      </c>
      <c r="F274" s="202" t="n"/>
      <c r="G274" s="202" t="n"/>
      <c r="H274" s="202" t="n"/>
      <c r="I274" s="202" t="n"/>
      <c r="J274" s="202" t="n"/>
      <c r="K274" s="202" t="n"/>
      <c r="L274" s="202" t="n"/>
      <c r="M274" s="202" t="n"/>
      <c r="N274" s="202" t="n"/>
      <c r="O274" s="201" t="n"/>
    </row>
    <row r="275" ht="15" customHeight="1">
      <c r="A275" s="13" t="inlineStr">
        <is>
          <t>assets.publishing.service.gov.uk</t>
        </is>
      </c>
      <c r="B275" s="202" t="n"/>
      <c r="C275" s="201" t="n"/>
      <c r="D275" s="15" t="n">
        <v>1</v>
      </c>
      <c r="E275" s="16" t="inlineStr">
        <is>
          <t>https://assets.publishing.service.gov.uk/media/66a370440808eaf43b50d7b2/WTW_OME-STRB_Job_Levelling_FOR_PUBLICATION.pdf</t>
        </is>
      </c>
      <c r="F275" s="202" t="n"/>
      <c r="G275" s="202" t="n"/>
      <c r="H275" s="202" t="n"/>
      <c r="I275" s="202" t="n"/>
      <c r="J275" s="202" t="n"/>
      <c r="K275" s="202" t="n"/>
      <c r="L275" s="202" t="n"/>
      <c r="M275" s="202" t="n"/>
      <c r="N275" s="202" t="n"/>
      <c r="O275" s="201" t="n"/>
    </row>
    <row r="276" ht="15" customHeight="1">
      <c r="A276" s="13" t="inlineStr">
        <is>
          <t>blog.ipleaders.in</t>
        </is>
      </c>
      <c r="B276" s="202" t="n"/>
      <c r="C276" s="201" t="n"/>
      <c r="D276" s="15" t="n">
        <v>1</v>
      </c>
      <c r="E276" s="16" t="inlineStr">
        <is>
          <t>https://blog.ipleaders.in/director-companies-act-2013/</t>
        </is>
      </c>
      <c r="F276" s="202" t="n"/>
      <c r="G276" s="202" t="n"/>
      <c r="H276" s="202" t="n"/>
      <c r="I276" s="202" t="n"/>
      <c r="J276" s="202" t="n"/>
      <c r="K276" s="202" t="n"/>
      <c r="L276" s="202" t="n"/>
      <c r="M276" s="202" t="n"/>
      <c r="N276" s="202" t="n"/>
      <c r="O276" s="201" t="n"/>
    </row>
    <row r="277" ht="15" customHeight="1">
      <c r="A277" s="13" t="inlineStr">
        <is>
          <t>bootcamp.uxdesign.cc</t>
        </is>
      </c>
      <c r="B277" s="202" t="n"/>
      <c r="C277" s="201" t="n"/>
      <c r="D277" s="15" t="n">
        <v>1</v>
      </c>
      <c r="E277" s="16" t="inlineStr">
        <is>
          <t>https://bootcamp.uxdesign.cc/career-ladder-from-junior-to-director-guidance-for-ux-professionals-1b5f9b2bd6b8</t>
        </is>
      </c>
      <c r="F277" s="202" t="n"/>
      <c r="G277" s="202" t="n"/>
      <c r="H277" s="202" t="n"/>
      <c r="I277" s="202" t="n"/>
      <c r="J277" s="202" t="n"/>
      <c r="K277" s="202" t="n"/>
      <c r="L277" s="202" t="n"/>
      <c r="M277" s="202" t="n"/>
      <c r="N277" s="202" t="n"/>
      <c r="O277" s="201" t="n"/>
    </row>
    <row r="278" ht="15" customHeight="1">
      <c r="A278" s="13" t="inlineStr">
        <is>
          <t>builtinbengaluru.in</t>
        </is>
      </c>
      <c r="B278" s="202" t="n"/>
      <c r="C278" s="201" t="n"/>
      <c r="D278" s="15" t="n">
        <v>1</v>
      </c>
      <c r="E278" s="16" t="inlineStr">
        <is>
          <t>https://builtinbengaluru.in/job/xbrl-financial-analyst-assoc/4131532</t>
        </is>
      </c>
      <c r="F278" s="202" t="n"/>
      <c r="G278" s="202" t="n"/>
      <c r="H278" s="202" t="n"/>
      <c r="I278" s="202" t="n"/>
      <c r="J278" s="202" t="n"/>
      <c r="K278" s="202" t="n"/>
      <c r="L278" s="202" t="n"/>
      <c r="M278" s="202" t="n"/>
      <c r="N278" s="202" t="n"/>
      <c r="O278" s="201" t="n"/>
    </row>
    <row r="279" ht="15" customHeight="1">
      <c r="A279" s="13" t="inlineStr">
        <is>
          <t>businesswire.com</t>
        </is>
      </c>
      <c r="B279" s="202" t="n"/>
      <c r="C279" s="201" t="n"/>
      <c r="D279" s="15" t="n">
        <v>1</v>
      </c>
      <c r="E279" s="16" t="inlineStr">
        <is>
          <t>https://www.businesswire.com/news/home/20241124525888/en/</t>
        </is>
      </c>
      <c r="F279" s="202" t="n"/>
      <c r="G279" s="202" t="n"/>
      <c r="H279" s="202" t="n"/>
      <c r="I279" s="202" t="n"/>
      <c r="J279" s="202" t="n"/>
      <c r="K279" s="202" t="n"/>
      <c r="L279" s="202" t="n"/>
      <c r="M279" s="202" t="n"/>
      <c r="N279" s="202" t="n"/>
      <c r="O279" s="201" t="n"/>
    </row>
    <row r="280" ht="15" customHeight="1">
      <c r="A280" s="13" t="inlineStr">
        <is>
          <t>cardinalatwork.stanford.edu</t>
        </is>
      </c>
      <c r="B280" s="202" t="n"/>
      <c r="C280" s="201" t="n"/>
      <c r="D280" s="15" t="n">
        <v>1</v>
      </c>
      <c r="E280" s="16" t="inlineStr">
        <is>
          <t>https://cardinalatwork.stanford.edu/careers/performance-management/competencies</t>
        </is>
      </c>
      <c r="F280" s="202" t="n"/>
      <c r="G280" s="202" t="n"/>
      <c r="H280" s="202" t="n"/>
      <c r="I280" s="202" t="n"/>
      <c r="J280" s="202" t="n"/>
      <c r="K280" s="202" t="n"/>
      <c r="L280" s="202" t="n"/>
      <c r="M280" s="202" t="n"/>
      <c r="N280" s="202" t="n"/>
      <c r="O280" s="201" t="n"/>
    </row>
    <row r="281" ht="15" customHeight="1">
      <c r="A281" s="13" t="inlineStr">
        <is>
          <t>carta.com</t>
        </is>
      </c>
      <c r="B281" s="202" t="n"/>
      <c r="C281" s="201" t="n"/>
      <c r="D281" s="15" t="n">
        <v>1</v>
      </c>
      <c r="E281" s="16" t="inlineStr">
        <is>
          <t>https://carta.com/learn/startups/compensation/job-leveling/</t>
        </is>
      </c>
      <c r="F281" s="202" t="n"/>
      <c r="G281" s="202" t="n"/>
      <c r="H281" s="202" t="n"/>
      <c r="I281" s="202" t="n"/>
      <c r="J281" s="202" t="n"/>
      <c r="K281" s="202" t="n"/>
      <c r="L281" s="202" t="n"/>
      <c r="M281" s="202" t="n"/>
      <c r="N281" s="202" t="n"/>
      <c r="O281" s="201" t="n"/>
    </row>
    <row r="282" ht="15" customHeight="1">
      <c r="A282" s="13" t="inlineStr">
        <is>
          <t>cim.co.uk</t>
        </is>
      </c>
      <c r="B282" s="202" t="n"/>
      <c r="C282" s="201" t="n"/>
      <c r="D282" s="15" t="n">
        <v>1</v>
      </c>
      <c r="E282" s="16" t="inlineStr">
        <is>
          <t>https://www.cim.co.uk/more/professional-marketing-competencies</t>
        </is>
      </c>
      <c r="F282" s="202" t="n"/>
      <c r="G282" s="202" t="n"/>
      <c r="H282" s="202" t="n"/>
      <c r="I282" s="202" t="n"/>
      <c r="J282" s="202" t="n"/>
      <c r="K282" s="202" t="n"/>
      <c r="L282" s="202" t="n"/>
      <c r="M282" s="202" t="n"/>
      <c r="N282" s="202" t="n"/>
      <c r="O282" s="201" t="n"/>
    </row>
    <row r="283" ht="15" customHeight="1">
      <c r="A283" s="13" t="inlineStr">
        <is>
          <t>cipd.org</t>
        </is>
      </c>
      <c r="B283" s="202" t="n"/>
      <c r="C283" s="201" t="n"/>
      <c r="D283" s="15" t="n">
        <v>1</v>
      </c>
      <c r="E283" s="16" t="inlineStr">
        <is>
          <t>https://www.cipd.org/en/the-people-profession/the-profession-map/</t>
        </is>
      </c>
      <c r="F283" s="202" t="n"/>
      <c r="G283" s="202" t="n"/>
      <c r="H283" s="202" t="n"/>
      <c r="I283" s="202" t="n"/>
      <c r="J283" s="202" t="n"/>
      <c r="K283" s="202" t="n"/>
      <c r="L283" s="202" t="n"/>
      <c r="M283" s="202" t="n"/>
      <c r="N283" s="202" t="n"/>
      <c r="O283" s="201" t="n"/>
    </row>
    <row r="284" ht="15" customHeight="1">
      <c r="A284" s="13" t="inlineStr">
        <is>
          <t>copc.com</t>
        </is>
      </c>
      <c r="B284" s="202" t="n"/>
      <c r="C284" s="201" t="n"/>
      <c r="D284" s="15" t="n">
        <v>1</v>
      </c>
      <c r="E284" s="16" t="inlineStr">
        <is>
          <t>https://copc.com/copc-standards</t>
        </is>
      </c>
      <c r="F284" s="202" t="n"/>
      <c r="G284" s="202" t="n"/>
      <c r="H284" s="202" t="n"/>
      <c r="I284" s="202" t="n"/>
      <c r="J284" s="202" t="n"/>
      <c r="K284" s="202" t="n"/>
      <c r="L284" s="202" t="n"/>
      <c r="M284" s="202" t="n"/>
      <c r="N284" s="202" t="n"/>
      <c r="O284" s="201" t="n"/>
    </row>
    <row r="285" ht="15" customHeight="1">
      <c r="A285" s="13" t="inlineStr">
        <is>
          <t>developer.squareup.com</t>
        </is>
      </c>
      <c r="B285" s="202" t="n"/>
      <c r="C285" s="201" t="n"/>
      <c r="D285" s="15" t="n">
        <v>1</v>
      </c>
      <c r="E285" s="16" t="inlineStr">
        <is>
          <t>https://developer.squareup.com/blog/squares-growth-framework-for-engineers-and-engineering-managers/</t>
        </is>
      </c>
      <c r="F285" s="202" t="n"/>
      <c r="G285" s="202" t="n"/>
      <c r="H285" s="202" t="n"/>
      <c r="I285" s="202" t="n"/>
      <c r="J285" s="202" t="n"/>
      <c r="K285" s="202" t="n"/>
      <c r="L285" s="202" t="n"/>
      <c r="M285" s="202" t="n"/>
      <c r="N285" s="202" t="n"/>
      <c r="O285" s="201" t="n"/>
    </row>
    <row r="286" ht="15" customHeight="1">
      <c r="A286" s="13" t="inlineStr">
        <is>
          <t>dfinsolutions.com</t>
        </is>
      </c>
      <c r="B286" s="202" t="n"/>
      <c r="C286" s="201" t="n"/>
      <c r="D286" s="15" t="n">
        <v>1</v>
      </c>
      <c r="E286" s="16" t="inlineStr">
        <is>
          <t>https://www.dfinsolutions.com</t>
        </is>
      </c>
      <c r="F286" s="202" t="n"/>
      <c r="G286" s="202" t="n"/>
      <c r="H286" s="202" t="n"/>
      <c r="I286" s="202" t="n"/>
      <c r="J286" s="202" t="n"/>
      <c r="K286" s="202" t="n"/>
      <c r="L286" s="202" t="n"/>
      <c r="M286" s="202" t="n"/>
      <c r="N286" s="202" t="n"/>
      <c r="O286" s="201" t="n"/>
    </row>
    <row r="287" ht="15" customHeight="1">
      <c r="A287" s="13" t="inlineStr">
        <is>
          <t>dropbox.tech</t>
        </is>
      </c>
      <c r="B287" s="202" t="n"/>
      <c r="C287" s="201" t="n"/>
      <c r="D287" s="15" t="n">
        <v>1</v>
      </c>
      <c r="E287" s="16" t="inlineStr">
        <is>
          <t>https://dropbox.tech/culture/our-updated-engineering-career-framework</t>
        </is>
      </c>
      <c r="F287" s="202" t="n"/>
      <c r="G287" s="202" t="n"/>
      <c r="H287" s="202" t="n"/>
      <c r="I287" s="202" t="n"/>
      <c r="J287" s="202" t="n"/>
      <c r="K287" s="202" t="n"/>
      <c r="L287" s="202" t="n"/>
      <c r="M287" s="202" t="n"/>
      <c r="N287" s="202" t="n"/>
      <c r="O287" s="201" t="n"/>
    </row>
    <row r="288" ht="28" customHeight="1">
      <c r="A288" s="13" t="inlineStr">
        <is>
          <t>gov.nl.ca</t>
        </is>
      </c>
      <c r="B288" s="202" t="n"/>
      <c r="C288" s="201" t="n"/>
      <c r="D288" s="15" t="n">
        <v>1</v>
      </c>
      <c r="E288" s="16" t="inlineStr">
        <is>
          <t>https://www.gov.nl.ca/exec/tbs/department/branches/classification/what-is-the-korn-ferry-hay-group-guide-chart-profile-method-of-job-evaluation/</t>
        </is>
      </c>
      <c r="F288" s="202" t="n"/>
      <c r="G288" s="202" t="n"/>
      <c r="H288" s="202" t="n"/>
      <c r="I288" s="202" t="n"/>
      <c r="J288" s="202" t="n"/>
      <c r="K288" s="202" t="n"/>
      <c r="L288" s="202" t="n"/>
      <c r="M288" s="202" t="n"/>
      <c r="N288" s="202" t="n"/>
      <c r="O288" s="201" t="n"/>
    </row>
    <row r="289" ht="15" customHeight="1">
      <c r="A289" s="13" t="inlineStr">
        <is>
          <t>highland.gov.uk</t>
        </is>
      </c>
      <c r="B289" s="202" t="n"/>
      <c r="C289" s="201" t="n"/>
      <c r="D289" s="15" t="n">
        <v>1</v>
      </c>
      <c r="E289" s="16" t="inlineStr">
        <is>
          <t>https://www.highland.gov.uk/download/downloads/id/3889/scoring_matrix.pdf</t>
        </is>
      </c>
      <c r="F289" s="202" t="n"/>
      <c r="G289" s="202" t="n"/>
      <c r="H289" s="202" t="n"/>
      <c r="I289" s="202" t="n"/>
      <c r="J289" s="202" t="n"/>
      <c r="K289" s="202" t="n"/>
      <c r="L289" s="202" t="n"/>
      <c r="M289" s="202" t="n"/>
      <c r="N289" s="202" t="n"/>
      <c r="O289" s="201" t="n"/>
    </row>
    <row r="290" ht="15" customHeight="1">
      <c r="A290" s="13" t="inlineStr">
        <is>
          <t>info.mercer.com</t>
        </is>
      </c>
      <c r="B290" s="202" t="n"/>
      <c r="C290" s="201" t="n"/>
      <c r="D290" s="15" t="n">
        <v>1</v>
      </c>
      <c r="E290" s="16" t="inlineStr">
        <is>
          <t>https://info.mercer.com/rs/521-DEV-513/images/MLS-Job-Catalogue.pdf</t>
        </is>
      </c>
      <c r="F290" s="202" t="n"/>
      <c r="G290" s="202" t="n"/>
      <c r="H290" s="202" t="n"/>
      <c r="I290" s="202" t="n"/>
      <c r="J290" s="202" t="n"/>
      <c r="K290" s="202" t="n"/>
      <c r="L290" s="202" t="n"/>
      <c r="M290" s="202" t="n"/>
      <c r="N290" s="202" t="n"/>
      <c r="O290" s="201" t="n"/>
    </row>
    <row r="291" ht="15" customHeight="1">
      <c r="A291" s="13" t="inlineStr">
        <is>
          <t>itjobswatch.co.uk</t>
        </is>
      </c>
      <c r="B291" s="202" t="n"/>
      <c r="C291" s="201" t="n"/>
      <c r="D291" s="15" t="n">
        <v>1</v>
      </c>
      <c r="E291" s="16" t="inlineStr">
        <is>
          <t>https://www.itjobswatch.co.uk/jv/Space-Executive/Sales-Lead-Player-Coach-HR-Tech-Job-City-of-London-Greater-London-UK-4vommq</t>
        </is>
      </c>
      <c r="F291" s="202" t="n"/>
      <c r="G291" s="202" t="n"/>
      <c r="H291" s="202" t="n"/>
      <c r="I291" s="202" t="n"/>
      <c r="J291" s="202" t="n"/>
      <c r="K291" s="202" t="n"/>
      <c r="L291" s="202" t="n"/>
      <c r="M291" s="202" t="n"/>
      <c r="N291" s="202" t="n"/>
      <c r="O291" s="201" t="n"/>
    </row>
    <row r="292" ht="15" customHeight="1">
      <c r="A292" s="13" t="inlineStr">
        <is>
          <t>jobs.insightpartners.com</t>
        </is>
      </c>
      <c r="B292" s="202" t="n"/>
      <c r="C292" s="201" t="n"/>
      <c r="D292" s="15" t="n">
        <v>1</v>
      </c>
      <c r="E292" s="16" t="inlineStr">
        <is>
          <t>https://jobs.insightpartners.com/companies/gainsight/jobs/64120646-director-customer-success</t>
        </is>
      </c>
      <c r="F292" s="202" t="n"/>
      <c r="G292" s="202" t="n"/>
      <c r="H292" s="202" t="n"/>
      <c r="I292" s="202" t="n"/>
      <c r="J292" s="202" t="n"/>
      <c r="K292" s="202" t="n"/>
      <c r="L292" s="202" t="n"/>
      <c r="M292" s="202" t="n"/>
      <c r="N292" s="202" t="n"/>
      <c r="O292" s="201" t="n"/>
    </row>
    <row r="293" ht="15" customHeight="1">
      <c r="A293" s="13" t="inlineStr">
        <is>
          <t>kaanoon.com</t>
        </is>
      </c>
      <c r="B293" s="202" t="n"/>
      <c r="C293" s="201" t="n"/>
      <c r="D293" s="15" t="n">
        <v>1</v>
      </c>
      <c r="E293" s="16" t="inlineStr">
        <is>
          <t>https://www.kaanoon.com/241487/designation-with-word-director-as-per-hr-policy-but-not-as-per-companies-act</t>
        </is>
      </c>
      <c r="F293" s="202" t="n"/>
      <c r="G293" s="202" t="n"/>
      <c r="H293" s="202" t="n"/>
      <c r="I293" s="202" t="n"/>
      <c r="J293" s="202" t="n"/>
      <c r="K293" s="202" t="n"/>
      <c r="L293" s="202" t="n"/>
      <c r="M293" s="202" t="n"/>
      <c r="N293" s="202" t="n"/>
      <c r="O293" s="201" t="n"/>
    </row>
    <row r="294" ht="15" customHeight="1">
      <c r="A294" s="13" t="inlineStr">
        <is>
          <t>karlancer.com</t>
        </is>
      </c>
      <c r="B294" s="202" t="n"/>
      <c r="C294" s="201" t="n"/>
      <c r="D294" s="15" t="n">
        <v>1</v>
      </c>
      <c r="E294" s="16" t="inlineStr">
        <is>
          <t>https://www.karlancer.com/api/file/1685038954-V7Gx.pdf</t>
        </is>
      </c>
      <c r="F294" s="202" t="n"/>
      <c r="G294" s="202" t="n"/>
      <c r="H294" s="202" t="n"/>
      <c r="I294" s="202" t="n"/>
      <c r="J294" s="202" t="n"/>
      <c r="K294" s="202" t="n"/>
      <c r="L294" s="202" t="n"/>
      <c r="M294" s="202" t="n"/>
      <c r="N294" s="202" t="n"/>
      <c r="O294" s="201" t="n"/>
    </row>
    <row r="295" ht="15" customHeight="1">
      <c r="A295" s="13" t="inlineStr">
        <is>
          <t>kornferry.com</t>
        </is>
      </c>
      <c r="B295" s="202" t="n"/>
      <c r="C295" s="201" t="n"/>
      <c r="D295" s="15" t="n">
        <v>1</v>
      </c>
      <c r="E295" s="16" t="inlineStr">
        <is>
          <t>https://www.kornferry.com</t>
        </is>
      </c>
      <c r="F295" s="202" t="n"/>
      <c r="G295" s="202" t="n"/>
      <c r="H295" s="202" t="n"/>
      <c r="I295" s="202" t="n"/>
      <c r="J295" s="202" t="n"/>
      <c r="K295" s="202" t="n"/>
      <c r="L295" s="202" t="n"/>
      <c r="M295" s="202" t="n"/>
      <c r="N295" s="202" t="n"/>
      <c r="O295" s="201" t="n"/>
    </row>
    <row r="296" ht="15" customHeight="1">
      <c r="A296" s="13" t="inlineStr">
        <is>
          <t>lb2.local.gov.uk</t>
        </is>
      </c>
      <c r="B296" s="202" t="n"/>
      <c r="C296" s="201" t="n"/>
      <c r="D296" s="15" t="n">
        <v>1</v>
      </c>
      <c r="E296" s="16" t="inlineStr">
        <is>
          <t>https://lb2.local.gov.uk/sites/default/files/documents/police-staff-council-13-f-342.pdf</t>
        </is>
      </c>
      <c r="F296" s="202" t="n"/>
      <c r="G296" s="202" t="n"/>
      <c r="H296" s="202" t="n"/>
      <c r="I296" s="202" t="n"/>
      <c r="J296" s="202" t="n"/>
      <c r="K296" s="202" t="n"/>
      <c r="L296" s="202" t="n"/>
      <c r="M296" s="202" t="n"/>
      <c r="N296" s="202" t="n"/>
      <c r="O296" s="201" t="n"/>
    </row>
    <row r="297" ht="15" customHeight="1">
      <c r="A297" s="13" t="inlineStr">
        <is>
          <t>leaddev.com</t>
        </is>
      </c>
      <c r="B297" s="202" t="n"/>
      <c r="C297" s="201" t="n"/>
      <c r="D297" s="15" t="n">
        <v>1</v>
      </c>
      <c r="E297" s="16" t="inlineStr">
        <is>
          <t>https://leaddev.com/career-ladders/who-are-staff-principal-and-distinguished-engineers</t>
        </is>
      </c>
      <c r="F297" s="202" t="n"/>
      <c r="G297" s="202" t="n"/>
      <c r="H297" s="202" t="n"/>
      <c r="I297" s="202" t="n"/>
      <c r="J297" s="202" t="n"/>
      <c r="K297" s="202" t="n"/>
      <c r="L297" s="202" t="n"/>
      <c r="M297" s="202" t="n"/>
      <c r="N297" s="202" t="n"/>
      <c r="O297" s="201" t="n"/>
    </row>
    <row r="298" ht="15" customHeight="1">
      <c r="A298" s="13" t="inlineStr">
        <is>
          <t>newsletter.pragmaticengineer.com</t>
        </is>
      </c>
      <c r="B298" s="202" t="n"/>
      <c r="C298" s="201" t="n"/>
      <c r="D298" s="15" t="n">
        <v>1</v>
      </c>
      <c r="E298" s="16" t="inlineStr">
        <is>
          <t>https://newsletter.pragmaticengineer.com/p/leading-effective-engineering-teams</t>
        </is>
      </c>
      <c r="F298" s="202" t="n"/>
      <c r="G298" s="202" t="n"/>
      <c r="H298" s="202" t="n"/>
      <c r="I298" s="202" t="n"/>
      <c r="J298" s="202" t="n"/>
      <c r="K298" s="202" t="n"/>
      <c r="L298" s="202" t="n"/>
      <c r="M298" s="202" t="n"/>
      <c r="N298" s="202" t="n"/>
      <c r="O298" s="201" t="n"/>
    </row>
    <row r="299" ht="15" customHeight="1">
      <c r="A299" s="13" t="inlineStr">
        <is>
          <t>nhsemployers.org</t>
        </is>
      </c>
      <c r="B299" s="202" t="n"/>
      <c r="C299" s="201" t="n"/>
      <c r="D299" s="15" t="n">
        <v>1</v>
      </c>
      <c r="E299" s="16" t="inlineStr">
        <is>
          <t>https://www.nhsemployers.org/sites/default/files/pdf/22/165.pdf</t>
        </is>
      </c>
      <c r="F299" s="202" t="n"/>
      <c r="G299" s="202" t="n"/>
      <c r="H299" s="202" t="n"/>
      <c r="I299" s="202" t="n"/>
      <c r="J299" s="202" t="n"/>
      <c r="K299" s="202" t="n"/>
      <c r="L299" s="202" t="n"/>
      <c r="M299" s="202" t="n"/>
      <c r="N299" s="202" t="n"/>
      <c r="O299" s="201" t="n"/>
    </row>
    <row r="300" ht="28" customHeight="1">
      <c r="A300" s="13" t="inlineStr">
        <is>
          <t>opm.gov</t>
        </is>
      </c>
      <c r="B300" s="202" t="n"/>
      <c r="C300" s="201" t="n"/>
      <c r="D300" s="15" t="n">
        <v>1</v>
      </c>
      <c r="E300" s="16" t="inlineStr">
        <is>
          <t>https://www.opm.gov/policy-data-oversight/classification-qualifications/classifying-general-schedule-positions/positionclassificationintro.pdf</t>
        </is>
      </c>
      <c r="F300" s="202" t="n"/>
      <c r="G300" s="202" t="n"/>
      <c r="H300" s="202" t="n"/>
      <c r="I300" s="202" t="n"/>
      <c r="J300" s="202" t="n"/>
      <c r="K300" s="202" t="n"/>
      <c r="L300" s="202" t="n"/>
      <c r="M300" s="202" t="n"/>
      <c r="N300" s="202" t="n"/>
      <c r="O300" s="201" t="n"/>
    </row>
    <row r="301" ht="15" customHeight="1">
      <c r="A301" s="13" t="inlineStr">
        <is>
          <t>pave.com</t>
        </is>
      </c>
      <c r="B301" s="202" t="n"/>
      <c r="C301" s="201" t="n"/>
      <c r="D301" s="15" t="n">
        <v>1</v>
      </c>
      <c r="E301" s="16" t="inlineStr">
        <is>
          <t>https://support.pave.com/articles/understand-job-levels-SiKTjMHZtr.md</t>
        </is>
      </c>
      <c r="F301" s="202" t="n"/>
      <c r="G301" s="202" t="n"/>
      <c r="H301" s="202" t="n"/>
      <c r="I301" s="202" t="n"/>
      <c r="J301" s="202" t="n"/>
      <c r="K301" s="202" t="n"/>
      <c r="L301" s="202" t="n"/>
      <c r="M301" s="202" t="n"/>
      <c r="N301" s="202" t="n"/>
      <c r="O301" s="201" t="n"/>
    </row>
    <row r="302" ht="15" customHeight="1">
      <c r="A302" s="13" t="inlineStr">
        <is>
          <t>payscale.com</t>
        </is>
      </c>
      <c r="B302" s="202" t="n"/>
      <c r="C302" s="201" t="n"/>
      <c r="D302" s="15" t="n">
        <v>1</v>
      </c>
      <c r="E302" s="16" t="inlineStr">
        <is>
          <t>https://www.payscale.com/research/IN/Job=Chief_Architect%2C_IT/Skill-Experience</t>
        </is>
      </c>
      <c r="F302" s="202" t="n"/>
      <c r="G302" s="202" t="n"/>
      <c r="H302" s="202" t="n"/>
      <c r="I302" s="202" t="n"/>
      <c r="J302" s="202" t="n"/>
      <c r="K302" s="202" t="n"/>
      <c r="L302" s="202" t="n"/>
      <c r="M302" s="202" t="n"/>
      <c r="N302" s="202" t="n"/>
      <c r="O302" s="201" t="n"/>
    </row>
    <row r="303" ht="15" customHeight="1">
      <c r="A303" s="13" t="inlineStr">
        <is>
          <t>peoplecentre.wordpress.com</t>
        </is>
      </c>
      <c r="B303" s="202" t="n"/>
      <c r="C303" s="201" t="n"/>
      <c r="D303" s="15" t="n">
        <v>1</v>
      </c>
      <c r="E303" s="16" t="inlineStr">
        <is>
          <t>https://peoplecentre.wordpress.com/2016/10/02/hay-job-evaluation-methodology-the-short-profile/</t>
        </is>
      </c>
      <c r="F303" s="202" t="n"/>
      <c r="G303" s="202" t="n"/>
      <c r="H303" s="202" t="n"/>
      <c r="I303" s="202" t="n"/>
      <c r="J303" s="202" t="n"/>
      <c r="K303" s="202" t="n"/>
      <c r="L303" s="202" t="n"/>
      <c r="M303" s="202" t="n"/>
      <c r="N303" s="202" t="n"/>
      <c r="O303" s="201" t="n"/>
    </row>
    <row r="304" ht="15" customHeight="1">
      <c r="A304" s="13" t="inlineStr">
        <is>
          <t>peoplematters.in</t>
        </is>
      </c>
      <c r="B304" s="202" t="n"/>
      <c r="C304" s="201" t="n"/>
      <c r="D304" s="15" t="n">
        <v>1</v>
      </c>
      <c r="E304" s="16" t="inlineStr">
        <is>
          <t>https://www.peoplematters.in/news/compensation-benefits/indias-2026-salary-increases-to-reward-skills-over-seniority-ey-48541</t>
        </is>
      </c>
      <c r="F304" s="202" t="n"/>
      <c r="G304" s="202" t="n"/>
      <c r="H304" s="202" t="n"/>
      <c r="I304" s="202" t="n"/>
      <c r="J304" s="202" t="n"/>
      <c r="K304" s="202" t="n"/>
      <c r="L304" s="202" t="n"/>
      <c r="M304" s="202" t="n"/>
      <c r="N304" s="202" t="n"/>
      <c r="O304" s="201" t="n"/>
    </row>
    <row r="305" ht="15" customHeight="1">
      <c r="A305" s="13" t="inlineStr">
        <is>
          <t>pragmaticinstitute.com</t>
        </is>
      </c>
      <c r="B305" s="202" t="n"/>
      <c r="C305" s="201" t="n"/>
      <c r="D305" s="15" t="n">
        <v>1</v>
      </c>
      <c r="E305" s="16" t="inlineStr">
        <is>
          <t>https://pragmaticinstitute.com/product/framework/launch</t>
        </is>
      </c>
      <c r="F305" s="202" t="n"/>
      <c r="G305" s="202" t="n"/>
      <c r="H305" s="202" t="n"/>
      <c r="I305" s="202" t="n"/>
      <c r="J305" s="202" t="n"/>
      <c r="K305" s="202" t="n"/>
      <c r="L305" s="202" t="n"/>
      <c r="M305" s="202" t="n"/>
      <c r="N305" s="202" t="n"/>
      <c r="O305" s="201" t="n"/>
    </row>
    <row r="306" ht="15" customHeight="1">
      <c r="A306" s="13" t="inlineStr">
        <is>
          <t>professionals.lincolnshire.gov.uk</t>
        </is>
      </c>
      <c r="B306" s="202" t="n"/>
      <c r="C306" s="201" t="n"/>
      <c r="D306" s="15" t="n">
        <v>1</v>
      </c>
      <c r="E306" s="16" t="inlineStr">
        <is>
          <t>https://professionals.lincolnshire.gov.uk/downloads/file/576/hay-group-je-method</t>
        </is>
      </c>
      <c r="F306" s="202" t="n"/>
      <c r="G306" s="202" t="n"/>
      <c r="H306" s="202" t="n"/>
      <c r="I306" s="202" t="n"/>
      <c r="J306" s="202" t="n"/>
      <c r="K306" s="202" t="n"/>
      <c r="L306" s="202" t="n"/>
      <c r="M306" s="202" t="n"/>
      <c r="N306" s="202" t="n"/>
      <c r="O306" s="201" t="n"/>
    </row>
    <row r="307" ht="15" customHeight="1">
      <c r="A307" s="13" t="inlineStr">
        <is>
          <t>rajendrauppal.substack.com</t>
        </is>
      </c>
      <c r="B307" s="202" t="n"/>
      <c r="C307" s="201" t="n"/>
      <c r="D307" s="15" t="n">
        <v>1</v>
      </c>
      <c r="E307" s="16" t="inlineStr">
        <is>
          <t>https://rajendrauppal.substack.com/p/understanding-levels-at-google-microsoft</t>
        </is>
      </c>
      <c r="F307" s="202" t="n"/>
      <c r="G307" s="202" t="n"/>
      <c r="H307" s="202" t="n"/>
      <c r="I307" s="202" t="n"/>
      <c r="J307" s="202" t="n"/>
      <c r="K307" s="202" t="n"/>
      <c r="L307" s="202" t="n"/>
      <c r="M307" s="202" t="n"/>
      <c r="N307" s="202" t="n"/>
      <c r="O307" s="201" t="n"/>
    </row>
    <row r="308" ht="15" customHeight="1">
      <c r="A308" s="13" t="inlineStr">
        <is>
          <t>rework.withgoogle.com</t>
        </is>
      </c>
      <c r="B308" s="202" t="n"/>
      <c r="C308" s="201" t="n"/>
      <c r="D308" s="15" t="n">
        <v>1</v>
      </c>
      <c r="E308" s="16" t="inlineStr">
        <is>
          <t>https://rework.withgoogle.com/intl/en/guides/following-the-data-the-research-behind-great-managers</t>
        </is>
      </c>
      <c r="F308" s="202" t="n"/>
      <c r="G308" s="202" t="n"/>
      <c r="H308" s="202" t="n"/>
      <c r="I308" s="202" t="n"/>
      <c r="J308" s="202" t="n"/>
      <c r="K308" s="202" t="n"/>
      <c r="L308" s="202" t="n"/>
      <c r="M308" s="202" t="n"/>
      <c r="N308" s="202" t="n"/>
      <c r="O308" s="201" t="n"/>
    </row>
    <row r="309" ht="15" customHeight="1">
      <c r="A309" s="13" t="inlineStr">
        <is>
          <t>saastr.com</t>
        </is>
      </c>
      <c r="B309" s="202" t="n"/>
      <c r="C309" s="201" t="n"/>
      <c r="D309" s="15" t="n">
        <v>1</v>
      </c>
      <c r="E309" s="16" t="inlineStr">
        <is>
          <t>https://www.saastr.com/dear-saastr-do-i-have-to-provide-a-promotion-path-from-sdr-to-ae</t>
        </is>
      </c>
      <c r="F309" s="202" t="n"/>
      <c r="G309" s="202" t="n"/>
      <c r="H309" s="202" t="n"/>
      <c r="I309" s="202" t="n"/>
      <c r="J309" s="202" t="n"/>
      <c r="K309" s="202" t="n"/>
      <c r="L309" s="202" t="n"/>
      <c r="M309" s="202" t="n"/>
      <c r="N309" s="202" t="n"/>
      <c r="O309" s="201" t="n"/>
    </row>
    <row r="310" ht="15" customHeight="1">
      <c r="A310" s="13" t="inlineStr">
        <is>
          <t>salesgravy.com</t>
        </is>
      </c>
      <c r="B310" s="202" t="n"/>
      <c r="C310" s="201" t="n"/>
      <c r="D310" s="15" t="n">
        <v>1</v>
      </c>
      <c r="E310" s="16" t="inlineStr">
        <is>
          <t>https://salesgravy.com/the-player-coach-problem-how-to-prospect-and-lead-at-the-same-time-ask-jeb/</t>
        </is>
      </c>
      <c r="F310" s="202" t="n"/>
      <c r="G310" s="202" t="n"/>
      <c r="H310" s="202" t="n"/>
      <c r="I310" s="202" t="n"/>
      <c r="J310" s="202" t="n"/>
      <c r="K310" s="202" t="n"/>
      <c r="L310" s="202" t="n"/>
      <c r="M310" s="202" t="n"/>
      <c r="N310" s="202" t="n"/>
      <c r="O310" s="201" t="n"/>
    </row>
    <row r="311" ht="15" customHeight="1">
      <c r="A311" s="13" t="inlineStr">
        <is>
          <t>sec.gov</t>
        </is>
      </c>
      <c r="B311" s="202" t="n"/>
      <c r="C311" s="201" t="n"/>
      <c r="D311" s="15" t="n">
        <v>1</v>
      </c>
      <c r="E311" s="16" t="inlineStr">
        <is>
          <t>https://www.sec.gov/Archives/edgar/data/1445305/000144530526000016/wk-20251231.htm</t>
        </is>
      </c>
      <c r="F311" s="202" t="n"/>
      <c r="G311" s="202" t="n"/>
      <c r="H311" s="202" t="n"/>
      <c r="I311" s="202" t="n"/>
      <c r="J311" s="202" t="n"/>
      <c r="K311" s="202" t="n"/>
      <c r="L311" s="202" t="n"/>
      <c r="M311" s="202" t="n"/>
      <c r="N311" s="202" t="n"/>
      <c r="O311" s="201" t="n"/>
    </row>
    <row r="312" ht="15" customHeight="1">
      <c r="A312" s="13" t="inlineStr">
        <is>
          <t>shl.com</t>
        </is>
      </c>
      <c r="B312" s="202" t="n"/>
      <c r="C312" s="201" t="n"/>
      <c r="D312" s="15" t="n">
        <v>1</v>
      </c>
      <c r="E312" s="16" t="inlineStr">
        <is>
          <t>https://www.shl.com/assets/campaigns/global/competency-fit/universal-competency-framework-whitepaper-en.pdf</t>
        </is>
      </c>
      <c r="F312" s="202" t="n"/>
      <c r="G312" s="202" t="n"/>
      <c r="H312" s="202" t="n"/>
      <c r="I312" s="202" t="n"/>
      <c r="J312" s="202" t="n"/>
      <c r="K312" s="202" t="n"/>
      <c r="L312" s="202" t="n"/>
      <c r="M312" s="202" t="n"/>
      <c r="N312" s="202" t="n"/>
      <c r="O312" s="201" t="n"/>
    </row>
    <row r="313" ht="15" customHeight="1">
      <c r="A313" s="13" t="inlineStr">
        <is>
          <t>sirddinbych.gov.uk</t>
        </is>
      </c>
      <c r="B313" s="202" t="n"/>
      <c r="C313" s="201" t="n"/>
      <c r="D313" s="15" t="n">
        <v>1</v>
      </c>
      <c r="E313" s="16" t="inlineStr">
        <is>
          <t>https://www.sirddinbych.gov.uk/en/documents/jobs-and-employees/my-employment/reorganisation-and-change/glpc-points-weighting.pdf</t>
        </is>
      </c>
      <c r="F313" s="202" t="n"/>
      <c r="G313" s="202" t="n"/>
      <c r="H313" s="202" t="n"/>
      <c r="I313" s="202" t="n"/>
      <c r="J313" s="202" t="n"/>
      <c r="K313" s="202" t="n"/>
      <c r="L313" s="202" t="n"/>
      <c r="M313" s="202" t="n"/>
      <c r="N313" s="202" t="n"/>
      <c r="O313" s="201" t="n"/>
    </row>
    <row r="314" ht="15" customHeight="1">
      <c r="A314" s="13" t="inlineStr">
        <is>
          <t>slideshare.net</t>
        </is>
      </c>
      <c r="B314" s="202" t="n"/>
      <c r="C314" s="201" t="n"/>
      <c r="D314" s="15" t="n">
        <v>1</v>
      </c>
      <c r="E314" s="16" t="inlineStr">
        <is>
          <t>https://www.slideshare.net/slideshow/hay-summary/55196354</t>
        </is>
      </c>
      <c r="F314" s="202" t="n"/>
      <c r="G314" s="202" t="n"/>
      <c r="H314" s="202" t="n"/>
      <c r="I314" s="202" t="n"/>
      <c r="J314" s="202" t="n"/>
      <c r="K314" s="202" t="n"/>
      <c r="L314" s="202" t="n"/>
      <c r="M314" s="202" t="n"/>
      <c r="N314" s="202" t="n"/>
      <c r="O314" s="201" t="n"/>
    </row>
    <row r="315" ht="15" customHeight="1">
      <c r="A315" s="13" t="inlineStr">
        <is>
          <t>snowflake.com</t>
        </is>
      </c>
      <c r="B315" s="202" t="n"/>
      <c r="C315" s="201" t="n"/>
      <c r="D315" s="15" t="n">
        <v>1</v>
      </c>
      <c r="E315" s="16" t="inlineStr">
        <is>
          <t>https://www.snowflake.com/en/fundamentals/data-governance/framework/dama-dmbok/</t>
        </is>
      </c>
      <c r="F315" s="202" t="n"/>
      <c r="G315" s="202" t="n"/>
      <c r="H315" s="202" t="n"/>
      <c r="I315" s="202" t="n"/>
      <c r="J315" s="202" t="n"/>
      <c r="K315" s="202" t="n"/>
      <c r="L315" s="202" t="n"/>
      <c r="M315" s="202" t="n"/>
      <c r="N315" s="202" t="n"/>
      <c r="O315" s="201" t="n"/>
    </row>
    <row r="316" ht="15" customHeight="1">
      <c r="A316" s="13" t="inlineStr">
        <is>
          <t>staff.derbyshire.gov.uk</t>
        </is>
      </c>
      <c r="B316" s="202" t="n"/>
      <c r="C316" s="201" t="n"/>
      <c r="D316" s="15" t="n">
        <v>1</v>
      </c>
      <c r="E316" s="16" t="inlineStr">
        <is>
          <t>https://staff.derbyshire.gov.uk/jobs-and-recruitment/job-evaluation/korn-ferry-hay-scheme/korn-ferry-hay-scheme.aspx</t>
        </is>
      </c>
      <c r="F316" s="202" t="n"/>
      <c r="G316" s="202" t="n"/>
      <c r="H316" s="202" t="n"/>
      <c r="I316" s="202" t="n"/>
      <c r="J316" s="202" t="n"/>
      <c r="K316" s="202" t="n"/>
      <c r="L316" s="202" t="n"/>
      <c r="M316" s="202" t="n"/>
      <c r="N316" s="202" t="n"/>
      <c r="O316" s="201" t="n"/>
    </row>
    <row r="317" ht="15" customHeight="1">
      <c r="A317" s="13" t="inlineStr">
        <is>
          <t>studylib.net</t>
        </is>
      </c>
      <c r="B317" s="202" t="n"/>
      <c r="C317" s="201" t="n"/>
      <c r="D317" s="15" t="n">
        <v>1</v>
      </c>
      <c r="E317" s="16" t="inlineStr">
        <is>
          <t>https://studylib.net/doc/25471018/197145561-evaluation-factors-mercer</t>
        </is>
      </c>
      <c r="F317" s="202" t="n"/>
      <c r="G317" s="202" t="n"/>
      <c r="H317" s="202" t="n"/>
      <c r="I317" s="202" t="n"/>
      <c r="J317" s="202" t="n"/>
      <c r="K317" s="202" t="n"/>
      <c r="L317" s="202" t="n"/>
      <c r="M317" s="202" t="n"/>
      <c r="N317" s="202" t="n"/>
      <c r="O317" s="201" t="n"/>
    </row>
    <row r="318" ht="15" customHeight="1">
      <c r="A318" s="13" t="inlineStr">
        <is>
          <t>toppanmerrill.com</t>
        </is>
      </c>
      <c r="B318" s="202" t="n"/>
      <c r="C318" s="201" t="n"/>
      <c r="D318" s="15" t="n">
        <v>1</v>
      </c>
      <c r="E318" s="16" t="inlineStr">
        <is>
          <t>https://toppanmerrill.com/bridge/</t>
        </is>
      </c>
      <c r="F318" s="202" t="n"/>
      <c r="G318" s="202" t="n"/>
      <c r="H318" s="202" t="n"/>
      <c r="I318" s="202" t="n"/>
      <c r="J318" s="202" t="n"/>
      <c r="K318" s="202" t="n"/>
      <c r="L318" s="202" t="n"/>
      <c r="M318" s="202" t="n"/>
      <c r="N318" s="202" t="n"/>
      <c r="O318" s="201" t="n"/>
    </row>
    <row r="319" ht="15" customHeight="1">
      <c r="A319" s="13" t="inlineStr">
        <is>
          <t>wipro.com</t>
        </is>
      </c>
      <c r="B319" s="202" t="n"/>
      <c r="C319" s="201" t="n"/>
      <c r="D319" s="15" t="n">
        <v>1</v>
      </c>
      <c r="E319" s="16" t="inlineStr">
        <is>
          <t>https://www.wipro.com/innovation/distinguished-member-of-technical-staff/</t>
        </is>
      </c>
      <c r="F319" s="202" t="n"/>
      <c r="G319" s="202" t="n"/>
      <c r="H319" s="202" t="n"/>
      <c r="I319" s="202" t="n"/>
      <c r="J319" s="202" t="n"/>
      <c r="K319" s="202" t="n"/>
      <c r="L319" s="202" t="n"/>
      <c r="M319" s="202" t="n"/>
      <c r="N319" s="202" t="n"/>
      <c r="O319" s="201" t="n"/>
    </row>
    <row r="320" ht="15" customHeight="1">
      <c r="A320" s="13" t="inlineStr">
        <is>
          <t>worldatwork.org</t>
        </is>
      </c>
      <c r="B320" s="202" t="n"/>
      <c r="C320" s="201" t="n"/>
      <c r="D320" s="15" t="n">
        <v>1</v>
      </c>
      <c r="E320" s="16" t="inlineStr">
        <is>
          <t>https://worldatwork.org/media/CDN/dist/CDN2/documents/pdf/resources/research/Salary-Structure-Policies-Practices-2012.pdf</t>
        </is>
      </c>
      <c r="F320" s="202" t="n"/>
      <c r="G320" s="202" t="n"/>
      <c r="H320" s="202" t="n"/>
      <c r="I320" s="202" t="n"/>
      <c r="J320" s="202" t="n"/>
      <c r="K320" s="202" t="n"/>
      <c r="L320" s="202" t="n"/>
      <c r="M320" s="202" t="n"/>
      <c r="N320" s="202" t="n"/>
      <c r="O320" s="201" t="n"/>
    </row>
    <row r="321" ht="15" customHeight="1">
      <c r="A321" s="13" t="inlineStr">
        <is>
          <t>worldoftaxonomy.com</t>
        </is>
      </c>
      <c r="B321" s="202" t="n"/>
      <c r="C321" s="201" t="n"/>
      <c r="D321" s="15" t="n">
        <v>1</v>
      </c>
      <c r="E321" s="16" t="inlineStr">
        <is>
          <t>https://worldoftaxonomy.com/system/isco_08/node/251</t>
        </is>
      </c>
      <c r="F321" s="202" t="n"/>
      <c r="G321" s="202" t="n"/>
      <c r="H321" s="202" t="n"/>
      <c r="I321" s="202" t="n"/>
      <c r="J321" s="202" t="n"/>
      <c r="K321" s="202" t="n"/>
      <c r="L321" s="202" t="n"/>
      <c r="M321" s="202" t="n"/>
      <c r="N321" s="202" t="n"/>
      <c r="O321" s="201" t="n"/>
    </row>
  </sheetData>
  <mergeCells count="964">
    <mergeCell ref="A69:O69"/>
    <mergeCell ref="N101:O101"/>
    <mergeCell ref="F237:G237"/>
    <mergeCell ref="H222:J222"/>
    <mergeCell ref="D187:E187"/>
    <mergeCell ref="A255:C255"/>
    <mergeCell ref="F187:G187"/>
    <mergeCell ref="J96:M96"/>
    <mergeCell ref="N100:O100"/>
    <mergeCell ref="E142:F142"/>
    <mergeCell ref="N94:O94"/>
    <mergeCell ref="G135:J135"/>
    <mergeCell ref="E313:O313"/>
    <mergeCell ref="M35:N35"/>
    <mergeCell ref="E171:F171"/>
    <mergeCell ref="E244:O244"/>
    <mergeCell ref="B235:C235"/>
    <mergeCell ref="E137:F137"/>
    <mergeCell ref="E308:O308"/>
    <mergeCell ref="E173:F173"/>
    <mergeCell ref="K113:N113"/>
    <mergeCell ref="E148:F148"/>
    <mergeCell ref="B142:D142"/>
    <mergeCell ref="B205:C205"/>
    <mergeCell ref="E166:F166"/>
    <mergeCell ref="A33:B33"/>
    <mergeCell ref="C11:J11"/>
    <mergeCell ref="D205:E205"/>
    <mergeCell ref="E310:O310"/>
    <mergeCell ref="B144:D144"/>
    <mergeCell ref="A40:O40"/>
    <mergeCell ref="A270:C270"/>
    <mergeCell ref="G128:J128"/>
    <mergeCell ref="E168:F168"/>
    <mergeCell ref="A35:B35"/>
    <mergeCell ref="G171:J171"/>
    <mergeCell ref="G36:I36"/>
    <mergeCell ref="G146:J146"/>
    <mergeCell ref="G121:J121"/>
    <mergeCell ref="A28:B28"/>
    <mergeCell ref="C28:D28"/>
    <mergeCell ref="D45:I45"/>
    <mergeCell ref="K115:N115"/>
    <mergeCell ref="E255:O255"/>
    <mergeCell ref="H226:J226"/>
    <mergeCell ref="G123:J123"/>
    <mergeCell ref="B200:C200"/>
    <mergeCell ref="A30:B30"/>
    <mergeCell ref="E242:O242"/>
    <mergeCell ref="C30:D30"/>
    <mergeCell ref="G110:J110"/>
    <mergeCell ref="E117:F117"/>
    <mergeCell ref="K237:M237"/>
    <mergeCell ref="E263:O263"/>
    <mergeCell ref="K166:N166"/>
    <mergeCell ref="K9:O9"/>
    <mergeCell ref="H228:J228"/>
    <mergeCell ref="K229:M229"/>
    <mergeCell ref="K116:N116"/>
    <mergeCell ref="B236:C236"/>
    <mergeCell ref="E303:O303"/>
    <mergeCell ref="B223:C223"/>
    <mergeCell ref="B220:C220"/>
    <mergeCell ref="E290:O290"/>
    <mergeCell ref="K168:N168"/>
    <mergeCell ref="B137:D137"/>
    <mergeCell ref="B195:C195"/>
    <mergeCell ref="K11:O11"/>
    <mergeCell ref="A263:C263"/>
    <mergeCell ref="D195:E195"/>
    <mergeCell ref="K143:N143"/>
    <mergeCell ref="K118:N118"/>
    <mergeCell ref="E161:F161"/>
    <mergeCell ref="D189:E189"/>
    <mergeCell ref="B231:C231"/>
    <mergeCell ref="K167:N167"/>
    <mergeCell ref="F189:G189"/>
    <mergeCell ref="N102:O102"/>
    <mergeCell ref="B139:D139"/>
    <mergeCell ref="F188:G188"/>
    <mergeCell ref="D197:E197"/>
    <mergeCell ref="K191:M191"/>
    <mergeCell ref="A265:C265"/>
    <mergeCell ref="A44:C44"/>
    <mergeCell ref="J102:M102"/>
    <mergeCell ref="E252:O252"/>
    <mergeCell ref="A258:C258"/>
    <mergeCell ref="K184:M184"/>
    <mergeCell ref="F190:G190"/>
    <mergeCell ref="E110:F110"/>
    <mergeCell ref="E316:O316"/>
    <mergeCell ref="K134:N134"/>
    <mergeCell ref="E250:O250"/>
    <mergeCell ref="A266:C266"/>
    <mergeCell ref="A260:C260"/>
    <mergeCell ref="A59:O59"/>
    <mergeCell ref="H196:J196"/>
    <mergeCell ref="B150:D150"/>
    <mergeCell ref="B213:C213"/>
    <mergeCell ref="E174:F174"/>
    <mergeCell ref="K219:M219"/>
    <mergeCell ref="E301:O301"/>
    <mergeCell ref="B152:D152"/>
    <mergeCell ref="E251:O251"/>
    <mergeCell ref="A34:B34"/>
    <mergeCell ref="C34:D34"/>
    <mergeCell ref="H191:J191"/>
    <mergeCell ref="G154:J154"/>
    <mergeCell ref="G19:I19"/>
    <mergeCell ref="B145:D145"/>
    <mergeCell ref="B208:C208"/>
    <mergeCell ref="G129:J129"/>
    <mergeCell ref="A36:B36"/>
    <mergeCell ref="C14:J14"/>
    <mergeCell ref="K156:N156"/>
    <mergeCell ref="D208:E208"/>
    <mergeCell ref="F208:G208"/>
    <mergeCell ref="H218:J218"/>
    <mergeCell ref="A42:C42"/>
    <mergeCell ref="N96:O96"/>
    <mergeCell ref="B210:C210"/>
    <mergeCell ref="G131:J131"/>
    <mergeCell ref="C29:D29"/>
    <mergeCell ref="F201:G201"/>
    <mergeCell ref="H203:J203"/>
    <mergeCell ref="E29:F29"/>
    <mergeCell ref="J97:M97"/>
    <mergeCell ref="E265:O265"/>
    <mergeCell ref="N98:O98"/>
    <mergeCell ref="F228:G228"/>
    <mergeCell ref="C31:D31"/>
    <mergeCell ref="M31:N31"/>
    <mergeCell ref="F203:G203"/>
    <mergeCell ref="E31:F31"/>
    <mergeCell ref="E158:F158"/>
    <mergeCell ref="D214:E214"/>
    <mergeCell ref="E133:F133"/>
    <mergeCell ref="E108:F108"/>
    <mergeCell ref="G126:J126"/>
    <mergeCell ref="K230:M230"/>
    <mergeCell ref="B234:C234"/>
    <mergeCell ref="E304:O304"/>
    <mergeCell ref="K126:N126"/>
    <mergeCell ref="B163:D163"/>
    <mergeCell ref="K109:N109"/>
    <mergeCell ref="K169:N169"/>
    <mergeCell ref="B138:D138"/>
    <mergeCell ref="B113:D113"/>
    <mergeCell ref="H231:J231"/>
    <mergeCell ref="M26:N26"/>
    <mergeCell ref="K119:N119"/>
    <mergeCell ref="E162:F162"/>
    <mergeCell ref="E306:O306"/>
    <mergeCell ref="B165:D165"/>
    <mergeCell ref="D236:E236"/>
    <mergeCell ref="H181:J181"/>
    <mergeCell ref="K111:N111"/>
    <mergeCell ref="A291:C291"/>
    <mergeCell ref="B140:D140"/>
    <mergeCell ref="B115:D115"/>
    <mergeCell ref="A1:O1"/>
    <mergeCell ref="E164:F164"/>
    <mergeCell ref="K192:M192"/>
    <mergeCell ref="G142:J142"/>
    <mergeCell ref="A24:B24"/>
    <mergeCell ref="A268:C268"/>
    <mergeCell ref="K194:M194"/>
    <mergeCell ref="C24:D24"/>
    <mergeCell ref="E24:F24"/>
    <mergeCell ref="K181:M181"/>
    <mergeCell ref="F183:G183"/>
    <mergeCell ref="G144:J144"/>
    <mergeCell ref="F193:G193"/>
    <mergeCell ref="E309:O309"/>
    <mergeCell ref="C26:D26"/>
    <mergeCell ref="E126:F126"/>
    <mergeCell ref="E259:O259"/>
    <mergeCell ref="K137:N137"/>
    <mergeCell ref="G173:J173"/>
    <mergeCell ref="E253:O253"/>
    <mergeCell ref="K124:N124"/>
    <mergeCell ref="H199:J199"/>
    <mergeCell ref="E240:O240"/>
    <mergeCell ref="B229:C229"/>
    <mergeCell ref="E19:F19"/>
    <mergeCell ref="H186:J186"/>
    <mergeCell ref="A311:C311"/>
    <mergeCell ref="B181:C181"/>
    <mergeCell ref="K139:N139"/>
    <mergeCell ref="D210:E210"/>
    <mergeCell ref="G155:J155"/>
    <mergeCell ref="J21:L21"/>
    <mergeCell ref="G25:I25"/>
    <mergeCell ref="K114:N114"/>
    <mergeCell ref="D209:E209"/>
    <mergeCell ref="F209:G209"/>
    <mergeCell ref="G170:J170"/>
    <mergeCell ref="E319:O319"/>
    <mergeCell ref="M28:N28"/>
    <mergeCell ref="D94:I94"/>
    <mergeCell ref="J23:L23"/>
    <mergeCell ref="G157:J157"/>
    <mergeCell ref="B153:D153"/>
    <mergeCell ref="D224:E224"/>
    <mergeCell ref="D211:E211"/>
    <mergeCell ref="K205:M205"/>
    <mergeCell ref="J98:M98"/>
    <mergeCell ref="F211:G211"/>
    <mergeCell ref="G172:J172"/>
    <mergeCell ref="A279:C279"/>
    <mergeCell ref="F186:G186"/>
    <mergeCell ref="A300:C300"/>
    <mergeCell ref="A45:C45"/>
    <mergeCell ref="A94:C94"/>
    <mergeCell ref="A287:C287"/>
    <mergeCell ref="M32:N32"/>
    <mergeCell ref="A281:C281"/>
    <mergeCell ref="C37:D37"/>
    <mergeCell ref="E37:F37"/>
    <mergeCell ref="E159:F159"/>
    <mergeCell ref="K188:M188"/>
    <mergeCell ref="B207:C207"/>
    <mergeCell ref="K117:N117"/>
    <mergeCell ref="K182:M182"/>
    <mergeCell ref="E268:O268"/>
    <mergeCell ref="E109:F109"/>
    <mergeCell ref="F206:G206"/>
    <mergeCell ref="G38:I38"/>
    <mergeCell ref="E145:F145"/>
    <mergeCell ref="A316:C316"/>
    <mergeCell ref="E139:F139"/>
    <mergeCell ref="E272:O272"/>
    <mergeCell ref="B148:D148"/>
    <mergeCell ref="A282:C282"/>
    <mergeCell ref="E111:F111"/>
    <mergeCell ref="K125:N125"/>
    <mergeCell ref="B166:D166"/>
    <mergeCell ref="A50:O50"/>
    <mergeCell ref="K112:N112"/>
    <mergeCell ref="G150:J150"/>
    <mergeCell ref="H187:J187"/>
    <mergeCell ref="D229:E229"/>
    <mergeCell ref="A313:C313"/>
    <mergeCell ref="A7:B7"/>
    <mergeCell ref="A104:O104"/>
    <mergeCell ref="B108:D108"/>
    <mergeCell ref="K127:N127"/>
    <mergeCell ref="B168:D168"/>
    <mergeCell ref="A307:C307"/>
    <mergeCell ref="B143:D143"/>
    <mergeCell ref="G145:J145"/>
    <mergeCell ref="B191:C191"/>
    <mergeCell ref="F224:G224"/>
    <mergeCell ref="E261:O261"/>
    <mergeCell ref="K197:M197"/>
    <mergeCell ref="C27:D27"/>
    <mergeCell ref="G160:J160"/>
    <mergeCell ref="F199:G199"/>
    <mergeCell ref="E27:F27"/>
    <mergeCell ref="D235:E235"/>
    <mergeCell ref="G147:J147"/>
    <mergeCell ref="K138:N138"/>
    <mergeCell ref="E119:F119"/>
    <mergeCell ref="G174:J174"/>
    <mergeCell ref="E300:O300"/>
    <mergeCell ref="E116:F116"/>
    <mergeCell ref="H200:J200"/>
    <mergeCell ref="D100:I100"/>
    <mergeCell ref="K201:M201"/>
    <mergeCell ref="J29:L29"/>
    <mergeCell ref="B159:D159"/>
    <mergeCell ref="B134:D134"/>
    <mergeCell ref="E281:O281"/>
    <mergeCell ref="K140:N140"/>
    <mergeCell ref="E256:O256"/>
    <mergeCell ref="J95:M95"/>
    <mergeCell ref="H202:J202"/>
    <mergeCell ref="B167:D167"/>
    <mergeCell ref="M19:N19"/>
    <mergeCell ref="E22:F22"/>
    <mergeCell ref="B161:D161"/>
    <mergeCell ref="B197:C197"/>
    <mergeCell ref="E264:O264"/>
    <mergeCell ref="K213:M213"/>
    <mergeCell ref="B111:D111"/>
    <mergeCell ref="D95:I95"/>
    <mergeCell ref="J24:L24"/>
    <mergeCell ref="G163:J163"/>
    <mergeCell ref="G28:I28"/>
    <mergeCell ref="E122:F122"/>
    <mergeCell ref="G113:J113"/>
    <mergeCell ref="F212:G212"/>
    <mergeCell ref="B175:D175"/>
    <mergeCell ref="D97:I97"/>
    <mergeCell ref="J26:L26"/>
    <mergeCell ref="B162:D162"/>
    <mergeCell ref="G165:J165"/>
    <mergeCell ref="G30:I30"/>
    <mergeCell ref="A95:C95"/>
    <mergeCell ref="A301:C301"/>
    <mergeCell ref="F214:G214"/>
    <mergeCell ref="E38:F38"/>
    <mergeCell ref="A2:O2"/>
    <mergeCell ref="E147:F147"/>
    <mergeCell ref="G158:J158"/>
    <mergeCell ref="A303:C303"/>
    <mergeCell ref="E280:O280"/>
    <mergeCell ref="A97:C97"/>
    <mergeCell ref="K158:N158"/>
    <mergeCell ref="E274:O274"/>
    <mergeCell ref="K216:M216"/>
    <mergeCell ref="A290:C290"/>
    <mergeCell ref="K210:M210"/>
    <mergeCell ref="B179:C179"/>
    <mergeCell ref="K133:N133"/>
    <mergeCell ref="D179:E179"/>
    <mergeCell ref="A96:C96"/>
    <mergeCell ref="C9:J9"/>
    <mergeCell ref="B124:D124"/>
    <mergeCell ref="A26:B26"/>
    <mergeCell ref="K12:O12"/>
    <mergeCell ref="D42:I42"/>
    <mergeCell ref="H213:J213"/>
    <mergeCell ref="A288:C288"/>
    <mergeCell ref="K135:N135"/>
    <mergeCell ref="K193:M193"/>
    <mergeCell ref="B230:C230"/>
    <mergeCell ref="E275:O275"/>
    <mergeCell ref="K122:N122"/>
    <mergeCell ref="D230:E230"/>
    <mergeCell ref="K153:N153"/>
    <mergeCell ref="F230:G230"/>
    <mergeCell ref="B126:D126"/>
    <mergeCell ref="K14:O14"/>
    <mergeCell ref="D44:I44"/>
    <mergeCell ref="H215:J215"/>
    <mergeCell ref="A8:B8"/>
    <mergeCell ref="B109:D109"/>
    <mergeCell ref="D180:E180"/>
    <mergeCell ref="M24:N24"/>
    <mergeCell ref="D232:E232"/>
    <mergeCell ref="K7:O7"/>
    <mergeCell ref="J37:L37"/>
    <mergeCell ref="A10:B10"/>
    <mergeCell ref="A250:C250"/>
    <mergeCell ref="F207:G207"/>
    <mergeCell ref="A178:O178"/>
    <mergeCell ref="F225:G225"/>
    <mergeCell ref="K209:M209"/>
    <mergeCell ref="K203:M203"/>
    <mergeCell ref="E289:O289"/>
    <mergeCell ref="E130:F130"/>
    <mergeCell ref="B194:C194"/>
    <mergeCell ref="C6:J6"/>
    <mergeCell ref="K148:N148"/>
    <mergeCell ref="F227:G227"/>
    <mergeCell ref="E160:F160"/>
    <mergeCell ref="F202:G202"/>
    <mergeCell ref="G34:I34"/>
    <mergeCell ref="E141:F141"/>
    <mergeCell ref="A306:C306"/>
    <mergeCell ref="E135:F135"/>
    <mergeCell ref="E132:F132"/>
    <mergeCell ref="K141:N141"/>
    <mergeCell ref="K146:N146"/>
    <mergeCell ref="A278:C278"/>
    <mergeCell ref="E107:F107"/>
    <mergeCell ref="K204:M204"/>
    <mergeCell ref="J32:L32"/>
    <mergeCell ref="H208:J208"/>
    <mergeCell ref="E143:F143"/>
    <mergeCell ref="G115:J115"/>
    <mergeCell ref="G29:I29"/>
    <mergeCell ref="E288:O288"/>
    <mergeCell ref="B164:D164"/>
    <mergeCell ref="A21:B21"/>
    <mergeCell ref="C21:D21"/>
    <mergeCell ref="B114:D114"/>
    <mergeCell ref="D98:I98"/>
    <mergeCell ref="M37:N37"/>
    <mergeCell ref="G166:J166"/>
    <mergeCell ref="G31:I31"/>
    <mergeCell ref="F180:G180"/>
    <mergeCell ref="A32:B32"/>
    <mergeCell ref="J41:N41"/>
    <mergeCell ref="G116:J116"/>
    <mergeCell ref="A23:B23"/>
    <mergeCell ref="K218:M218"/>
    <mergeCell ref="B187:C187"/>
    <mergeCell ref="C23:D23"/>
    <mergeCell ref="D220:E220"/>
    <mergeCell ref="F220:G220"/>
    <mergeCell ref="A304:C304"/>
    <mergeCell ref="A98:C98"/>
    <mergeCell ref="K159:N159"/>
    <mergeCell ref="E125:F125"/>
    <mergeCell ref="J43:N43"/>
    <mergeCell ref="G118:J118"/>
    <mergeCell ref="H221:J221"/>
    <mergeCell ref="M38:N38"/>
    <mergeCell ref="G167:J167"/>
    <mergeCell ref="E112:F112"/>
    <mergeCell ref="B189:C189"/>
    <mergeCell ref="B216:C216"/>
    <mergeCell ref="F222:G222"/>
    <mergeCell ref="K232:M232"/>
    <mergeCell ref="E283:O283"/>
    <mergeCell ref="K13:O13"/>
    <mergeCell ref="B130:D130"/>
    <mergeCell ref="K161:N161"/>
    <mergeCell ref="H236:J236"/>
    <mergeCell ref="B188:C188"/>
    <mergeCell ref="E277:O277"/>
    <mergeCell ref="H223:J223"/>
    <mergeCell ref="B117:D117"/>
    <mergeCell ref="K136:N136"/>
    <mergeCell ref="D182:E182"/>
    <mergeCell ref="F182:G182"/>
    <mergeCell ref="B218:C218"/>
    <mergeCell ref="N95:O95"/>
    <mergeCell ref="E285:O285"/>
    <mergeCell ref="B132:D132"/>
    <mergeCell ref="B190:C190"/>
    <mergeCell ref="B119:D119"/>
    <mergeCell ref="D190:E190"/>
    <mergeCell ref="J20:L20"/>
    <mergeCell ref="D233:E233"/>
    <mergeCell ref="E278:O278"/>
    <mergeCell ref="G134:J134"/>
    <mergeCell ref="N97:O97"/>
    <mergeCell ref="F233:G233"/>
    <mergeCell ref="B112:D112"/>
    <mergeCell ref="D183:E183"/>
    <mergeCell ref="A251:C251"/>
    <mergeCell ref="B219:C219"/>
    <mergeCell ref="E293:O293"/>
    <mergeCell ref="D219:E219"/>
    <mergeCell ref="D93:I93"/>
    <mergeCell ref="E138:F138"/>
    <mergeCell ref="J22:L22"/>
    <mergeCell ref="A309:C309"/>
    <mergeCell ref="B127:D127"/>
    <mergeCell ref="F235:G235"/>
    <mergeCell ref="A259:C259"/>
    <mergeCell ref="D185:E185"/>
    <mergeCell ref="K179:M179"/>
    <mergeCell ref="A253:C253"/>
    <mergeCell ref="K108:N108"/>
    <mergeCell ref="A240:C240"/>
    <mergeCell ref="E295:O295"/>
    <mergeCell ref="E167:F167"/>
    <mergeCell ref="C12:J12"/>
    <mergeCell ref="E311:O311"/>
    <mergeCell ref="K212:M212"/>
    <mergeCell ref="K206:M206"/>
    <mergeCell ref="H234:J234"/>
    <mergeCell ref="E169:F169"/>
    <mergeCell ref="H209:J209"/>
    <mergeCell ref="H184:J184"/>
    <mergeCell ref="K214:M214"/>
    <mergeCell ref="E296:O296"/>
    <mergeCell ref="A319:C319"/>
    <mergeCell ref="K235:M235"/>
    <mergeCell ref="B201:C201"/>
    <mergeCell ref="A29:B29"/>
    <mergeCell ref="C7:J7"/>
    <mergeCell ref="K149:N149"/>
    <mergeCell ref="B122:D122"/>
    <mergeCell ref="D201:E201"/>
    <mergeCell ref="D188:E188"/>
    <mergeCell ref="H211:J211"/>
    <mergeCell ref="A49:O49"/>
    <mergeCell ref="B203:C203"/>
    <mergeCell ref="G124:J124"/>
    <mergeCell ref="A31:B31"/>
    <mergeCell ref="K151:N151"/>
    <mergeCell ref="F234:G234"/>
    <mergeCell ref="E258:O258"/>
    <mergeCell ref="F221:G221"/>
    <mergeCell ref="D41:I41"/>
    <mergeCell ref="F196:G196"/>
    <mergeCell ref="B232:C232"/>
    <mergeCell ref="G109:J109"/>
    <mergeCell ref="J35:L35"/>
    <mergeCell ref="B215:C215"/>
    <mergeCell ref="F236:G236"/>
    <mergeCell ref="A272:C272"/>
    <mergeCell ref="G119:J119"/>
    <mergeCell ref="A297:C297"/>
    <mergeCell ref="F223:G223"/>
    <mergeCell ref="D43:I43"/>
    <mergeCell ref="K175:N175"/>
    <mergeCell ref="E156:F156"/>
    <mergeCell ref="G111:J111"/>
    <mergeCell ref="A247:C247"/>
    <mergeCell ref="E153:F153"/>
    <mergeCell ref="K162:N162"/>
    <mergeCell ref="H237:J237"/>
    <mergeCell ref="E128:F128"/>
    <mergeCell ref="K225:M225"/>
    <mergeCell ref="E155:F155"/>
    <mergeCell ref="B158:D158"/>
    <mergeCell ref="A43:C43"/>
    <mergeCell ref="K164:N164"/>
    <mergeCell ref="B133:D133"/>
    <mergeCell ref="E157:F157"/>
    <mergeCell ref="B160:D160"/>
    <mergeCell ref="F185:G185"/>
    <mergeCell ref="B135:D135"/>
    <mergeCell ref="H224:J224"/>
    <mergeCell ref="D193:E193"/>
    <mergeCell ref="K187:M187"/>
    <mergeCell ref="A261:C261"/>
    <mergeCell ref="G137:J137"/>
    <mergeCell ref="K231:M231"/>
    <mergeCell ref="A19:B19"/>
    <mergeCell ref="A60:O60"/>
    <mergeCell ref="K189:M189"/>
    <mergeCell ref="C19:D19"/>
    <mergeCell ref="E146:F146"/>
    <mergeCell ref="G139:J139"/>
    <mergeCell ref="C13:J13"/>
    <mergeCell ref="K130:N130"/>
    <mergeCell ref="K155:N155"/>
    <mergeCell ref="E246:O246"/>
    <mergeCell ref="E317:O317"/>
    <mergeCell ref="B237:C237"/>
    <mergeCell ref="A256:C256"/>
    <mergeCell ref="G114:J114"/>
    <mergeCell ref="H192:J192"/>
    <mergeCell ref="E298:O298"/>
    <mergeCell ref="B209:C209"/>
    <mergeCell ref="K157:N157"/>
    <mergeCell ref="K132:N132"/>
    <mergeCell ref="G168:J168"/>
    <mergeCell ref="E175:F175"/>
    <mergeCell ref="D203:E203"/>
    <mergeCell ref="E248:O248"/>
    <mergeCell ref="H219:J219"/>
    <mergeCell ref="A264:C264"/>
    <mergeCell ref="E297:O297"/>
    <mergeCell ref="A84:O84"/>
    <mergeCell ref="G143:J143"/>
    <mergeCell ref="K172:N172"/>
    <mergeCell ref="E247:O247"/>
    <mergeCell ref="E312:O312"/>
    <mergeCell ref="E299:O299"/>
    <mergeCell ref="B146:D146"/>
    <mergeCell ref="D204:E204"/>
    <mergeCell ref="C10:J10"/>
    <mergeCell ref="N93:O93"/>
    <mergeCell ref="A37:B37"/>
    <mergeCell ref="K152:N152"/>
    <mergeCell ref="E170:F170"/>
    <mergeCell ref="D198:E198"/>
    <mergeCell ref="F198:G198"/>
    <mergeCell ref="F204:G204"/>
    <mergeCell ref="H214:J214"/>
    <mergeCell ref="E314:O314"/>
    <mergeCell ref="A280:C280"/>
    <mergeCell ref="D206:E206"/>
    <mergeCell ref="A274:C274"/>
    <mergeCell ref="J93:M93"/>
    <mergeCell ref="F231:G231"/>
    <mergeCell ref="B110:D110"/>
    <mergeCell ref="D181:E181"/>
    <mergeCell ref="A249:C249"/>
    <mergeCell ref="G125:J125"/>
    <mergeCell ref="K233:M233"/>
    <mergeCell ref="M27:N27"/>
    <mergeCell ref="K227:M227"/>
    <mergeCell ref="G112:J112"/>
    <mergeCell ref="E154:F154"/>
    <mergeCell ref="A257:C257"/>
    <mergeCell ref="A48:O48"/>
    <mergeCell ref="K106:N106"/>
    <mergeCell ref="B141:D141"/>
    <mergeCell ref="K226:M226"/>
    <mergeCell ref="A275:C275"/>
    <mergeCell ref="E172:F172"/>
    <mergeCell ref="G127:J127"/>
    <mergeCell ref="H205:J205"/>
    <mergeCell ref="H230:J230"/>
    <mergeCell ref="E25:F25"/>
    <mergeCell ref="H180:J180"/>
    <mergeCell ref="A315:C315"/>
    <mergeCell ref="K170:N170"/>
    <mergeCell ref="K228:M228"/>
    <mergeCell ref="H232:J232"/>
    <mergeCell ref="E302:O302"/>
    <mergeCell ref="K120:N120"/>
    <mergeCell ref="A252:C252"/>
    <mergeCell ref="K107:N107"/>
    <mergeCell ref="B224:C224"/>
    <mergeCell ref="B136:D136"/>
    <mergeCell ref="B199:C199"/>
    <mergeCell ref="D199:E199"/>
    <mergeCell ref="G138:J138"/>
    <mergeCell ref="K180:M180"/>
    <mergeCell ref="D186:E186"/>
    <mergeCell ref="D217:E217"/>
    <mergeCell ref="B184:C184"/>
    <mergeCell ref="F217:G217"/>
    <mergeCell ref="E254:O254"/>
    <mergeCell ref="K190:M190"/>
    <mergeCell ref="C20:D20"/>
    <mergeCell ref="F192:G192"/>
    <mergeCell ref="H194:J194"/>
    <mergeCell ref="E20:F20"/>
    <mergeCell ref="B228:C228"/>
    <mergeCell ref="G140:J140"/>
    <mergeCell ref="E318:O318"/>
    <mergeCell ref="D194:E194"/>
    <mergeCell ref="A262:C262"/>
    <mergeCell ref="C22:D22"/>
    <mergeCell ref="F194:G194"/>
    <mergeCell ref="E149:F149"/>
    <mergeCell ref="F181:G181"/>
    <mergeCell ref="G169:J169"/>
    <mergeCell ref="E114:F114"/>
    <mergeCell ref="E249:O249"/>
    <mergeCell ref="E320:O320"/>
    <mergeCell ref="H195:J195"/>
    <mergeCell ref="H189:J189"/>
    <mergeCell ref="B154:D154"/>
    <mergeCell ref="K173:N173"/>
    <mergeCell ref="E257:O257"/>
    <mergeCell ref="D212:E212"/>
    <mergeCell ref="H197:J197"/>
    <mergeCell ref="G21:I21"/>
    <mergeCell ref="A92:O92"/>
    <mergeCell ref="B156:D156"/>
    <mergeCell ref="E144:F144"/>
    <mergeCell ref="A38:B38"/>
    <mergeCell ref="E315:O315"/>
    <mergeCell ref="C38:D38"/>
    <mergeCell ref="J19:L19"/>
    <mergeCell ref="B155:D155"/>
    <mergeCell ref="E282:O282"/>
    <mergeCell ref="G23:I23"/>
    <mergeCell ref="B149:D149"/>
    <mergeCell ref="D207:E207"/>
    <mergeCell ref="K185:M185"/>
    <mergeCell ref="B151:D151"/>
    <mergeCell ref="A41:C41"/>
    <mergeCell ref="D222:E222"/>
    <mergeCell ref="E267:O267"/>
    <mergeCell ref="A283:C283"/>
    <mergeCell ref="A277:C277"/>
    <mergeCell ref="E106:F106"/>
    <mergeCell ref="C33:D33"/>
    <mergeCell ref="F205:G205"/>
    <mergeCell ref="E33:F33"/>
    <mergeCell ref="G153:J153"/>
    <mergeCell ref="H182:J182"/>
    <mergeCell ref="E269:O269"/>
    <mergeCell ref="A285:C285"/>
    <mergeCell ref="A6:B6"/>
    <mergeCell ref="C35:D35"/>
    <mergeCell ref="A105:O105"/>
    <mergeCell ref="K128:N128"/>
    <mergeCell ref="E35:F35"/>
    <mergeCell ref="G164:J164"/>
    <mergeCell ref="K186:M186"/>
    <mergeCell ref="H190:J190"/>
    <mergeCell ref="K171:N171"/>
    <mergeCell ref="E262:O262"/>
    <mergeCell ref="H233:J233"/>
    <mergeCell ref="K121:N121"/>
    <mergeCell ref="E28:F28"/>
    <mergeCell ref="H183:J183"/>
    <mergeCell ref="B225:C225"/>
    <mergeCell ref="D225:E225"/>
    <mergeCell ref="H235:J235"/>
    <mergeCell ref="D200:E200"/>
    <mergeCell ref="M30:N30"/>
    <mergeCell ref="K123:N123"/>
    <mergeCell ref="F200:G200"/>
    <mergeCell ref="E30:F30"/>
    <mergeCell ref="E245:O245"/>
    <mergeCell ref="K110:N110"/>
    <mergeCell ref="H185:J185"/>
    <mergeCell ref="D227:E227"/>
    <mergeCell ref="A295:C295"/>
    <mergeCell ref="A276:C276"/>
    <mergeCell ref="D202:E202"/>
    <mergeCell ref="B106:D106"/>
    <mergeCell ref="K196:M196"/>
    <mergeCell ref="G141:J141"/>
    <mergeCell ref="K174:N174"/>
    <mergeCell ref="K183:M183"/>
    <mergeCell ref="F195:G195"/>
    <mergeCell ref="K198:M198"/>
    <mergeCell ref="D231:E231"/>
    <mergeCell ref="A296:C296"/>
    <mergeCell ref="E321:O321"/>
    <mergeCell ref="A271:C271"/>
    <mergeCell ref="D96:I96"/>
    <mergeCell ref="H201:J201"/>
    <mergeCell ref="F197:G197"/>
    <mergeCell ref="E21:F21"/>
    <mergeCell ref="H188:J188"/>
    <mergeCell ref="A273:C273"/>
    <mergeCell ref="B170:D170"/>
    <mergeCell ref="E129:F129"/>
    <mergeCell ref="J27:L27"/>
    <mergeCell ref="B157:D157"/>
    <mergeCell ref="E23:F23"/>
    <mergeCell ref="B193:C193"/>
    <mergeCell ref="A3:O3"/>
    <mergeCell ref="B172:D172"/>
    <mergeCell ref="G159:J159"/>
    <mergeCell ref="G24:I24"/>
    <mergeCell ref="J25:L25"/>
    <mergeCell ref="E131:F131"/>
    <mergeCell ref="A239:O239"/>
    <mergeCell ref="A298:C298"/>
    <mergeCell ref="A302:C302"/>
    <mergeCell ref="D213:E213"/>
    <mergeCell ref="K211:M211"/>
    <mergeCell ref="F213:G213"/>
    <mergeCell ref="A5:O5"/>
    <mergeCell ref="H198:J198"/>
    <mergeCell ref="G161:J161"/>
    <mergeCell ref="G26:I26"/>
    <mergeCell ref="A27:B27"/>
    <mergeCell ref="G136:J136"/>
    <mergeCell ref="D215:E215"/>
    <mergeCell ref="E34:F34"/>
    <mergeCell ref="B182:C182"/>
    <mergeCell ref="F215:G215"/>
    <mergeCell ref="M25:N25"/>
    <mergeCell ref="A299:C299"/>
    <mergeCell ref="E276:O276"/>
    <mergeCell ref="A293:C293"/>
    <mergeCell ref="A93:C93"/>
    <mergeCell ref="K154:N154"/>
    <mergeCell ref="E270:O270"/>
    <mergeCell ref="H216:J216"/>
    <mergeCell ref="C36:D36"/>
    <mergeCell ref="M36:N36"/>
    <mergeCell ref="K129:N129"/>
    <mergeCell ref="M33:N33"/>
    <mergeCell ref="E36:F36"/>
    <mergeCell ref="H210:J210"/>
    <mergeCell ref="E163:F163"/>
    <mergeCell ref="G156:J156"/>
    <mergeCell ref="B211:C211"/>
    <mergeCell ref="A22:B22"/>
    <mergeCell ref="B125:D125"/>
    <mergeCell ref="E113:F113"/>
    <mergeCell ref="A284:C284"/>
    <mergeCell ref="B183:C183"/>
    <mergeCell ref="J38:L38"/>
    <mergeCell ref="F210:G210"/>
    <mergeCell ref="K131:N131"/>
    <mergeCell ref="E271:O271"/>
    <mergeCell ref="E136:F136"/>
    <mergeCell ref="H193:J193"/>
    <mergeCell ref="D226:E226"/>
    <mergeCell ref="F226:G226"/>
    <mergeCell ref="K10:O10"/>
    <mergeCell ref="E115:F115"/>
    <mergeCell ref="G108:J108"/>
    <mergeCell ref="A9:B9"/>
    <mergeCell ref="B212:C212"/>
    <mergeCell ref="B206:C206"/>
    <mergeCell ref="E273:O273"/>
    <mergeCell ref="D228:E228"/>
    <mergeCell ref="B120:D120"/>
    <mergeCell ref="A16:O16"/>
    <mergeCell ref="B107:D107"/>
    <mergeCell ref="G37:I37"/>
    <mergeCell ref="A246:C246"/>
    <mergeCell ref="A11:B11"/>
    <mergeCell ref="A317:C317"/>
    <mergeCell ref="E127:F127"/>
    <mergeCell ref="B147:D147"/>
    <mergeCell ref="K224:M224"/>
    <mergeCell ref="A18:O18"/>
    <mergeCell ref="B171:D171"/>
    <mergeCell ref="B180:C180"/>
    <mergeCell ref="K199:M199"/>
    <mergeCell ref="A248:C248"/>
    <mergeCell ref="G149:J149"/>
    <mergeCell ref="A321:C321"/>
    <mergeCell ref="K207:M207"/>
    <mergeCell ref="A312:C312"/>
    <mergeCell ref="A47:O47"/>
    <mergeCell ref="G151:J151"/>
    <mergeCell ref="H229:J229"/>
    <mergeCell ref="K142:N142"/>
    <mergeCell ref="K200:M200"/>
    <mergeCell ref="H204:J204"/>
    <mergeCell ref="G32:I32"/>
    <mergeCell ref="M21:N21"/>
    <mergeCell ref="J33:L33"/>
    <mergeCell ref="E291:O291"/>
    <mergeCell ref="A289:C289"/>
    <mergeCell ref="B196:C196"/>
    <mergeCell ref="E266:O266"/>
    <mergeCell ref="K8:O8"/>
    <mergeCell ref="B186:C186"/>
    <mergeCell ref="K144:N144"/>
    <mergeCell ref="D221:E221"/>
    <mergeCell ref="E260:O260"/>
    <mergeCell ref="B173:D173"/>
    <mergeCell ref="K202:M202"/>
    <mergeCell ref="E284:O284"/>
    <mergeCell ref="J99:M99"/>
    <mergeCell ref="H206:J206"/>
    <mergeCell ref="E26:F26"/>
    <mergeCell ref="E124:F124"/>
    <mergeCell ref="G175:J175"/>
    <mergeCell ref="E120:F120"/>
    <mergeCell ref="K217:M217"/>
    <mergeCell ref="D223:E223"/>
    <mergeCell ref="D99:I99"/>
    <mergeCell ref="G162:J162"/>
    <mergeCell ref="G27:I27"/>
    <mergeCell ref="J28:L28"/>
    <mergeCell ref="J101:M101"/>
    <mergeCell ref="A241:C241"/>
    <mergeCell ref="E286:O286"/>
    <mergeCell ref="D216:E216"/>
    <mergeCell ref="J42:N42"/>
    <mergeCell ref="F216:G216"/>
    <mergeCell ref="J100:M100"/>
    <mergeCell ref="G148:J148"/>
    <mergeCell ref="J94:M94"/>
    <mergeCell ref="D101:I101"/>
    <mergeCell ref="J30:L30"/>
    <mergeCell ref="A305:C305"/>
    <mergeCell ref="A243:C243"/>
    <mergeCell ref="A99:C99"/>
    <mergeCell ref="A292:C292"/>
    <mergeCell ref="E121:F121"/>
    <mergeCell ref="D218:E218"/>
    <mergeCell ref="A286:C286"/>
    <mergeCell ref="M34:N34"/>
    <mergeCell ref="J44:N44"/>
    <mergeCell ref="B185:C185"/>
    <mergeCell ref="F218:G218"/>
    <mergeCell ref="A177:O177"/>
    <mergeCell ref="E151:F151"/>
    <mergeCell ref="A101:C101"/>
    <mergeCell ref="A294:C294"/>
    <mergeCell ref="E123:F123"/>
    <mergeCell ref="E150:F150"/>
    <mergeCell ref="B214:C214"/>
    <mergeCell ref="K195:M195"/>
    <mergeCell ref="B128:D128"/>
    <mergeCell ref="H217:J217"/>
    <mergeCell ref="A254:C254"/>
    <mergeCell ref="E152:F152"/>
    <mergeCell ref="G20:I20"/>
    <mergeCell ref="G130:J130"/>
    <mergeCell ref="D234:E234"/>
    <mergeCell ref="E279:O279"/>
    <mergeCell ref="A17:O17"/>
    <mergeCell ref="G117:J117"/>
    <mergeCell ref="E118:F118"/>
    <mergeCell ref="A318:C318"/>
    <mergeCell ref="A12:B12"/>
    <mergeCell ref="G22:I22"/>
    <mergeCell ref="B123:D123"/>
    <mergeCell ref="G132:J132"/>
    <mergeCell ref="G122:J122"/>
    <mergeCell ref="A68:O68"/>
    <mergeCell ref="A320:C320"/>
    <mergeCell ref="A14:B14"/>
    <mergeCell ref="H179:J179"/>
    <mergeCell ref="A314:C314"/>
    <mergeCell ref="F229:G229"/>
    <mergeCell ref="C8:J8"/>
    <mergeCell ref="K150:N150"/>
    <mergeCell ref="D196:E196"/>
    <mergeCell ref="H212:J212"/>
    <mergeCell ref="C32:D32"/>
    <mergeCell ref="M29:N29"/>
    <mergeCell ref="E32:F32"/>
    <mergeCell ref="M23:N23"/>
    <mergeCell ref="E134:F134"/>
    <mergeCell ref="G152:J152"/>
    <mergeCell ref="B204:C204"/>
    <mergeCell ref="B198:C198"/>
    <mergeCell ref="E305:O305"/>
    <mergeCell ref="E243:O243"/>
    <mergeCell ref="J34:L34"/>
    <mergeCell ref="E292:O292"/>
    <mergeCell ref="K145:N145"/>
    <mergeCell ref="D191:E191"/>
    <mergeCell ref="B233:C233"/>
    <mergeCell ref="E307:O307"/>
    <mergeCell ref="F191:G191"/>
    <mergeCell ref="H207:J207"/>
    <mergeCell ref="K208:M208"/>
    <mergeCell ref="B227:C227"/>
    <mergeCell ref="J36:L36"/>
    <mergeCell ref="E294:O294"/>
    <mergeCell ref="D237:E237"/>
    <mergeCell ref="B202:C202"/>
    <mergeCell ref="K160:N160"/>
    <mergeCell ref="A267:C267"/>
    <mergeCell ref="K147:N147"/>
    <mergeCell ref="B116:D116"/>
    <mergeCell ref="E165:F165"/>
    <mergeCell ref="A242:C242"/>
    <mergeCell ref="G33:I33"/>
    <mergeCell ref="G106:J106"/>
    <mergeCell ref="E140:F140"/>
    <mergeCell ref="B174:D174"/>
    <mergeCell ref="M20:N20"/>
    <mergeCell ref="A25:B25"/>
    <mergeCell ref="K220:M220"/>
    <mergeCell ref="C25:D25"/>
    <mergeCell ref="B118:D118"/>
    <mergeCell ref="D102:I102"/>
    <mergeCell ref="A269:C269"/>
    <mergeCell ref="J31:L31"/>
    <mergeCell ref="A244:C244"/>
    <mergeCell ref="G35:I35"/>
    <mergeCell ref="A100:C100"/>
    <mergeCell ref="F232:G232"/>
    <mergeCell ref="J45:N45"/>
    <mergeCell ref="G120:J120"/>
    <mergeCell ref="M22:N22"/>
    <mergeCell ref="F219:G219"/>
    <mergeCell ref="K222:M222"/>
    <mergeCell ref="G107:J107"/>
    <mergeCell ref="B169:D169"/>
    <mergeCell ref="K234:M234"/>
    <mergeCell ref="A308:C308"/>
    <mergeCell ref="A102:C102"/>
    <mergeCell ref="K163:N163"/>
    <mergeCell ref="K221:M221"/>
    <mergeCell ref="K215:M215"/>
    <mergeCell ref="H225:J225"/>
    <mergeCell ref="E241:O241"/>
    <mergeCell ref="D184:E184"/>
    <mergeCell ref="B226:C226"/>
    <mergeCell ref="A245:C245"/>
    <mergeCell ref="F184:G184"/>
    <mergeCell ref="B217:C217"/>
    <mergeCell ref="K236:M236"/>
    <mergeCell ref="B129:D129"/>
    <mergeCell ref="E287:O287"/>
    <mergeCell ref="K165:N165"/>
    <mergeCell ref="A310:C310"/>
    <mergeCell ref="K223:M223"/>
    <mergeCell ref="B192:C192"/>
    <mergeCell ref="H227:J227"/>
    <mergeCell ref="A20:B20"/>
    <mergeCell ref="B121:D121"/>
    <mergeCell ref="D192:E192"/>
    <mergeCell ref="B222:C222"/>
    <mergeCell ref="N99:O99"/>
    <mergeCell ref="B131:D131"/>
    <mergeCell ref="H220:J220"/>
    <mergeCell ref="A13:B13"/>
    <mergeCell ref="K6:O6"/>
    <mergeCell ref="B221:C221"/>
    <mergeCell ref="F179:G179"/>
    <mergeCell ref="G133:J133"/>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C55A11"/>
    <outlinePr summaryBelow="1" summaryRight="1"/>
    <pageSetUpPr fitToPage="1"/>
  </sheetPr>
  <dimension ref="A1:H17"/>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12" customWidth="1" min="4" max="4"/>
    <col width="12" customWidth="1" min="5" max="5"/>
    <col width="12" customWidth="1" min="6" max="6"/>
    <col width="40" customWidth="1" min="7" max="7"/>
    <col width="13" customWidth="1" min="8" max="8"/>
  </cols>
  <sheetData>
    <row r="1" ht="34" customHeight="1">
      <c r="A1" s="1" t="inlineStr">
        <is>
          <t>Org health — spans, layers and overlap, with the people behind them</t>
        </is>
      </c>
      <c r="H1" s="232" t="inlineStr">
        <is>
          <t>◂ Contents</t>
        </is>
      </c>
    </row>
    <row r="2" ht="32" customHeight="1">
      <c r="A2" s="3" t="inlineStr">
        <is>
          <t>Sheet 12 · Managers with very small or very large teams, the deepest reporting chains, and the sub-family overlap across businesses. Counts and charts: Leadership Dashboard, sheet 0b.</t>
        </is>
      </c>
    </row>
    <row r="3">
      <c r="A3" s="4" t="inlineStr">
        <is>
          <t>IRIS · Job Architecture &amp; Job Design · Final v1.12 · October 2026 · Internal — Confidential</t>
        </is>
      </c>
    </row>
    <row r="4"/>
    <row r="5" ht="20" customHeight="1">
      <c r="A5" s="6" t="inlineStr">
        <is>
          <t>Managers with 2 or fewer, or 10 or more, direct reports — 0</t>
        </is>
      </c>
    </row>
    <row r="6" ht="28" customHeight="1">
      <c r="A6" s="12" t="inlineStr">
        <is>
          <t>Manager</t>
        </is>
      </c>
      <c r="B6" s="12" t="inlineStr">
        <is>
          <t>Business</t>
        </is>
      </c>
      <c r="C6" s="12" t="inlineStr">
        <is>
          <t>Department</t>
        </is>
      </c>
      <c r="D6" s="12" t="inlineStr">
        <is>
          <t>Level</t>
        </is>
      </c>
      <c r="E6" s="12" t="inlineStr">
        <is>
          <t>Direct reports</t>
        </is>
      </c>
      <c r="F6" s="12" t="inlineStr">
        <is>
          <t>Layer</t>
        </is>
      </c>
      <c r="G6" s="12" t="inlineStr">
        <is>
          <t>What to look at</t>
        </is>
      </c>
    </row>
    <row r="7" ht="15" customHeight="1"/>
    <row r="8" ht="20" customHeight="1">
      <c r="A8" s="6" t="inlineStr">
        <is>
          <t>People 8 or more layers from the top — 0</t>
        </is>
      </c>
    </row>
    <row r="9" ht="15" customHeight="1">
      <c r="A9" s="11" t="inlineStr">
        <is>
          <t>Check whether every layer above them is a real management step.</t>
        </is>
      </c>
    </row>
    <row r="10" ht="15" customHeight="1">
      <c r="A10" s="12" t="inlineStr">
        <is>
          <t>Person</t>
        </is>
      </c>
      <c r="B10" s="12" t="inlineStr">
        <is>
          <t>Business</t>
        </is>
      </c>
      <c r="C10" s="12" t="inlineStr">
        <is>
          <t>Department</t>
        </is>
      </c>
      <c r="D10" s="12" t="inlineStr">
        <is>
          <t>Level</t>
        </is>
      </c>
      <c r="E10" s="12" t="inlineStr">
        <is>
          <t>Layer</t>
        </is>
      </c>
      <c r="F10" s="12" t="inlineStr">
        <is>
          <t>Reporting manager</t>
        </is>
      </c>
      <c r="G10" s="201" t="n"/>
    </row>
    <row r="11" ht="15" customHeight="1"/>
    <row r="12" ht="20" customHeight="1">
      <c r="A12" s="6" t="inlineStr">
        <is>
          <t>Sub-family overlap across businesses · people</t>
        </is>
      </c>
    </row>
    <row r="13" ht="15" customHeight="1">
      <c r="A13" s="12" t="inlineStr">
        <is>
          <t>Sub-family · family</t>
        </is>
      </c>
      <c r="B13" s="12" t="inlineStr">
        <is>
          <t>CARBON</t>
        </is>
      </c>
      <c r="C13" s="12" t="inlineStr">
        <is>
          <t>iFile</t>
        </is>
      </c>
      <c r="D13" s="12" t="inlineStr">
        <is>
          <t>iDEAL</t>
        </is>
      </c>
      <c r="E13" s="12" t="inlineStr">
        <is>
          <t>Datatech</t>
        </is>
      </c>
      <c r="F13" s="12" t="inlineStr">
        <is>
          <t>Consume</t>
        </is>
      </c>
      <c r="G13" s="12" t="inlineStr">
        <is>
          <t>Corporate</t>
        </is>
      </c>
    </row>
    <row r="14" ht="54" customHeight="1">
      <c r="A14" s="13" t="inlineStr">
        <is>
          <t>Application Maintenance &amp; Production Support · Engineering &amp; Development</t>
        </is>
      </c>
      <c r="B14" s="15" t="n"/>
      <c r="C14" s="15" t="n"/>
      <c r="D14" s="15" t="n"/>
      <c r="E14" s="15" t="n"/>
      <c r="F14" s="15" t="n">
        <v>4</v>
      </c>
      <c r="G14" s="15" t="n"/>
    </row>
    <row r="15" ht="54" customHeight="1">
      <c r="A15" s="13" t="inlineStr">
        <is>
          <t>Document Conversion, Formatting &amp; Web Publishing · Data Operations &amp; Digitization</t>
        </is>
      </c>
      <c r="B15" s="15" t="n"/>
      <c r="C15" s="15" t="n"/>
      <c r="D15" s="15" t="n"/>
      <c r="E15" s="15" t="n"/>
      <c r="F15" s="15" t="n">
        <v>9</v>
      </c>
      <c r="G15" s="15" t="n"/>
    </row>
    <row r="16" ht="28" customHeight="1">
      <c r="A16" s="13" t="inlineStr">
        <is>
          <t>Financial Data Processing · Data &amp; Analytics</t>
        </is>
      </c>
      <c r="B16" s="15" t="n"/>
      <c r="C16" s="15" t="n"/>
      <c r="D16" s="15" t="n"/>
      <c r="E16" s="15" t="n"/>
      <c r="F16" s="15" t="n">
        <v>9</v>
      </c>
      <c r="G16" s="15" t="n"/>
    </row>
    <row r="17" ht="41" customHeight="1">
      <c r="A17" s="13" t="inlineStr">
        <is>
          <t>Project &amp; Program Delivery · Project &amp; Program Management</t>
        </is>
      </c>
      <c r="B17" s="15" t="n"/>
      <c r="C17" s="15" t="n"/>
      <c r="D17" s="15" t="n"/>
      <c r="E17" s="15" t="n"/>
      <c r="F17" s="15" t="n">
        <v>1</v>
      </c>
      <c r="G17" s="15" t="n"/>
    </row>
  </sheetData>
  <mergeCells count="8">
    <mergeCell ref="A1:G1"/>
    <mergeCell ref="A9:G9"/>
    <mergeCell ref="A8:G8"/>
    <mergeCell ref="A3:G3"/>
    <mergeCell ref="F10:G10"/>
    <mergeCell ref="A12:G12"/>
    <mergeCell ref="A2:G2"/>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19.xml><?xml version="1.0" encoding="utf-8"?>
<worksheet xmlns="http://schemas.openxmlformats.org/spreadsheetml/2006/main">
  <sheetPr>
    <tabColor rgb="001F3864"/>
    <outlinePr summaryBelow="1" summaryRight="1"/>
    <pageSetUpPr fitToPage="1"/>
  </sheetPr>
  <dimension ref="A1:H4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22" customWidth="1" min="3" max="3"/>
    <col width="10" customWidth="1" min="4" max="4"/>
    <col width="10" customWidth="1" min="5" max="5"/>
    <col width="12" customWidth="1" min="6" max="6"/>
    <col width="44" customWidth="1" min="7" max="7"/>
    <col width="13" customWidth="1" min="8" max="8"/>
  </cols>
  <sheetData>
    <row r="1" ht="34" customHeight="1">
      <c r="A1" s="1" t="inlineStr">
        <is>
          <t>Weight sensitivity — would the levels change if the weights moved?</t>
        </is>
      </c>
      <c r="H1" s="232" t="inlineStr">
        <is>
          <t>◂ Contents</t>
        </is>
      </c>
    </row>
    <row r="2" ht="32" customHeight="1">
      <c r="A2" s="3" t="inlineStr">
        <is>
          <t>Sheet 13 · Every placement re-run 30 times, each time moving 5 weight points from one factor to another in every weight set. 20 of 23 scored people keep their level in all 30 runs. Below: each test, then the people whose level moves in 5 or more tests.</t>
        </is>
      </c>
    </row>
    <row r="3">
      <c r="A3" s="4" t="inlineStr">
        <is>
          <t>IRIS · Job Architecture &amp; Job Design · Final v1.12 · October 2026 · Internal — Confidential</t>
        </is>
      </c>
    </row>
    <row r="4"/>
    <row r="5" ht="20" customHeight="1">
      <c r="A5" s="6" t="inlineStr">
        <is>
          <t>The 30 tests</t>
        </is>
      </c>
    </row>
    <row r="6" ht="15" customHeight="1">
      <c r="A6" s="12" t="inlineStr">
        <is>
          <t>Weight change · all sets</t>
        </is>
      </c>
      <c r="B6" s="12" t="inlineStr">
        <is>
          <t>Levels that change</t>
        </is>
      </c>
      <c r="C6" s="201" t="n"/>
      <c r="D6" s="12" t="inlineStr">
        <is>
          <t>Up</t>
        </is>
      </c>
      <c r="E6" s="12" t="inlineStr">
        <is>
          <t>Down</t>
        </is>
      </c>
      <c r="F6" s="12" t="inlineStr">
        <is>
          <t>Share</t>
        </is>
      </c>
      <c r="G6" s="201" t="n"/>
    </row>
    <row r="7" ht="28" customHeight="1">
      <c r="A7" s="16" t="inlineStr">
        <is>
          <t>−5 Complexity → +5 Autonomy</t>
        </is>
      </c>
      <c r="B7" s="15" t="n">
        <v>0</v>
      </c>
      <c r="C7" s="201" t="n"/>
      <c r="D7" s="15" t="n">
        <v>0</v>
      </c>
      <c r="E7" s="15" t="n">
        <v>0</v>
      </c>
      <c r="F7" s="15" t="inlineStr">
        <is>
          <t>0.0%</t>
        </is>
      </c>
      <c r="G7" s="201" t="n"/>
    </row>
    <row r="8" ht="28" customHeight="1">
      <c r="A8" s="16" t="inlineStr">
        <is>
          <t>−5 Complexity → +5 Accountability</t>
        </is>
      </c>
      <c r="B8" s="15" t="n">
        <v>0</v>
      </c>
      <c r="C8" s="201" t="n"/>
      <c r="D8" s="15" t="n">
        <v>0</v>
      </c>
      <c r="E8" s="15" t="n">
        <v>0</v>
      </c>
      <c r="F8" s="15" t="inlineStr">
        <is>
          <t>0.0%</t>
        </is>
      </c>
      <c r="G8" s="201" t="n"/>
    </row>
    <row r="9" ht="28" customHeight="1">
      <c r="A9" s="16" t="inlineStr">
        <is>
          <t>−5 Complexity → +5 Leadership</t>
        </is>
      </c>
      <c r="B9" s="15" t="n">
        <v>0</v>
      </c>
      <c r="C9" s="201" t="n"/>
      <c r="D9" s="15" t="n">
        <v>0</v>
      </c>
      <c r="E9" s="15" t="n">
        <v>0</v>
      </c>
      <c r="F9" s="15" t="inlineStr">
        <is>
          <t>0.0%</t>
        </is>
      </c>
      <c r="G9" s="201" t="n"/>
    </row>
    <row r="10" ht="28" customHeight="1">
      <c r="A10" s="16" t="inlineStr">
        <is>
          <t>−5 Complexity → +5 Experience</t>
        </is>
      </c>
      <c r="B10" s="15" t="n">
        <v>0</v>
      </c>
      <c r="C10" s="201" t="n"/>
      <c r="D10" s="15" t="n">
        <v>0</v>
      </c>
      <c r="E10" s="15" t="n">
        <v>0</v>
      </c>
      <c r="F10" s="15" t="inlineStr">
        <is>
          <t>0.0%</t>
        </is>
      </c>
      <c r="G10" s="201" t="n"/>
    </row>
    <row r="11" ht="28" customHeight="1">
      <c r="A11" s="16" t="inlineStr">
        <is>
          <t>−5 Complexity → +5 Business impact</t>
        </is>
      </c>
      <c r="B11" s="15" t="n">
        <v>0</v>
      </c>
      <c r="C11" s="201" t="n"/>
      <c r="D11" s="15" t="n">
        <v>0</v>
      </c>
      <c r="E11" s="15" t="n">
        <v>0</v>
      </c>
      <c r="F11" s="15" t="inlineStr">
        <is>
          <t>0.0%</t>
        </is>
      </c>
      <c r="G11" s="201" t="n"/>
    </row>
    <row r="12" ht="28" customHeight="1">
      <c r="A12" s="16" t="inlineStr">
        <is>
          <t>−5 Autonomy → +5 Complexity</t>
        </is>
      </c>
      <c r="B12" s="15" t="n">
        <v>0</v>
      </c>
      <c r="C12" s="201" t="n"/>
      <c r="D12" s="15" t="n">
        <v>0</v>
      </c>
      <c r="E12" s="15" t="n">
        <v>0</v>
      </c>
      <c r="F12" s="15" t="inlineStr">
        <is>
          <t>0.0%</t>
        </is>
      </c>
      <c r="G12" s="201" t="n"/>
    </row>
    <row r="13" ht="28" customHeight="1">
      <c r="A13" s="16" t="inlineStr">
        <is>
          <t>−5 Autonomy → +5 Accountability</t>
        </is>
      </c>
      <c r="B13" s="15" t="n">
        <v>0</v>
      </c>
      <c r="C13" s="201" t="n"/>
      <c r="D13" s="15" t="n">
        <v>0</v>
      </c>
      <c r="E13" s="15" t="n">
        <v>0</v>
      </c>
      <c r="F13" s="15" t="inlineStr">
        <is>
          <t>0.0%</t>
        </is>
      </c>
      <c r="G13" s="201" t="n"/>
    </row>
    <row r="14" ht="28" customHeight="1">
      <c r="A14" s="16" t="inlineStr">
        <is>
          <t>−5 Autonomy → +5 Leadership</t>
        </is>
      </c>
      <c r="B14" s="15" t="n">
        <v>0</v>
      </c>
      <c r="C14" s="201" t="n"/>
      <c r="D14" s="15" t="n">
        <v>0</v>
      </c>
      <c r="E14" s="15" t="n">
        <v>0</v>
      </c>
      <c r="F14" s="15" t="inlineStr">
        <is>
          <t>0.0%</t>
        </is>
      </c>
      <c r="G14" s="201" t="n"/>
    </row>
    <row r="15" ht="28" customHeight="1">
      <c r="A15" s="16" t="inlineStr">
        <is>
          <t>−5 Autonomy → +5 Experience</t>
        </is>
      </c>
      <c r="B15" s="15" t="n">
        <v>0</v>
      </c>
      <c r="C15" s="201" t="n"/>
      <c r="D15" s="15" t="n">
        <v>0</v>
      </c>
      <c r="E15" s="15" t="n">
        <v>0</v>
      </c>
      <c r="F15" s="15" t="inlineStr">
        <is>
          <t>0.0%</t>
        </is>
      </c>
      <c r="G15" s="201" t="n"/>
    </row>
    <row r="16" ht="28" customHeight="1">
      <c r="A16" s="16" t="inlineStr">
        <is>
          <t>−5 Autonomy → +5 Business impact</t>
        </is>
      </c>
      <c r="B16" s="15" t="n">
        <v>0</v>
      </c>
      <c r="C16" s="201" t="n"/>
      <c r="D16" s="15" t="n">
        <v>0</v>
      </c>
      <c r="E16" s="15" t="n">
        <v>0</v>
      </c>
      <c r="F16" s="15" t="inlineStr">
        <is>
          <t>0.0%</t>
        </is>
      </c>
      <c r="G16" s="201" t="n"/>
    </row>
    <row r="17" ht="28" customHeight="1">
      <c r="A17" s="16" t="inlineStr">
        <is>
          <t>−5 Accountability → +5 Complexity</t>
        </is>
      </c>
      <c r="B17" s="15" t="n">
        <v>0</v>
      </c>
      <c r="C17" s="201" t="n"/>
      <c r="D17" s="15" t="n">
        <v>0</v>
      </c>
      <c r="E17" s="15" t="n">
        <v>0</v>
      </c>
      <c r="F17" s="15" t="inlineStr">
        <is>
          <t>0.0%</t>
        </is>
      </c>
      <c r="G17" s="201" t="n"/>
    </row>
    <row r="18" ht="28" customHeight="1">
      <c r="A18" s="16" t="inlineStr">
        <is>
          <t>−5 Accountability → +5 Autonomy</t>
        </is>
      </c>
      <c r="B18" s="15" t="n">
        <v>0</v>
      </c>
      <c r="C18" s="201" t="n"/>
      <c r="D18" s="15" t="n">
        <v>0</v>
      </c>
      <c r="E18" s="15" t="n">
        <v>0</v>
      </c>
      <c r="F18" s="15" t="inlineStr">
        <is>
          <t>0.0%</t>
        </is>
      </c>
      <c r="G18" s="201" t="n"/>
    </row>
    <row r="19" ht="28" customHeight="1">
      <c r="A19" s="16" t="inlineStr">
        <is>
          <t>−5 Accountability → +5 Leadership</t>
        </is>
      </c>
      <c r="B19" s="15" t="n">
        <v>0</v>
      </c>
      <c r="C19" s="201" t="n"/>
      <c r="D19" s="15" t="n">
        <v>0</v>
      </c>
      <c r="E19" s="15" t="n">
        <v>0</v>
      </c>
      <c r="F19" s="15" t="inlineStr">
        <is>
          <t>0.0%</t>
        </is>
      </c>
      <c r="G19" s="201" t="n"/>
    </row>
    <row r="20" ht="28" customHeight="1">
      <c r="A20" s="16" t="inlineStr">
        <is>
          <t>−5 Accountability → +5 Experience</t>
        </is>
      </c>
      <c r="B20" s="15" t="n">
        <v>0</v>
      </c>
      <c r="C20" s="201" t="n"/>
      <c r="D20" s="15" t="n">
        <v>0</v>
      </c>
      <c r="E20" s="15" t="n">
        <v>0</v>
      </c>
      <c r="F20" s="15" t="inlineStr">
        <is>
          <t>0.0%</t>
        </is>
      </c>
      <c r="G20" s="201" t="n"/>
    </row>
    <row r="21" ht="28" customHeight="1">
      <c r="A21" s="16" t="inlineStr">
        <is>
          <t>−5 Accountability → +5 Business impact</t>
        </is>
      </c>
      <c r="B21" s="15" t="n">
        <v>0</v>
      </c>
      <c r="C21" s="201" t="n"/>
      <c r="D21" s="15" t="n">
        <v>0</v>
      </c>
      <c r="E21" s="15" t="n">
        <v>0</v>
      </c>
      <c r="F21" s="15" t="inlineStr">
        <is>
          <t>0.0%</t>
        </is>
      </c>
      <c r="G21" s="201" t="n"/>
    </row>
    <row r="22" ht="28" customHeight="1">
      <c r="A22" s="16" t="inlineStr">
        <is>
          <t>−5 Leadership → +5 Complexity</t>
        </is>
      </c>
      <c r="B22" s="15" t="n">
        <v>0</v>
      </c>
      <c r="C22" s="201" t="n"/>
      <c r="D22" s="15" t="n">
        <v>0</v>
      </c>
      <c r="E22" s="15" t="n">
        <v>0</v>
      </c>
      <c r="F22" s="15" t="inlineStr">
        <is>
          <t>0.0%</t>
        </is>
      </c>
      <c r="G22" s="201" t="n"/>
    </row>
    <row r="23" ht="28" customHeight="1">
      <c r="A23" s="16" t="inlineStr">
        <is>
          <t>−5 Leadership → +5 Autonomy</t>
        </is>
      </c>
      <c r="B23" s="15" t="n">
        <v>0</v>
      </c>
      <c r="C23" s="201" t="n"/>
      <c r="D23" s="15" t="n">
        <v>0</v>
      </c>
      <c r="E23" s="15" t="n">
        <v>0</v>
      </c>
      <c r="F23" s="15" t="inlineStr">
        <is>
          <t>0.0%</t>
        </is>
      </c>
      <c r="G23" s="201" t="n"/>
    </row>
    <row r="24" ht="28" customHeight="1">
      <c r="A24" s="16" t="inlineStr">
        <is>
          <t>−5 Leadership → +5 Accountability</t>
        </is>
      </c>
      <c r="B24" s="15" t="n">
        <v>0</v>
      </c>
      <c r="C24" s="201" t="n"/>
      <c r="D24" s="15" t="n">
        <v>0</v>
      </c>
      <c r="E24" s="15" t="n">
        <v>0</v>
      </c>
      <c r="F24" s="15" t="inlineStr">
        <is>
          <t>0.0%</t>
        </is>
      </c>
      <c r="G24" s="201" t="n"/>
    </row>
    <row r="25" ht="28" customHeight="1">
      <c r="A25" s="16" t="inlineStr">
        <is>
          <t>−5 Leadership → +5 Experience</t>
        </is>
      </c>
      <c r="B25" s="15" t="n">
        <v>1</v>
      </c>
      <c r="C25" s="201" t="n"/>
      <c r="D25" s="15" t="n">
        <v>1</v>
      </c>
      <c r="E25" s="15" t="n">
        <v>0</v>
      </c>
      <c r="F25" s="15" t="inlineStr">
        <is>
          <t>4.3%</t>
        </is>
      </c>
      <c r="G25" s="201" t="n"/>
    </row>
    <row r="26" ht="28" customHeight="1">
      <c r="A26" s="16" t="inlineStr">
        <is>
          <t>−5 Leadership → +5 Business impact</t>
        </is>
      </c>
      <c r="B26" s="15" t="n">
        <v>0</v>
      </c>
      <c r="C26" s="201" t="n"/>
      <c r="D26" s="15" t="n">
        <v>0</v>
      </c>
      <c r="E26" s="15" t="n">
        <v>0</v>
      </c>
      <c r="F26" s="15" t="inlineStr">
        <is>
          <t>0.0%</t>
        </is>
      </c>
      <c r="G26" s="201" t="n"/>
    </row>
    <row r="27" ht="28" customHeight="1">
      <c r="A27" s="16" t="inlineStr">
        <is>
          <t>−5 Experience → +5 Complexity</t>
        </is>
      </c>
      <c r="B27" s="15" t="n">
        <v>2</v>
      </c>
      <c r="C27" s="201" t="n"/>
      <c r="D27" s="15" t="n">
        <v>0</v>
      </c>
      <c r="E27" s="15" t="n">
        <v>2</v>
      </c>
      <c r="F27" s="15" t="inlineStr">
        <is>
          <t>8.7%</t>
        </is>
      </c>
      <c r="G27" s="201" t="n"/>
    </row>
    <row r="28" ht="28" customHeight="1">
      <c r="A28" s="16" t="inlineStr">
        <is>
          <t>−5 Experience → +5 Autonomy</t>
        </is>
      </c>
      <c r="B28" s="15" t="n">
        <v>2</v>
      </c>
      <c r="C28" s="201" t="n"/>
      <c r="D28" s="15" t="n">
        <v>0</v>
      </c>
      <c r="E28" s="15" t="n">
        <v>2</v>
      </c>
      <c r="F28" s="15" t="inlineStr">
        <is>
          <t>8.7%</t>
        </is>
      </c>
      <c r="G28" s="201" t="n"/>
    </row>
    <row r="29" ht="28" customHeight="1">
      <c r="A29" s="16" t="inlineStr">
        <is>
          <t>−5 Experience → +5 Accountability</t>
        </is>
      </c>
      <c r="B29" s="15" t="n">
        <v>2</v>
      </c>
      <c r="C29" s="201" t="n"/>
      <c r="D29" s="15" t="n">
        <v>0</v>
      </c>
      <c r="E29" s="15" t="n">
        <v>2</v>
      </c>
      <c r="F29" s="15" t="inlineStr">
        <is>
          <t>8.7%</t>
        </is>
      </c>
      <c r="G29" s="201" t="n"/>
    </row>
    <row r="30" ht="28" customHeight="1">
      <c r="A30" s="16" t="inlineStr">
        <is>
          <t>−5 Experience → +5 Leadership</t>
        </is>
      </c>
      <c r="B30" s="15" t="n">
        <v>2</v>
      </c>
      <c r="C30" s="201" t="n"/>
      <c r="D30" s="15" t="n">
        <v>0</v>
      </c>
      <c r="E30" s="15" t="n">
        <v>2</v>
      </c>
      <c r="F30" s="15" t="inlineStr">
        <is>
          <t>8.7%</t>
        </is>
      </c>
      <c r="G30" s="201" t="n"/>
    </row>
    <row r="31" ht="28" customHeight="1">
      <c r="A31" s="16" t="inlineStr">
        <is>
          <t>−5 Experience → +5 Business impact</t>
        </is>
      </c>
      <c r="B31" s="15" t="n">
        <v>2</v>
      </c>
      <c r="C31" s="201" t="n"/>
      <c r="D31" s="15" t="n">
        <v>0</v>
      </c>
      <c r="E31" s="15" t="n">
        <v>2</v>
      </c>
      <c r="F31" s="15" t="inlineStr">
        <is>
          <t>8.7%</t>
        </is>
      </c>
      <c r="G31" s="201" t="n"/>
    </row>
    <row r="32" ht="28" customHeight="1">
      <c r="A32" s="16" t="inlineStr">
        <is>
          <t>−5 Business impact → +5 Complexity</t>
        </is>
      </c>
      <c r="B32" s="15" t="n">
        <v>0</v>
      </c>
      <c r="C32" s="201" t="n"/>
      <c r="D32" s="15" t="n">
        <v>0</v>
      </c>
      <c r="E32" s="15" t="n">
        <v>0</v>
      </c>
      <c r="F32" s="15" t="inlineStr">
        <is>
          <t>0.0%</t>
        </is>
      </c>
      <c r="G32" s="201" t="n"/>
    </row>
    <row r="33" ht="28" customHeight="1">
      <c r="A33" s="16" t="inlineStr">
        <is>
          <t>−5 Business impact → +5 Autonomy</t>
        </is>
      </c>
      <c r="B33" s="15" t="n">
        <v>1</v>
      </c>
      <c r="C33" s="201" t="n"/>
      <c r="D33" s="15" t="n">
        <v>0</v>
      </c>
      <c r="E33" s="15" t="n">
        <v>1</v>
      </c>
      <c r="F33" s="15" t="inlineStr">
        <is>
          <t>4.3%</t>
        </is>
      </c>
      <c r="G33" s="201" t="n"/>
    </row>
    <row r="34" ht="28" customHeight="1">
      <c r="A34" s="16" t="inlineStr">
        <is>
          <t>−5 Business impact → +5 Accountability</t>
        </is>
      </c>
      <c r="B34" s="15" t="n">
        <v>0</v>
      </c>
      <c r="C34" s="201" t="n"/>
      <c r="D34" s="15" t="n">
        <v>0</v>
      </c>
      <c r="E34" s="15" t="n">
        <v>0</v>
      </c>
      <c r="F34" s="15" t="inlineStr">
        <is>
          <t>0.0%</t>
        </is>
      </c>
      <c r="G34" s="201" t="n"/>
    </row>
    <row r="35" ht="28" customHeight="1">
      <c r="A35" s="16" t="inlineStr">
        <is>
          <t>−5 Business impact → +5 Leadership</t>
        </is>
      </c>
      <c r="B35" s="15" t="n">
        <v>2</v>
      </c>
      <c r="C35" s="201" t="n"/>
      <c r="D35" s="15" t="n">
        <v>0</v>
      </c>
      <c r="E35" s="15" t="n">
        <v>2</v>
      </c>
      <c r="F35" s="15" t="inlineStr">
        <is>
          <t>8.7%</t>
        </is>
      </c>
      <c r="G35" s="201" t="n"/>
    </row>
    <row r="36" ht="28" customHeight="1">
      <c r="A36" s="16" t="inlineStr">
        <is>
          <t>−5 Business impact → +5 Experience</t>
        </is>
      </c>
      <c r="B36" s="15" t="n">
        <v>0</v>
      </c>
      <c r="C36" s="201" t="n"/>
      <c r="D36" s="15" t="n">
        <v>0</v>
      </c>
      <c r="E36" s="15" t="n">
        <v>0</v>
      </c>
      <c r="F36" s="15" t="inlineStr">
        <is>
          <t>0.0%</t>
        </is>
      </c>
      <c r="G36" s="201" t="n"/>
    </row>
    <row r="37" ht="15" customHeight="1"/>
    <row r="38" ht="20" customHeight="1">
      <c r="A38" s="6" t="inlineStr">
        <is>
          <t>People whose level moves in 5 or more of the 30 tests — 2</t>
        </is>
      </c>
    </row>
    <row r="39" ht="15" customHeight="1">
      <c r="A39" s="11" t="inlineStr">
        <is>
          <r>
            <rPr>
              <rFont val="Calibri"/>
              <b val="1"/>
              <i val="1"/>
              <color rgb="00595959"/>
              <sz val="10"/>
            </rPr>
            <t>Their placement depends on the exact weights:</t>
          </r>
          <r>
            <rPr>
              <rFont val="Calibri"/>
              <i val="1"/>
              <color rgb="00595959"/>
              <sz val="10"/>
            </rPr>
            <t xml:space="preserve"> calibrate them first.</t>
          </r>
        </is>
      </c>
    </row>
    <row r="40" ht="28" customHeight="1">
      <c r="A40" s="12" t="inlineStr">
        <is>
          <t>Person</t>
        </is>
      </c>
      <c r="B40" s="12" t="inlineStr">
        <is>
          <t>Business</t>
        </is>
      </c>
      <c r="C40" s="12" t="inlineStr">
        <is>
          <t>Department</t>
        </is>
      </c>
      <c r="D40" s="12" t="inlineStr">
        <is>
          <t>Level</t>
        </is>
      </c>
      <c r="E40" s="12" t="inlineStr">
        <is>
          <t>Score</t>
        </is>
      </c>
      <c r="F40" s="12" t="inlineStr">
        <is>
          <t>Tests that move it</t>
        </is>
      </c>
      <c r="G40" s="12" t="inlineStr">
        <is>
          <t>Final designation</t>
        </is>
      </c>
    </row>
    <row r="41" ht="15" customHeight="1">
      <c r="A41" s="13" t="inlineStr">
        <is>
          <t>Waqar Tarique</t>
        </is>
      </c>
      <c r="B41" s="16" t="inlineStr">
        <is>
          <t>Consume</t>
        </is>
      </c>
      <c r="C41" s="16" t="inlineStr">
        <is>
          <t>Technology</t>
        </is>
      </c>
      <c r="D41" s="15" t="inlineStr">
        <is>
          <t>B1</t>
        </is>
      </c>
      <c r="E41" s="15" t="n">
        <v>3.53</v>
      </c>
      <c r="F41" s="15" t="n">
        <v>7</v>
      </c>
      <c r="G41" s="16" t="inlineStr">
        <is>
          <t>Technical Specialist</t>
        </is>
      </c>
    </row>
    <row r="42" ht="15" customHeight="1">
      <c r="A42" s="13" t="inlineStr">
        <is>
          <t>Nitin Bhoir</t>
        </is>
      </c>
      <c r="B42" s="16" t="inlineStr">
        <is>
          <t>Consume</t>
        </is>
      </c>
      <c r="C42" s="16" t="inlineStr">
        <is>
          <t>Digitizing</t>
        </is>
      </c>
      <c r="D42" s="15" t="inlineStr">
        <is>
          <t>B1</t>
        </is>
      </c>
      <c r="E42" s="15" t="n">
        <v>3.55</v>
      </c>
      <c r="F42" s="15" t="n">
        <v>6</v>
      </c>
      <c r="G42" s="16" t="inlineStr">
        <is>
          <t>Digitization Specialist</t>
        </is>
      </c>
    </row>
  </sheetData>
  <mergeCells count="68">
    <mergeCell ref="F11:G11"/>
    <mergeCell ref="B16:C16"/>
    <mergeCell ref="B7:C7"/>
    <mergeCell ref="B25:C25"/>
    <mergeCell ref="F10:G10"/>
    <mergeCell ref="F16:G16"/>
    <mergeCell ref="F29:G29"/>
    <mergeCell ref="F19:G19"/>
    <mergeCell ref="F25:G25"/>
    <mergeCell ref="F34:G34"/>
    <mergeCell ref="B22:C22"/>
    <mergeCell ref="F6:G6"/>
    <mergeCell ref="A38:G38"/>
    <mergeCell ref="B31:C31"/>
    <mergeCell ref="B27:C27"/>
    <mergeCell ref="B18:C18"/>
    <mergeCell ref="F7:G7"/>
    <mergeCell ref="B12:C12"/>
    <mergeCell ref="F21:G21"/>
    <mergeCell ref="B21:C21"/>
    <mergeCell ref="F12:G12"/>
    <mergeCell ref="F24:G24"/>
    <mergeCell ref="F30:G30"/>
    <mergeCell ref="B11:C11"/>
    <mergeCell ref="F15:G15"/>
    <mergeCell ref="A39:G39"/>
    <mergeCell ref="F20:G20"/>
    <mergeCell ref="F18:G18"/>
    <mergeCell ref="B23:C23"/>
    <mergeCell ref="F33:G33"/>
    <mergeCell ref="B14:C14"/>
    <mergeCell ref="F36:G36"/>
    <mergeCell ref="F32:G32"/>
    <mergeCell ref="B17:C17"/>
    <mergeCell ref="F26:G26"/>
    <mergeCell ref="B8:C8"/>
    <mergeCell ref="F17:G17"/>
    <mergeCell ref="F35:G35"/>
    <mergeCell ref="F8:G8"/>
    <mergeCell ref="B13:C13"/>
    <mergeCell ref="A1:G1"/>
    <mergeCell ref="B29:C29"/>
    <mergeCell ref="B19:C19"/>
    <mergeCell ref="B34:C34"/>
    <mergeCell ref="B10:C10"/>
    <mergeCell ref="F23:G23"/>
    <mergeCell ref="B28:C28"/>
    <mergeCell ref="F31:G31"/>
    <mergeCell ref="F22:G22"/>
    <mergeCell ref="F28:G28"/>
    <mergeCell ref="F13:G13"/>
    <mergeCell ref="B9:C9"/>
    <mergeCell ref="F27:G27"/>
    <mergeCell ref="F9:G9"/>
    <mergeCell ref="B6:C6"/>
    <mergeCell ref="B24:C24"/>
    <mergeCell ref="B30:C30"/>
    <mergeCell ref="B15:C15"/>
    <mergeCell ref="B33:C33"/>
    <mergeCell ref="A3:G3"/>
    <mergeCell ref="B20:C20"/>
    <mergeCell ref="B36:C36"/>
    <mergeCell ref="A2:G2"/>
    <mergeCell ref="B32:C32"/>
    <mergeCell ref="F14:G14"/>
    <mergeCell ref="B26:C26"/>
    <mergeCell ref="B35:C35"/>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C55A11"/>
    <outlinePr summaryBelow="1" summaryRight="1"/>
    <pageSetUpPr fitToPage="1"/>
  </sheetPr>
  <dimension ref="A1:I21"/>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10" customWidth="1" min="5" max="5"/>
    <col width="10" customWidth="1" min="6" max="6"/>
    <col width="10" customWidth="1" min="7" max="7"/>
    <col width="30" customWidth="1" min="8" max="8"/>
    <col width="13" customWidth="1" min="9" max="9"/>
  </cols>
  <sheetData>
    <row r="1" ht="34" customHeight="1">
      <c r="A1" s="1" t="inlineStr">
        <is>
          <t>A3 deep-dive — who is close to B1?</t>
        </is>
      </c>
      <c r="I1" s="232" t="inlineStr">
        <is>
          <t>◂ Contents</t>
        </is>
      </c>
    </row>
    <row r="2" ht="32" customHeight="1">
      <c r="A2" s="3" t="inlineStr">
        <is>
          <t>Sheet 14 · 15 employees at A3. 'Gap to B1' = 3.5 minus the person's score on Band B's own weights · B's entry point. Within 0.25: check whether the role already carries B1 work. Long tenure at A3 with a large gap: widen the role, or pay at the top of the A3 range.</t>
        </is>
      </c>
    </row>
    <row r="3">
      <c r="A3" s="4" t="inlineStr">
        <is>
          <t>IRIS · Job Architecture &amp; Job Design · Final v1.12 · October 2026 · Internal — Confidential</t>
        </is>
      </c>
    </row>
    <row r="4"/>
    <row r="5" ht="20" customHeight="1">
      <c r="A5" s="6" t="inlineStr">
        <is>
          <t>Everyone at A3, closest to B1 first</t>
        </is>
      </c>
    </row>
    <row r="6" ht="28" customHeight="1">
      <c r="A6" s="12" t="inlineStr">
        <is>
          <t>Person</t>
        </is>
      </c>
      <c r="B6" s="12" t="inlineStr">
        <is>
          <t>Business</t>
        </is>
      </c>
      <c r="C6" s="12" t="inlineStr">
        <is>
          <t>Department</t>
        </is>
      </c>
      <c r="D6" s="12" t="inlineStr">
        <is>
          <t>Designation</t>
        </is>
      </c>
      <c r="E6" s="12" t="inlineStr">
        <is>
          <t>Total exp. · yrs</t>
        </is>
      </c>
      <c r="F6" s="12" t="inlineStr">
        <is>
          <t>Score</t>
        </is>
      </c>
      <c r="G6" s="12" t="inlineStr">
        <is>
          <t>Gap to B1</t>
        </is>
      </c>
      <c r="H6" s="12" t="inlineStr">
        <is>
          <t>Group</t>
        </is>
      </c>
    </row>
    <row r="7" ht="28" customHeight="1">
      <c r="A7" s="13" t="inlineStr">
        <is>
          <t>Manish Paithankar</t>
        </is>
      </c>
      <c r="B7" s="16" t="inlineStr">
        <is>
          <t>Consume</t>
        </is>
      </c>
      <c r="C7" s="16" t="inlineStr">
        <is>
          <t>Digitizing</t>
        </is>
      </c>
      <c r="D7" s="16" t="inlineStr">
        <is>
          <t>Senior Digitization Associate</t>
        </is>
      </c>
      <c r="E7" s="15" t="n">
        <v>18.7</v>
      </c>
      <c r="F7" s="15" t="n">
        <v>3.58</v>
      </c>
      <c r="G7" s="15" t="n">
        <v>0</v>
      </c>
      <c r="H7" s="16" t="inlineStr">
        <is>
          <t>Scores into B; held at A3 by a rule</t>
        </is>
      </c>
    </row>
    <row r="8" ht="28" customHeight="1">
      <c r="A8" s="13" t="inlineStr">
        <is>
          <t>Manoj Ravidas</t>
        </is>
      </c>
      <c r="B8" s="16" t="inlineStr">
        <is>
          <t>Consume</t>
        </is>
      </c>
      <c r="C8" s="16" t="inlineStr">
        <is>
          <t>Digitizing</t>
        </is>
      </c>
      <c r="D8" s="16" t="inlineStr">
        <is>
          <t>Senior Digitization Associate</t>
        </is>
      </c>
      <c r="E8" s="15" t="n">
        <v>16.3</v>
      </c>
      <c r="F8" s="15" t="n">
        <v>3.48</v>
      </c>
      <c r="G8" s="15" t="n">
        <v>0.1</v>
      </c>
      <c r="H8" s="16" t="inlineStr">
        <is>
          <t>Within 0.25 of B1</t>
        </is>
      </c>
    </row>
    <row r="9" ht="15" customHeight="1">
      <c r="A9" s="13" t="inlineStr">
        <is>
          <t>Sharad Mane</t>
        </is>
      </c>
      <c r="B9" s="16" t="inlineStr">
        <is>
          <t>Consume</t>
        </is>
      </c>
      <c r="C9" s="16" t="inlineStr">
        <is>
          <t>Technology</t>
        </is>
      </c>
      <c r="D9" s="16" t="inlineStr">
        <is>
          <t>Technical Specialist</t>
        </is>
      </c>
      <c r="E9" s="15" t="n">
        <v>11.4</v>
      </c>
      <c r="F9" s="15" t="n">
        <v>3.35</v>
      </c>
      <c r="G9" s="15" t="n">
        <v>0.22</v>
      </c>
      <c r="H9" s="16" t="inlineStr">
        <is>
          <t>Within 0.25 of B1</t>
        </is>
      </c>
    </row>
    <row r="10" ht="28" customHeight="1">
      <c r="A10" s="13" t="inlineStr">
        <is>
          <t>Manoj Tiwari</t>
        </is>
      </c>
      <c r="B10" s="16" t="inlineStr">
        <is>
          <t>Consume</t>
        </is>
      </c>
      <c r="C10" s="16" t="inlineStr">
        <is>
          <t>Digitizing</t>
        </is>
      </c>
      <c r="D10" s="16" t="inlineStr">
        <is>
          <t>Senior Digitization Associate</t>
        </is>
      </c>
      <c r="E10" s="15" t="n">
        <v>16.7</v>
      </c>
      <c r="F10" s="15" t="n">
        <v>3.23</v>
      </c>
      <c r="G10" s="15" t="n">
        <v>0.3</v>
      </c>
      <c r="H10" s="16" t="inlineStr">
        <is>
          <t>0.25–0.5 from B1</t>
        </is>
      </c>
    </row>
    <row r="11" ht="28" customHeight="1">
      <c r="A11" s="13" t="inlineStr">
        <is>
          <t>Aniket Manval</t>
        </is>
      </c>
      <c r="B11" s="16" t="inlineStr">
        <is>
          <t>Consume</t>
        </is>
      </c>
      <c r="C11" s="16" t="inlineStr">
        <is>
          <t>Digitizing</t>
        </is>
      </c>
      <c r="D11" s="16" t="inlineStr">
        <is>
          <t>Senior Digitization Associate</t>
        </is>
      </c>
      <c r="E11" s="15" t="n">
        <v>19.4</v>
      </c>
      <c r="F11" s="15" t="n">
        <v>3.18</v>
      </c>
      <c r="G11" s="15" t="n">
        <v>0.36</v>
      </c>
      <c r="H11" s="16" t="inlineStr">
        <is>
          <t>0.25–0.5 from B1</t>
        </is>
      </c>
    </row>
    <row r="12" ht="15" customHeight="1">
      <c r="A12" s="13" t="inlineStr">
        <is>
          <t>Safal Gupta</t>
        </is>
      </c>
      <c r="B12" s="16" t="inlineStr">
        <is>
          <t>Consume</t>
        </is>
      </c>
      <c r="C12" s="16" t="inlineStr">
        <is>
          <t>Technology</t>
        </is>
      </c>
      <c r="D12" s="16" t="inlineStr">
        <is>
          <t>Senior Software Engineer</t>
        </is>
      </c>
      <c r="E12" s="15" t="n">
        <v>5.8</v>
      </c>
      <c r="F12" s="15" t="n">
        <v>3.13</v>
      </c>
      <c r="G12" s="15" t="n">
        <v>0.44</v>
      </c>
      <c r="H12" s="16" t="inlineStr">
        <is>
          <t>0.25–0.5 from B1</t>
        </is>
      </c>
    </row>
    <row r="13" ht="15" customHeight="1">
      <c r="A13" s="13" t="inlineStr">
        <is>
          <t>Nishikant Mhatre</t>
        </is>
      </c>
      <c r="B13" s="16" t="inlineStr">
        <is>
          <t>Consume</t>
        </is>
      </c>
      <c r="C13" s="16" t="inlineStr">
        <is>
          <t>India Content</t>
        </is>
      </c>
      <c r="D13" s="16" t="inlineStr">
        <is>
          <t>Senior Data Analyst</t>
        </is>
      </c>
      <c r="E13" s="15" t="n">
        <v>30.7</v>
      </c>
      <c r="F13" s="15" t="n">
        <v>3.03</v>
      </c>
      <c r="G13" s="15" t="n">
        <v>0.51</v>
      </c>
      <c r="H13" s="16" t="inlineStr">
        <is>
          <t>0.5–1.0 from B1</t>
        </is>
      </c>
    </row>
    <row r="14" ht="15" customHeight="1">
      <c r="A14" s="13" t="inlineStr">
        <is>
          <t>Prashant Shelar</t>
        </is>
      </c>
      <c r="B14" s="16" t="inlineStr">
        <is>
          <t>Consume</t>
        </is>
      </c>
      <c r="C14" s="16" t="inlineStr">
        <is>
          <t>India Content</t>
        </is>
      </c>
      <c r="D14" s="16" t="inlineStr">
        <is>
          <t>Senior Data Analyst</t>
        </is>
      </c>
      <c r="E14" s="15" t="n">
        <v>22.5</v>
      </c>
      <c r="F14" s="15" t="n">
        <v>2.93</v>
      </c>
      <c r="G14" s="15" t="n">
        <v>0.61</v>
      </c>
      <c r="H14" s="16" t="inlineStr">
        <is>
          <t>0.5–1.0 from B1</t>
        </is>
      </c>
    </row>
    <row r="15" ht="15" customHeight="1">
      <c r="A15" s="13" t="inlineStr">
        <is>
          <t>Swapnil Katrat</t>
        </is>
      </c>
      <c r="B15" s="16" t="inlineStr">
        <is>
          <t>Consume</t>
        </is>
      </c>
      <c r="C15" s="16" t="inlineStr">
        <is>
          <t>India Content</t>
        </is>
      </c>
      <c r="D15" s="16" t="inlineStr">
        <is>
          <t>Senior Data Analyst</t>
        </is>
      </c>
      <c r="E15" s="15" t="n">
        <v>21.1</v>
      </c>
      <c r="F15" s="15" t="n">
        <v>2.83</v>
      </c>
      <c r="G15" s="15" t="n">
        <v>0.71</v>
      </c>
      <c r="H15" s="16" t="inlineStr">
        <is>
          <t>0.5–1.0 from B1</t>
        </is>
      </c>
    </row>
    <row r="16" ht="15" customHeight="1">
      <c r="A16" s="13" t="inlineStr">
        <is>
          <t>Neelam Kadam</t>
        </is>
      </c>
      <c r="B16" s="16" t="inlineStr">
        <is>
          <t>Consume</t>
        </is>
      </c>
      <c r="C16" s="16" t="inlineStr">
        <is>
          <t>India Content</t>
        </is>
      </c>
      <c r="D16" s="16" t="inlineStr">
        <is>
          <t>Senior Data Analyst</t>
        </is>
      </c>
      <c r="E16" s="15" t="n">
        <v>19.4</v>
      </c>
      <c r="F16" s="15" t="n">
        <v>2.78</v>
      </c>
      <c r="G16" s="15" t="n">
        <v>0.76</v>
      </c>
      <c r="H16" s="16" t="inlineStr">
        <is>
          <t>0.5–1.0 from B1</t>
        </is>
      </c>
    </row>
    <row r="17" ht="15" customHeight="1">
      <c r="A17" s="13" t="inlineStr">
        <is>
          <t>Palanikumar Mooppanar</t>
        </is>
      </c>
      <c r="B17" s="16" t="inlineStr">
        <is>
          <t>Consume</t>
        </is>
      </c>
      <c r="C17" s="16" t="inlineStr">
        <is>
          <t>India Content</t>
        </is>
      </c>
      <c r="D17" s="16" t="inlineStr">
        <is>
          <t>Senior Data Analyst</t>
        </is>
      </c>
      <c r="E17" s="15" t="n">
        <v>18.5</v>
      </c>
      <c r="F17" s="15" t="n">
        <v>2.78</v>
      </c>
      <c r="G17" s="15" t="n">
        <v>0.76</v>
      </c>
      <c r="H17" s="16" t="inlineStr">
        <is>
          <t>0.5–1.0 from B1</t>
        </is>
      </c>
    </row>
    <row r="18" ht="15" customHeight="1">
      <c r="A18" s="13" t="inlineStr">
        <is>
          <t>John Mariakulandai</t>
        </is>
      </c>
      <c r="B18" s="16" t="inlineStr">
        <is>
          <t>Consume</t>
        </is>
      </c>
      <c r="C18" s="16" t="inlineStr">
        <is>
          <t>India Content</t>
        </is>
      </c>
      <c r="D18" s="16" t="inlineStr">
        <is>
          <t>Senior Data Analyst</t>
        </is>
      </c>
      <c r="E18" s="15" t="n">
        <v>17.4</v>
      </c>
      <c r="F18" s="15" t="n">
        <v>2.76</v>
      </c>
      <c r="G18" s="15" t="n">
        <v>0.78</v>
      </c>
      <c r="H18" s="16" t="inlineStr">
        <is>
          <t>0.5–1.0 from B1</t>
        </is>
      </c>
    </row>
    <row r="19" ht="15" customHeight="1">
      <c r="A19" s="13" t="inlineStr">
        <is>
          <t>Akash Dubey</t>
        </is>
      </c>
      <c r="B19" s="16" t="inlineStr">
        <is>
          <t>Consume</t>
        </is>
      </c>
      <c r="C19" s="16" t="inlineStr">
        <is>
          <t>India Content</t>
        </is>
      </c>
      <c r="D19" s="16" t="inlineStr">
        <is>
          <t>Senior Data Analyst</t>
        </is>
      </c>
      <c r="E19" s="15" t="n">
        <v>8.1</v>
      </c>
      <c r="F19" s="15" t="n">
        <v>2.38</v>
      </c>
      <c r="G19" s="15" t="n">
        <v>1.17</v>
      </c>
      <c r="H19" s="16" t="inlineStr">
        <is>
          <t>More than 1.0 from B1</t>
        </is>
      </c>
    </row>
    <row r="20" ht="28" customHeight="1">
      <c r="A20" s="13" t="inlineStr">
        <is>
          <t>Snehal Bhavesh Farad</t>
        </is>
      </c>
      <c r="B20" s="16" t="inlineStr">
        <is>
          <t>Consume</t>
        </is>
      </c>
      <c r="C20" s="16" t="inlineStr">
        <is>
          <t>Digitizing</t>
        </is>
      </c>
      <c r="D20" s="16" t="inlineStr">
        <is>
          <t>Senior Digitization Associate</t>
        </is>
      </c>
      <c r="E20" s="15" t="n">
        <v>5.1</v>
      </c>
      <c r="F20" s="15" t="n">
        <v>2.15</v>
      </c>
      <c r="G20" s="15" t="n">
        <v>1.4</v>
      </c>
      <c r="H20" s="16" t="inlineStr">
        <is>
          <t>More than 1.0 from B1</t>
        </is>
      </c>
    </row>
    <row r="21" ht="28" customHeight="1">
      <c r="A21" s="13" t="inlineStr">
        <is>
          <t>Saurav Kamtekar</t>
        </is>
      </c>
      <c r="B21" s="16" t="inlineStr">
        <is>
          <t>Consume</t>
        </is>
      </c>
      <c r="C21" s="16" t="inlineStr">
        <is>
          <t>Digitizing</t>
        </is>
      </c>
      <c r="D21" s="16" t="inlineStr">
        <is>
          <t>Senior Digitization Associate</t>
        </is>
      </c>
      <c r="E21" s="15" t="n">
        <v>2.6</v>
      </c>
      <c r="F21" s="15" t="n">
        <v>2.08</v>
      </c>
      <c r="G21" s="15" t="n">
        <v>1.46</v>
      </c>
      <c r="H21" s="16" t="inlineStr">
        <is>
          <t>More than 1.0 from B1</t>
        </is>
      </c>
    </row>
  </sheetData>
  <mergeCells count="4">
    <mergeCell ref="A3:H3"/>
    <mergeCell ref="A2:H2"/>
    <mergeCell ref="A5:H5"/>
    <mergeCell ref="A1:H1"/>
  </mergeCells>
  <conditionalFormatting sqref="G7:G21">
    <cfRule type="colorScale" priority="1">
      <colorScale>
        <cfvo type="num" val="0"/>
        <cfvo type="num" val="1.5"/>
        <color rgb="00A9D08E"/>
        <color rgb="00FFFFFF"/>
      </colorScale>
    </cfRule>
  </conditionalFormatting>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7030A0"/>
    <outlinePr summaryBelow="1" summaryRight="1"/>
    <pageSetUpPr fitToPage="1"/>
  </sheetPr>
  <dimension ref="A1:I5"/>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6" customWidth="1" min="3" max="3"/>
    <col width="9" customWidth="1" min="4" max="4"/>
    <col width="22" customWidth="1" min="5" max="5"/>
    <col width="34" customWidth="1" min="6" max="6"/>
    <col width="34" customWidth="1" min="7" max="7"/>
    <col width="34" customWidth="1" min="8" max="8"/>
    <col width="13" customWidth="1" min="9" max="9"/>
  </cols>
  <sheetData>
    <row r="1" ht="34" customHeight="1">
      <c r="A1" s="1" t="inlineStr">
        <is>
          <t>Succession — C–E roles and who could step up</t>
        </is>
      </c>
      <c r="I1" s="232" t="inlineStr">
        <is>
          <t>◂ Contents</t>
        </is>
      </c>
    </row>
    <row r="2" ht="32" customHeight="1">
      <c r="A2" s="3" t="inlineStr">
        <is>
          <r>
            <rPr>
              <rFont val="Calibri"/>
              <b val="1"/>
              <i val="1"/>
              <color rgb="00404040"/>
              <sz val="10"/>
            </rPr>
            <t>Sheet 15 · For every role at C1 and above:</t>
          </r>
          <r>
            <rPr>
              <rFont val="Calibri"/>
              <i val="1"/>
              <color rgb="00404040"/>
              <sz val="10"/>
            </rPr>
            <t xml:space="preserve"> people in the same job family, up to three steps below, by readiness · from the talent data on sheet 8. Business and enterprise leaders: anyone at C1 or above in the same business · enterprise roles: any business. Confirm or name successors in calibration.</t>
          </r>
        </is>
      </c>
    </row>
    <row r="3">
      <c r="A3" s="4" t="inlineStr">
        <is>
          <t>IRIS · Job Architecture &amp; Job Design · Final v1.12 · October 2026 · Internal — Confidential</t>
        </is>
      </c>
    </row>
    <row r="4"/>
    <row r="5" ht="15" customHeight="1">
      <c r="A5" s="11" t="inlineStr">
        <is>
          <t>No roles at C1 or above here, so there is nothing to cover. Succession for this product's leadership sits with the business head · Corporate / HR Super Master.</t>
        </is>
      </c>
    </row>
  </sheetData>
  <mergeCells count="4">
    <mergeCell ref="A3:H3"/>
    <mergeCell ref="A2:H2"/>
    <mergeCell ref="A5:H5"/>
    <mergeCell ref="A1:H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1" customWidth="1" min="2" max="2"/>
    <col width="11" customWidth="1" min="3" max="3"/>
    <col width="18" customWidth="1" min="4" max="4"/>
    <col width="30" customWidth="1" min="5" max="5"/>
    <col width="7" customWidth="1" min="6" max="6"/>
    <col width="9" customWidth="1" min="7" max="7"/>
    <col width="9" customWidth="1" min="8" max="8"/>
    <col width="9" customWidth="1" min="9" max="9"/>
    <col width="9" customWidth="1" min="10" max="10"/>
    <col width="44" customWidth="1" min="11" max="11"/>
    <col width="40" customWidth="1" min="12" max="12"/>
    <col width="13" customWidth="1" min="13" max="13"/>
  </cols>
  <sheetData>
    <row r="1" ht="34" customHeight="1">
      <c r="A1" s="1" t="inlineStr">
        <is>
          <t>Critical roles at risk — where cover is needed first</t>
        </is>
      </c>
      <c r="M1" s="232" t="inlineStr">
        <is>
          <t>◂ Contents</t>
        </is>
      </c>
    </row>
    <row r="2" ht="32" customHeight="1">
      <c r="A2" s="3" t="inlineStr">
        <is>
          <t>Sheet 15a · 15 people whose role is critical, or whose work only they do, with no successor named · 0 high risk. From the survey's 'critical role' and 'only you do this' answers and the successor field; possible cover = people in the same sub-family at or near this level · same product first. Name a successor, document the work and cross-train.</t>
        </is>
      </c>
    </row>
    <row r="3">
      <c r="A3" s="4" t="inlineStr">
        <is>
          <t>IRIS · Job Architecture &amp; Job Design · Final v1.12 · October 2026 · Internal — Confidential</t>
        </is>
      </c>
    </row>
    <row r="4"/>
    <row r="5" ht="28" customHeight="1">
      <c r="A5" s="12" t="inlineStr">
        <is>
          <t>Person</t>
        </is>
      </c>
      <c r="B5" s="12" t="inlineStr">
        <is>
          <t>Emp ID</t>
        </is>
      </c>
      <c r="C5" s="12" t="inlineStr">
        <is>
          <t>Business</t>
        </is>
      </c>
      <c r="D5" s="12" t="inlineStr">
        <is>
          <t>Department</t>
        </is>
      </c>
      <c r="E5" s="12" t="inlineStr">
        <is>
          <t>Role</t>
        </is>
      </c>
      <c r="F5" s="12" t="inlineStr">
        <is>
          <t>Level</t>
        </is>
      </c>
      <c r="G5" s="12" t="inlineStr">
        <is>
          <t>Critical role</t>
        </is>
      </c>
      <c r="H5" s="12" t="inlineStr">
        <is>
          <t>Only this person</t>
        </is>
      </c>
      <c r="I5" s="12" t="inlineStr">
        <is>
          <t>Successor named</t>
        </is>
      </c>
      <c r="J5" s="12" t="inlineStr">
        <is>
          <t>Risk</t>
        </is>
      </c>
      <c r="K5" s="12" t="inlineStr">
        <is>
          <t>Possible cover · same sub-family</t>
        </is>
      </c>
      <c r="L5" s="12" t="inlineStr">
        <is>
          <t>Action</t>
        </is>
      </c>
    </row>
    <row r="6" ht="28" customHeight="1">
      <c r="A6" s="13" t="inlineStr">
        <is>
          <t>Nishant Kohakade</t>
        </is>
      </c>
      <c r="B6" s="16" t="inlineStr">
        <is>
          <t>IRIS0724</t>
        </is>
      </c>
      <c r="C6" s="16" t="inlineStr">
        <is>
          <t>Consume</t>
        </is>
      </c>
      <c r="D6" s="16" t="inlineStr">
        <is>
          <t>Technology</t>
        </is>
      </c>
      <c r="E6" s="16" t="inlineStr">
        <is>
          <t>Lead Software Engineer</t>
        </is>
      </c>
      <c r="F6" s="15" t="inlineStr">
        <is>
          <t>B3</t>
        </is>
      </c>
      <c r="G6" s="15" t="inlineStr">
        <is>
          <t>Yes</t>
        </is>
      </c>
      <c r="H6" s="15" t="inlineStr">
        <is>
          <t>—</t>
        </is>
      </c>
      <c r="I6" s="15" t="inlineStr">
        <is>
          <t>No</t>
        </is>
      </c>
      <c r="J6" s="231" t="inlineStr">
        <is>
          <t>Medium</t>
        </is>
      </c>
      <c r="K6" s="16" t="inlineStr">
        <is>
          <t>No one in the same sub-family at or near this level — external hire or develop</t>
        </is>
      </c>
      <c r="L6" s="16" t="inlineStr">
        <is>
          <t>Name a successor; document the key process; cross-train one person</t>
        </is>
      </c>
    </row>
    <row r="7" ht="28" customHeight="1">
      <c r="A7" s="13" t="inlineStr">
        <is>
          <t>Shraddha Patil</t>
        </is>
      </c>
      <c r="B7" s="16" t="inlineStr">
        <is>
          <t>IRIS0114</t>
        </is>
      </c>
      <c r="C7" s="16" t="inlineStr">
        <is>
          <t>Consume</t>
        </is>
      </c>
      <c r="D7" s="16" t="inlineStr">
        <is>
          <t>Digitizing</t>
        </is>
      </c>
      <c r="E7" s="16" t="inlineStr">
        <is>
          <t>Digitization Manager</t>
        </is>
      </c>
      <c r="F7" s="15" t="inlineStr">
        <is>
          <t>B2</t>
        </is>
      </c>
      <c r="G7" s="15" t="inlineStr">
        <is>
          <t>Yes</t>
        </is>
      </c>
      <c r="H7" s="15" t="inlineStr">
        <is>
          <t>—</t>
        </is>
      </c>
      <c r="I7" s="15" t="inlineStr">
        <is>
          <t>No</t>
        </is>
      </c>
      <c r="J7" s="231" t="inlineStr">
        <is>
          <t>Medium</t>
        </is>
      </c>
      <c r="K7" s="16" t="inlineStr">
        <is>
          <t>Nitin Bhoir · B1, Consume</t>
        </is>
      </c>
      <c r="L7" s="16" t="inlineStr">
        <is>
          <t>Name a successor; document the key process; cross-train one person</t>
        </is>
      </c>
    </row>
    <row r="8" ht="28" customHeight="1">
      <c r="A8" s="13" t="inlineStr">
        <is>
          <t>Zakiruddin Shaikh</t>
        </is>
      </c>
      <c r="B8" s="16" t="inlineStr">
        <is>
          <t>IRIS1952</t>
        </is>
      </c>
      <c r="C8" s="16" t="inlineStr">
        <is>
          <t>Consume</t>
        </is>
      </c>
      <c r="D8" s="16" t="inlineStr">
        <is>
          <t>Technology</t>
        </is>
      </c>
      <c r="E8" s="16" t="inlineStr">
        <is>
          <t>Project Manager</t>
        </is>
      </c>
      <c r="F8" s="15" t="inlineStr">
        <is>
          <t>B2</t>
        </is>
      </c>
      <c r="G8" s="15" t="inlineStr">
        <is>
          <t>Yes</t>
        </is>
      </c>
      <c r="H8" s="15" t="inlineStr">
        <is>
          <t>—</t>
        </is>
      </c>
      <c r="I8" s="15" t="inlineStr">
        <is>
          <t>No</t>
        </is>
      </c>
      <c r="J8" s="231" t="inlineStr">
        <is>
          <t>Medium</t>
        </is>
      </c>
      <c r="K8" s="16" t="inlineStr">
        <is>
          <t>No one in the same sub-family at or near this level — external hire or develop</t>
        </is>
      </c>
      <c r="L8" s="16" t="inlineStr">
        <is>
          <t>Name a successor; document the key process; cross-train one person</t>
        </is>
      </c>
    </row>
    <row r="9" ht="41" customHeight="1">
      <c r="A9" s="13" t="inlineStr">
        <is>
          <t>Nitin Bhoir</t>
        </is>
      </c>
      <c r="B9" s="16" t="inlineStr">
        <is>
          <t>IRIS0167</t>
        </is>
      </c>
      <c r="C9" s="16" t="inlineStr">
        <is>
          <t>Consume</t>
        </is>
      </c>
      <c r="D9" s="16" t="inlineStr">
        <is>
          <t>Digitizing</t>
        </is>
      </c>
      <c r="E9" s="16" t="inlineStr">
        <is>
          <t>Digitization Specialist</t>
        </is>
      </c>
      <c r="F9" s="15" t="inlineStr">
        <is>
          <t>B1</t>
        </is>
      </c>
      <c r="G9" s="15" t="inlineStr">
        <is>
          <t>Yes</t>
        </is>
      </c>
      <c r="H9" s="15" t="inlineStr">
        <is>
          <t>—</t>
        </is>
      </c>
      <c r="I9" s="15" t="inlineStr">
        <is>
          <t>No</t>
        </is>
      </c>
      <c r="J9" s="231" t="inlineStr">
        <is>
          <t>Medium</t>
        </is>
      </c>
      <c r="K9" s="16" t="inlineStr">
        <is>
          <t>Shraddha Patil · B2, Consume · Aniket Manval · A3, Consume · Manish Paithankar · A3, Consume</t>
        </is>
      </c>
      <c r="L9" s="16" t="inlineStr">
        <is>
          <t>Name a successor; document the key process; cross-train one person</t>
        </is>
      </c>
    </row>
    <row r="10" ht="28" customHeight="1">
      <c r="A10" s="13" t="inlineStr">
        <is>
          <t>Waqar Tarique</t>
        </is>
      </c>
      <c r="B10" s="16" t="inlineStr">
        <is>
          <t>IRIS0538</t>
        </is>
      </c>
      <c r="C10" s="16" t="inlineStr">
        <is>
          <t>Consume</t>
        </is>
      </c>
      <c r="D10" s="16" t="inlineStr">
        <is>
          <t>Technology</t>
        </is>
      </c>
      <c r="E10" s="16" t="inlineStr">
        <is>
          <t>Technical Specialist</t>
        </is>
      </c>
      <c r="F10" s="15" t="inlineStr">
        <is>
          <t>B1</t>
        </is>
      </c>
      <c r="G10" s="15" t="inlineStr">
        <is>
          <t>Yes</t>
        </is>
      </c>
      <c r="H10" s="15" t="inlineStr">
        <is>
          <t>—</t>
        </is>
      </c>
      <c r="I10" s="15" t="inlineStr">
        <is>
          <t>No</t>
        </is>
      </c>
      <c r="J10" s="231" t="inlineStr">
        <is>
          <t>Medium</t>
        </is>
      </c>
      <c r="K10" s="16" t="inlineStr">
        <is>
          <t>Nishant Kohakade · B3, Consume · Safal Gupta · A3, Consume · Sharad Mane · A3, Consume</t>
        </is>
      </c>
      <c r="L10" s="16" t="inlineStr">
        <is>
          <t>Name a successor; document the key process; cross-train one person</t>
        </is>
      </c>
    </row>
    <row r="11" ht="41" customHeight="1">
      <c r="A11" s="13" t="inlineStr">
        <is>
          <t>Aniket Manval</t>
        </is>
      </c>
      <c r="B11" s="16" t="inlineStr">
        <is>
          <t>IRIS0110</t>
        </is>
      </c>
      <c r="C11" s="16" t="inlineStr">
        <is>
          <t>Consume</t>
        </is>
      </c>
      <c r="D11" s="16" t="inlineStr">
        <is>
          <t>Digitizing</t>
        </is>
      </c>
      <c r="E11" s="16" t="inlineStr">
        <is>
          <t>Senior Digitization Associate</t>
        </is>
      </c>
      <c r="F11" s="15" t="inlineStr">
        <is>
          <t>A3</t>
        </is>
      </c>
      <c r="G11" s="15" t="inlineStr">
        <is>
          <t>Yes</t>
        </is>
      </c>
      <c r="H11" s="15" t="inlineStr">
        <is>
          <t>—</t>
        </is>
      </c>
      <c r="I11" s="15" t="inlineStr">
        <is>
          <t>No</t>
        </is>
      </c>
      <c r="J11" s="231" t="inlineStr">
        <is>
          <t>Medium</t>
        </is>
      </c>
      <c r="K11" s="16" t="inlineStr">
        <is>
          <t>Shraddha Patil · B2, Consume · Nitin Bhoir · B1, Consume · Manish Paithankar · A3, Consume</t>
        </is>
      </c>
      <c r="L11" s="16" t="inlineStr">
        <is>
          <t>Name a successor; document the key process; cross-train one person</t>
        </is>
      </c>
    </row>
    <row r="12" ht="28" customHeight="1">
      <c r="A12" s="13" t="inlineStr">
        <is>
          <t>Manish Paithankar</t>
        </is>
      </c>
      <c r="B12" s="16" t="inlineStr">
        <is>
          <t>IRIS0170</t>
        </is>
      </c>
      <c r="C12" s="16" t="inlineStr">
        <is>
          <t>Consume</t>
        </is>
      </c>
      <c r="D12" s="16" t="inlineStr">
        <is>
          <t>Digitizing</t>
        </is>
      </c>
      <c r="E12" s="16" t="inlineStr">
        <is>
          <t>Senior Digitization Associate</t>
        </is>
      </c>
      <c r="F12" s="15" t="inlineStr">
        <is>
          <t>A3</t>
        </is>
      </c>
      <c r="G12" s="15" t="inlineStr">
        <is>
          <t>Yes</t>
        </is>
      </c>
      <c r="H12" s="15" t="inlineStr">
        <is>
          <t>—</t>
        </is>
      </c>
      <c r="I12" s="15" t="inlineStr">
        <is>
          <t>No</t>
        </is>
      </c>
      <c r="J12" s="231" t="inlineStr">
        <is>
          <t>Medium</t>
        </is>
      </c>
      <c r="K12" s="16" t="inlineStr">
        <is>
          <t>Shraddha Patil · B2, Consume · Nitin Bhoir · B1, Consume · Aniket Manval · A3, Consume</t>
        </is>
      </c>
      <c r="L12" s="16" t="inlineStr">
        <is>
          <t>Name a successor; document the key process; cross-train one person</t>
        </is>
      </c>
    </row>
    <row r="13" ht="28" customHeight="1">
      <c r="A13" s="13" t="inlineStr">
        <is>
          <t>Manoj Ravidas</t>
        </is>
      </c>
      <c r="B13" s="16" t="inlineStr">
        <is>
          <t>IRIS1211</t>
        </is>
      </c>
      <c r="C13" s="16" t="inlineStr">
        <is>
          <t>Consume</t>
        </is>
      </c>
      <c r="D13" s="16" t="inlineStr">
        <is>
          <t>Digitizing</t>
        </is>
      </c>
      <c r="E13" s="16" t="inlineStr">
        <is>
          <t>Senior Digitization Associate</t>
        </is>
      </c>
      <c r="F13" s="15" t="inlineStr">
        <is>
          <t>A3</t>
        </is>
      </c>
      <c r="G13" s="15" t="inlineStr">
        <is>
          <t>Yes</t>
        </is>
      </c>
      <c r="H13" s="15" t="inlineStr">
        <is>
          <t>—</t>
        </is>
      </c>
      <c r="I13" s="15" t="inlineStr">
        <is>
          <t>No</t>
        </is>
      </c>
      <c r="J13" s="231" t="inlineStr">
        <is>
          <t>Medium</t>
        </is>
      </c>
      <c r="K13" s="16" t="inlineStr">
        <is>
          <t>Shraddha Patil · B2, Consume · Nitin Bhoir · B1, Consume · Aniket Manval · A3, Consume</t>
        </is>
      </c>
      <c r="L13" s="16" t="inlineStr">
        <is>
          <t>Name a successor; document the key process; cross-train one person</t>
        </is>
      </c>
    </row>
    <row r="14" ht="28" customHeight="1">
      <c r="A14" s="13" t="inlineStr">
        <is>
          <t>Manoj Tiwari</t>
        </is>
      </c>
      <c r="B14" s="16" t="inlineStr">
        <is>
          <t>IRIS1213</t>
        </is>
      </c>
      <c r="C14" s="16" t="inlineStr">
        <is>
          <t>Consume</t>
        </is>
      </c>
      <c r="D14" s="16" t="inlineStr">
        <is>
          <t>Digitizing</t>
        </is>
      </c>
      <c r="E14" s="16" t="inlineStr">
        <is>
          <t>Senior Digitization Associate</t>
        </is>
      </c>
      <c r="F14" s="15" t="inlineStr">
        <is>
          <t>A3</t>
        </is>
      </c>
      <c r="G14" s="15" t="inlineStr">
        <is>
          <t>Yes</t>
        </is>
      </c>
      <c r="H14" s="15" t="inlineStr">
        <is>
          <t>—</t>
        </is>
      </c>
      <c r="I14" s="15" t="inlineStr">
        <is>
          <t>No</t>
        </is>
      </c>
      <c r="J14" s="231" t="inlineStr">
        <is>
          <t>Medium</t>
        </is>
      </c>
      <c r="K14" s="16" t="inlineStr">
        <is>
          <t>Shraddha Patil · B2, Consume · Nitin Bhoir · B1, Consume · Aniket Manval · A3, Consume</t>
        </is>
      </c>
      <c r="L14" s="16" t="inlineStr">
        <is>
          <t>Name a successor; document the key process; cross-train one person</t>
        </is>
      </c>
    </row>
    <row r="15" ht="41" customHeight="1">
      <c r="A15" s="13" t="inlineStr">
        <is>
          <t>Palanikumar Mooppanar</t>
        </is>
      </c>
      <c r="B15" s="16" t="inlineStr">
        <is>
          <t>IRIS0292</t>
        </is>
      </c>
      <c r="C15" s="16" t="inlineStr">
        <is>
          <t>Consume</t>
        </is>
      </c>
      <c r="D15" s="16" t="inlineStr">
        <is>
          <t>India Content</t>
        </is>
      </c>
      <c r="E15" s="16" t="inlineStr">
        <is>
          <t>Senior Data Analyst</t>
        </is>
      </c>
      <c r="F15" s="15" t="inlineStr">
        <is>
          <t>A3</t>
        </is>
      </c>
      <c r="G15" s="15" t="inlineStr">
        <is>
          <t>Yes</t>
        </is>
      </c>
      <c r="H15" s="15" t="inlineStr">
        <is>
          <t>—</t>
        </is>
      </c>
      <c r="I15" s="15" t="inlineStr">
        <is>
          <t>No</t>
        </is>
      </c>
      <c r="J15" s="231" t="inlineStr">
        <is>
          <t>Medium</t>
        </is>
      </c>
      <c r="K15" s="16" t="inlineStr">
        <is>
          <t>Gopal Krishna Sahu · B2, Consume · Virendra Borkar · B1, Consume · Akash Dubey · A3, Consume</t>
        </is>
      </c>
      <c r="L15" s="16" t="inlineStr">
        <is>
          <t>Name a successor; document the key process; cross-train one person</t>
        </is>
      </c>
    </row>
    <row r="16" ht="41" customHeight="1">
      <c r="A16" s="13" t="inlineStr">
        <is>
          <t>Prashant Shelar</t>
        </is>
      </c>
      <c r="B16" s="16" t="inlineStr">
        <is>
          <t>IRIS0009</t>
        </is>
      </c>
      <c r="C16" s="16" t="inlineStr">
        <is>
          <t>Consume</t>
        </is>
      </c>
      <c r="D16" s="16" t="inlineStr">
        <is>
          <t>India Content</t>
        </is>
      </c>
      <c r="E16" s="16" t="inlineStr">
        <is>
          <t>Senior Data Analyst</t>
        </is>
      </c>
      <c r="F16" s="15" t="inlineStr">
        <is>
          <t>A3</t>
        </is>
      </c>
      <c r="G16" s="15" t="inlineStr">
        <is>
          <t>Yes</t>
        </is>
      </c>
      <c r="H16" s="15" t="inlineStr">
        <is>
          <t>—</t>
        </is>
      </c>
      <c r="I16" s="15" t="inlineStr">
        <is>
          <t>No</t>
        </is>
      </c>
      <c r="J16" s="231" t="inlineStr">
        <is>
          <t>Medium</t>
        </is>
      </c>
      <c r="K16" s="16" t="inlineStr">
        <is>
          <t>Gopal Krishna Sahu · B2, Consume · Virendra Borkar · B1, Consume · Akash Dubey · A3, Consume</t>
        </is>
      </c>
      <c r="L16" s="16" t="inlineStr">
        <is>
          <t>Name a successor; document the key process; cross-train one person</t>
        </is>
      </c>
    </row>
    <row r="17" ht="41" customHeight="1">
      <c r="A17" s="13" t="inlineStr">
        <is>
          <t>Safal Gupta</t>
        </is>
      </c>
      <c r="B17" s="16" t="inlineStr">
        <is>
          <t>IRIS2485</t>
        </is>
      </c>
      <c r="C17" s="16" t="inlineStr">
        <is>
          <t>Consume</t>
        </is>
      </c>
      <c r="D17" s="16" t="inlineStr">
        <is>
          <t>Technology</t>
        </is>
      </c>
      <c r="E17" s="16" t="inlineStr">
        <is>
          <t>Senior Software Engineer</t>
        </is>
      </c>
      <c r="F17" s="15" t="inlineStr">
        <is>
          <t>A3</t>
        </is>
      </c>
      <c r="G17" s="15" t="inlineStr">
        <is>
          <t>Yes</t>
        </is>
      </c>
      <c r="H17" s="15" t="inlineStr">
        <is>
          <t>—</t>
        </is>
      </c>
      <c r="I17" s="15" t="inlineStr">
        <is>
          <t>No</t>
        </is>
      </c>
      <c r="J17" s="231" t="inlineStr">
        <is>
          <t>Medium</t>
        </is>
      </c>
      <c r="K17" s="16" t="inlineStr">
        <is>
          <t>Nishant Kohakade · B3, Consume · Waqar Tarique · B1, Consume · Sharad Mane · A3, Consume</t>
        </is>
      </c>
      <c r="L17" s="16" t="inlineStr">
        <is>
          <t>Name a successor; document the key process; cross-train one person</t>
        </is>
      </c>
    </row>
    <row r="18" ht="28" customHeight="1">
      <c r="A18" s="13" t="inlineStr">
        <is>
          <t>Saurav Kamtekar</t>
        </is>
      </c>
      <c r="B18" s="16" t="inlineStr">
        <is>
          <t>IRISC283</t>
        </is>
      </c>
      <c r="C18" s="16" t="inlineStr">
        <is>
          <t>Consume</t>
        </is>
      </c>
      <c r="D18" s="16" t="inlineStr">
        <is>
          <t>Digitizing</t>
        </is>
      </c>
      <c r="E18" s="16" t="inlineStr">
        <is>
          <t>Senior Digitization Associate</t>
        </is>
      </c>
      <c r="F18" s="15" t="inlineStr">
        <is>
          <t>A3</t>
        </is>
      </c>
      <c r="G18" s="15" t="inlineStr">
        <is>
          <t>Yes</t>
        </is>
      </c>
      <c r="H18" s="15" t="inlineStr">
        <is>
          <t>—</t>
        </is>
      </c>
      <c r="I18" s="15" t="inlineStr">
        <is>
          <t>No</t>
        </is>
      </c>
      <c r="J18" s="231" t="inlineStr">
        <is>
          <t>Medium</t>
        </is>
      </c>
      <c r="K18" s="16" t="inlineStr">
        <is>
          <t>Shraddha Patil · B2, Consume · Nitin Bhoir · B1, Consume · Aniket Manval · A3, Consume</t>
        </is>
      </c>
      <c r="L18" s="16" t="inlineStr">
        <is>
          <t>Name a successor; document the key process; cross-train one person</t>
        </is>
      </c>
    </row>
    <row r="19" ht="28" customHeight="1">
      <c r="A19" s="13" t="inlineStr">
        <is>
          <t>Snehal Bhavesh Farad</t>
        </is>
      </c>
      <c r="B19" s="16" t="inlineStr">
        <is>
          <t>IRISC338</t>
        </is>
      </c>
      <c r="C19" s="16" t="inlineStr">
        <is>
          <t>Consume</t>
        </is>
      </c>
      <c r="D19" s="16" t="inlineStr">
        <is>
          <t>Digitizing</t>
        </is>
      </c>
      <c r="E19" s="16" t="inlineStr">
        <is>
          <t>Senior Digitization Associate</t>
        </is>
      </c>
      <c r="F19" s="15" t="inlineStr">
        <is>
          <t>A3</t>
        </is>
      </c>
      <c r="G19" s="15" t="inlineStr">
        <is>
          <t>Yes</t>
        </is>
      </c>
      <c r="H19" s="15" t="inlineStr">
        <is>
          <t>—</t>
        </is>
      </c>
      <c r="I19" s="15" t="inlineStr">
        <is>
          <t>No</t>
        </is>
      </c>
      <c r="J19" s="231" t="inlineStr">
        <is>
          <t>Medium</t>
        </is>
      </c>
      <c r="K19" s="16" t="inlineStr">
        <is>
          <t>Shraddha Patil · B2, Consume · Nitin Bhoir · B1, Consume · Aniket Manval · A3, Consume</t>
        </is>
      </c>
      <c r="L19" s="16" t="inlineStr">
        <is>
          <t>Name a successor; document the key process; cross-train one person</t>
        </is>
      </c>
    </row>
    <row r="20" ht="28" customHeight="1">
      <c r="A20" s="13" t="inlineStr">
        <is>
          <t>Siddhesh Harishchandra Mali</t>
        </is>
      </c>
      <c r="B20" s="16" t="inlineStr">
        <is>
          <t>IRISC337</t>
        </is>
      </c>
      <c r="C20" s="16" t="inlineStr">
        <is>
          <t>Consume</t>
        </is>
      </c>
      <c r="D20" s="16" t="inlineStr">
        <is>
          <t>Digitizing</t>
        </is>
      </c>
      <c r="E20" s="16" t="inlineStr">
        <is>
          <t>Digitization Associate</t>
        </is>
      </c>
      <c r="F20" s="15" t="inlineStr">
        <is>
          <t>A2</t>
        </is>
      </c>
      <c r="G20" s="15" t="inlineStr">
        <is>
          <t>Yes</t>
        </is>
      </c>
      <c r="H20" s="15" t="inlineStr">
        <is>
          <t>—</t>
        </is>
      </c>
      <c r="I20" s="15" t="inlineStr">
        <is>
          <t>No</t>
        </is>
      </c>
      <c r="J20" s="231" t="inlineStr">
        <is>
          <t>Medium</t>
        </is>
      </c>
      <c r="K20" s="16" t="inlineStr">
        <is>
          <t>Shraddha Patil · B2, Consume · Nitin Bhoir · B1, Consume · Aniket Manval · A3, Consume</t>
        </is>
      </c>
      <c r="L20" s="16" t="inlineStr">
        <is>
          <t>Name a successor; document the key process; cross-train one person</t>
        </is>
      </c>
    </row>
  </sheetData>
  <mergeCells count="3">
    <mergeCell ref="A3:L3"/>
    <mergeCell ref="A2:L2"/>
    <mergeCell ref="A1:L1"/>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548235"/>
    <outlinePr summaryBelow="1" summaryRight="1"/>
    <pageSetUpPr fitToPage="1"/>
  </sheetPr>
  <dimension ref="A1:G11"/>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 customWidth="1" min="3" max="3"/>
    <col width="14" customWidth="1" min="4" max="4"/>
    <col width="8" customWidth="1" min="5" max="5"/>
    <col width="60" customWidth="1" min="6" max="6"/>
    <col width="13" customWidth="1" min="7" max="7"/>
  </cols>
  <sheetData>
    <row r="1" ht="34" customHeight="1">
      <c r="A1" s="1" t="inlineStr">
        <is>
          <t>Role definitions — the same work in more than one place</t>
        </is>
      </c>
      <c r="G1" s="232" t="inlineStr">
        <is>
          <t>◂ Contents</t>
        </is>
      </c>
    </row>
    <row r="2" ht="32" customHeight="1">
      <c r="A2" s="3" t="inlineStr">
        <is>
          <t>Sheet 16 · 12 department-level roles map to 11 role definitions · family · sub-family · level · track. First: definitions that carry more than one title · harmonise. Then: definitions held in several departments or businesses · document once in the catalogue.</t>
        </is>
      </c>
    </row>
    <row r="3">
      <c r="A3" s="4" t="inlineStr">
        <is>
          <t>IRIS · Job Architecture &amp; Job Design · Final v1.12 · October 2026 · Internal — Confidential</t>
        </is>
      </c>
    </row>
    <row r="4"/>
    <row r="5" ht="20" customHeight="1">
      <c r="A5" s="6" t="inlineStr">
        <is>
          <t>Definitions with more than one title — 1</t>
        </is>
      </c>
    </row>
    <row r="6" ht="15" customHeight="1">
      <c r="A6" s="12" t="inlineStr">
        <is>
          <t>Job family</t>
        </is>
      </c>
      <c r="B6" s="12" t="inlineStr">
        <is>
          <t>Sub-family</t>
        </is>
      </c>
      <c r="C6" s="12" t="inlineStr">
        <is>
          <t>Level</t>
        </is>
      </c>
      <c r="D6" s="12" t="inlineStr">
        <is>
          <t>Track</t>
        </is>
      </c>
      <c r="E6" s="12" t="inlineStr">
        <is>
          <t>People</t>
        </is>
      </c>
      <c r="F6" s="12" t="inlineStr">
        <is>
          <t>Titles in use</t>
        </is>
      </c>
    </row>
    <row r="7" ht="28" customHeight="1">
      <c r="A7" s="13" t="inlineStr">
        <is>
          <t>Engineering &amp; Development</t>
        </is>
      </c>
      <c r="B7" s="16" t="inlineStr">
        <is>
          <t>Application Maintenance &amp; Production Support</t>
        </is>
      </c>
      <c r="C7" s="15" t="inlineStr">
        <is>
          <t>A3</t>
        </is>
      </c>
      <c r="D7" s="16" t="inlineStr">
        <is>
          <t>IC</t>
        </is>
      </c>
      <c r="E7" s="15" t="n">
        <v>2</v>
      </c>
      <c r="F7" s="16" t="inlineStr">
        <is>
          <t>Senior Software Engineer | Technical Specialist</t>
        </is>
      </c>
    </row>
    <row r="8" ht="15" customHeight="1"/>
    <row r="9" ht="20" customHeight="1">
      <c r="A9" s="6" t="inlineStr">
        <is>
          <t>Definitions held in more than one department or business — 1</t>
        </is>
      </c>
    </row>
    <row r="10" ht="15" customHeight="1">
      <c r="A10" s="12" t="inlineStr">
        <is>
          <t>Job family</t>
        </is>
      </c>
      <c r="B10" s="12" t="inlineStr">
        <is>
          <t>Sub-family</t>
        </is>
      </c>
      <c r="C10" s="12" t="inlineStr">
        <is>
          <t>Level</t>
        </is>
      </c>
      <c r="D10" s="12" t="inlineStr">
        <is>
          <t>Track</t>
        </is>
      </c>
      <c r="E10" s="12" t="inlineStr">
        <is>
          <t>Roles</t>
        </is>
      </c>
      <c r="F10" s="12" t="inlineStr">
        <is>
          <t>Where · business · department · title · people</t>
        </is>
      </c>
    </row>
    <row r="11" ht="28" customHeight="1">
      <c r="A11" s="13" t="inlineStr">
        <is>
          <t>Engineering &amp; Development</t>
        </is>
      </c>
      <c r="B11" s="16" t="inlineStr">
        <is>
          <t>Application Maintenance &amp; Production Support</t>
        </is>
      </c>
      <c r="C11" s="15" t="inlineStr">
        <is>
          <t>A3</t>
        </is>
      </c>
      <c r="D11" s="16" t="inlineStr">
        <is>
          <t>IC</t>
        </is>
      </c>
      <c r="E11" s="15" t="n">
        <v>2</v>
      </c>
      <c r="F11" s="16" t="inlineStr">
        <is>
          <t>Consume · Technology · Senior Software Engineer · 1 | Consume · Technology · Technical Specialist · 1</t>
        </is>
      </c>
    </row>
  </sheetData>
  <mergeCells count="5">
    <mergeCell ref="A2:F2"/>
    <mergeCell ref="A1:F1"/>
    <mergeCell ref="A5:F5"/>
    <mergeCell ref="A9:F9"/>
    <mergeCell ref="A3:F3"/>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tabColor rgb="00C00000"/>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22" customWidth="1" min="4" max="4"/>
    <col width="9" customWidth="1" min="5" max="5"/>
    <col width="60" customWidth="1" min="6" max="6"/>
    <col width="26" customWidth="1" min="7" max="7"/>
    <col width="13" customWidth="1" min="8" max="8"/>
  </cols>
  <sheetData>
    <row r="1" ht="34" customHeight="1">
      <c r="A1" s="1" t="inlineStr">
        <is>
          <t>Data gaps — what is missing, and who supplies it</t>
        </is>
      </c>
      <c r="H1" s="232" t="inlineStr">
        <is>
          <t>◂ Contents</t>
        </is>
      </c>
    </row>
    <row r="2" ht="30" customHeight="1">
      <c r="A2" s="3" t="inlineStr">
        <is>
          <t>Sheet 17 · 4 employees with at least one missing input. The same list, with owner and status columns, is in the HR Super Master's calibration tracker.</t>
        </is>
      </c>
    </row>
    <row r="3">
      <c r="A3" s="4" t="inlineStr">
        <is>
          <t>IRIS · Job Architecture &amp; Job Design · Final v1.12 · October 2026 · Internal — Confidential</t>
        </is>
      </c>
    </row>
    <row r="4"/>
    <row r="5" ht="15" customHeight="1">
      <c r="A5" s="12" t="inlineStr">
        <is>
          <t>Emp ID</t>
        </is>
      </c>
      <c r="B5" s="12" t="inlineStr">
        <is>
          <t>Person</t>
        </is>
      </c>
      <c r="C5" s="12" t="inlineStr">
        <is>
          <t>Business</t>
        </is>
      </c>
      <c r="D5" s="12" t="inlineStr">
        <is>
          <t>Department</t>
        </is>
      </c>
      <c r="E5" s="12" t="inlineStr">
        <is>
          <t>Level</t>
        </is>
      </c>
      <c r="F5" s="12" t="inlineStr">
        <is>
          <t>What is missing</t>
        </is>
      </c>
      <c r="G5" s="12" t="inlineStr">
        <is>
          <t>Who supplies it</t>
        </is>
      </c>
    </row>
    <row r="6" ht="15" customHeight="1">
      <c r="A6" s="15" t="inlineStr">
        <is>
          <t>IRIS0114</t>
        </is>
      </c>
      <c r="B6" s="16" t="inlineStr">
        <is>
          <t>Shraddha Patil</t>
        </is>
      </c>
      <c r="C6" s="16" t="inlineStr">
        <is>
          <t>Consume</t>
        </is>
      </c>
      <c r="D6" s="16" t="inlineStr">
        <is>
          <t>Digitizing</t>
        </is>
      </c>
      <c r="E6" s="15" t="inlineStr">
        <is>
          <t>B2</t>
        </is>
      </c>
      <c r="F6" s="16" t="inlineStr">
        <is>
          <t>Confirm the reporting line</t>
        </is>
      </c>
      <c r="G6" s="16" t="inlineStr">
        <is>
          <t>Manager</t>
        </is>
      </c>
    </row>
    <row r="7" ht="15" customHeight="1">
      <c r="A7" s="15" t="inlineStr">
        <is>
          <t>IRISC338</t>
        </is>
      </c>
      <c r="B7" s="16" t="inlineStr">
        <is>
          <t>Snehal Bhavesh Farad</t>
        </is>
      </c>
      <c r="C7" s="16" t="inlineStr">
        <is>
          <t>Consume</t>
        </is>
      </c>
      <c r="D7" s="16" t="inlineStr">
        <is>
          <t>Digitizing</t>
        </is>
      </c>
      <c r="E7" s="15" t="inlineStr">
        <is>
          <t>A3</t>
        </is>
      </c>
      <c r="F7" s="16" t="inlineStr">
        <is>
          <t>Correct the experience record</t>
        </is>
      </c>
      <c r="G7" s="16" t="inlineStr">
        <is>
          <t>HR</t>
        </is>
      </c>
    </row>
    <row r="8" ht="15" customHeight="1">
      <c r="A8" s="15" t="inlineStr">
        <is>
          <t>IRIS0007</t>
        </is>
      </c>
      <c r="B8" s="16" t="inlineStr">
        <is>
          <t>Gopal Krishna Sahu</t>
        </is>
      </c>
      <c r="C8" s="16" t="inlineStr">
        <is>
          <t>Consume</t>
        </is>
      </c>
      <c r="D8" s="16" t="inlineStr">
        <is>
          <t>India Content</t>
        </is>
      </c>
      <c r="E8" s="15" t="inlineStr">
        <is>
          <t>B2</t>
        </is>
      </c>
      <c r="F8" s="16" t="inlineStr">
        <is>
          <t>Confirm structure behind the senior title · org chart</t>
        </is>
      </c>
      <c r="G8" s="16" t="inlineStr">
        <is>
          <t>Business head</t>
        </is>
      </c>
    </row>
    <row r="9" ht="15" customHeight="1">
      <c r="A9" s="15" t="inlineStr">
        <is>
          <t>IRIS0007</t>
        </is>
      </c>
      <c r="B9" s="16" t="inlineStr">
        <is>
          <t>Gopal Krishna Sahu</t>
        </is>
      </c>
      <c r="C9" s="16" t="inlineStr">
        <is>
          <t>Consume</t>
        </is>
      </c>
      <c r="D9" s="16" t="inlineStr">
        <is>
          <t>India Content</t>
        </is>
      </c>
      <c r="E9" s="15" t="inlineStr">
        <is>
          <t>B2</t>
        </is>
      </c>
      <c r="F9" s="16" t="inlineStr">
        <is>
          <t>Correct the experience record</t>
        </is>
      </c>
      <c r="G9" s="16" t="inlineStr">
        <is>
          <t>HR</t>
        </is>
      </c>
    </row>
    <row r="10" ht="15" customHeight="1">
      <c r="A10" s="15" t="inlineStr">
        <is>
          <t>IRIS0724</t>
        </is>
      </c>
      <c r="B10" s="16" t="inlineStr">
        <is>
          <t>Nishant Kohakade</t>
        </is>
      </c>
      <c r="C10" s="16" t="inlineStr">
        <is>
          <t>Consume</t>
        </is>
      </c>
      <c r="D10" s="16" t="inlineStr">
        <is>
          <t>Technology</t>
        </is>
      </c>
      <c r="E10" s="15" t="inlineStr">
        <is>
          <t>B3</t>
        </is>
      </c>
      <c r="F10" s="16" t="inlineStr">
        <is>
          <t>Confirm the reporting line</t>
        </is>
      </c>
      <c r="G10" s="16" t="inlineStr">
        <is>
          <t>Manager</t>
        </is>
      </c>
    </row>
  </sheetData>
  <mergeCells count="3">
    <mergeCell ref="A3:G3"/>
    <mergeCell ref="A2:G2"/>
    <mergeCell ref="A1:G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E75B6"/>
    <outlinePr summaryBelow="1" summaryRight="1"/>
    <pageSetUpPr fitToPage="1"/>
  </sheetPr>
  <dimension ref="A1:Q18"/>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Consume: department → band → level, competencies and overlaps</t>
        </is>
      </c>
      <c r="Q1" s="232" t="inlineStr">
        <is>
          <t>◂ Contents</t>
        </is>
      </c>
    </row>
    <row r="2" ht="32" customHeight="1">
      <c r="A2" s="3" t="inlineStr">
        <is>
          <t>Sheet 18 · 23 people in 3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92" t="inlineStr">
        <is>
          <t>Department</t>
        </is>
      </c>
      <c r="B6" s="92" t="inlineStr">
        <is>
          <t>Band</t>
        </is>
      </c>
      <c r="C6" s="92" t="inlineStr">
        <is>
          <t>Level</t>
        </is>
      </c>
      <c r="D6" s="92" t="inlineStr">
        <is>
          <t>Level title</t>
        </is>
      </c>
      <c r="E6" s="92" t="inlineStr">
        <is>
          <t>Job family</t>
        </is>
      </c>
      <c r="F6" s="92" t="inlineStr">
        <is>
          <t>Sub-family</t>
        </is>
      </c>
      <c r="G6" s="92" t="inlineStr">
        <is>
          <t>Designation</t>
        </is>
      </c>
      <c r="H6" s="92" t="inlineStr">
        <is>
          <t>Track</t>
        </is>
      </c>
      <c r="I6" s="92" t="inlineStr">
        <is>
          <t>Holders</t>
        </is>
      </c>
      <c r="J6" s="92" t="inlineStr">
        <is>
          <t>Ladder in this sub-family here · level: designation</t>
        </is>
      </c>
      <c r="K6" s="92" t="inlineStr">
        <is>
          <t>★ Must-have competencies</t>
        </is>
      </c>
      <c r="L6" s="92" t="inlineStr">
        <is>
          <t>Other functional competencies</t>
        </is>
      </c>
      <c r="M6" s="92" t="inlineStr">
        <is>
          <t>Proficiency needed</t>
        </is>
      </c>
      <c r="N6" s="92" t="inlineStr">
        <is>
          <t>Credentials</t>
        </is>
      </c>
      <c r="O6" s="92" t="inlineStr">
        <is>
          <t>Overlap within Consume · same work in other departments</t>
        </is>
      </c>
      <c r="P6" s="92" t="inlineStr">
        <is>
          <t>Overlap across IRIS · same work in other products</t>
        </is>
      </c>
    </row>
    <row r="7" ht="55" customHeight="1">
      <c r="A7" s="16" t="inlineStr">
        <is>
          <t>Digitizing</t>
        </is>
      </c>
      <c r="B7" s="139" t="inlineStr">
        <is>
          <t>A · Practitioner</t>
        </is>
      </c>
      <c r="C7" s="139" t="inlineStr">
        <is>
          <t>A2</t>
        </is>
      </c>
      <c r="D7" s="16" t="inlineStr">
        <is>
          <t>Associate</t>
        </is>
      </c>
      <c r="E7" s="16" t="inlineStr">
        <is>
          <t>Data Operations &amp; Digitization</t>
        </is>
      </c>
      <c r="F7" s="16" t="inlineStr">
        <is>
          <t>Document Conversion, Formatting &amp; Web Publishing</t>
        </is>
      </c>
      <c r="G7" s="16" t="inlineStr">
        <is>
          <t>Digitization Associate</t>
        </is>
      </c>
      <c r="H7" s="16" t="inlineStr">
        <is>
          <t>IC</t>
        </is>
      </c>
      <c r="I7" s="16" t="n">
        <v>1</v>
      </c>
      <c r="J7" s="16" t="inlineStr">
        <is>
          <r>
            <rPr>
              <rFont val="Calibri"/>
              <b val="1"/>
              <sz val="10"/>
            </rPr>
            <t>A2:</t>
          </r>
          <r>
            <rPr>
              <rFont val="Calibri"/>
              <sz val="10"/>
            </rPr>
            <t xml:space="preserve"> Digitization Associate → A3: Senior Digitization Associate → B1: Digitization Specialist → B2: Digitization Manager</t>
          </r>
        </is>
      </c>
      <c r="K7" s="16" t="inlineStr">
        <is>
          <t>Advanced Excel &amp; Productivity Tools · Process Improvement &amp; Quality Mindset</t>
        </is>
      </c>
      <c r="L7" s="16" t="inlineStr">
        <is>
          <t>Regulatory &amp; BFSI Domain · XBRL, iXBRL &amp; Taxonomy · AI, GenAI &amp; Prompt Engineering · Time, Priority &amp; Self-Management</t>
        </is>
      </c>
      <c r="M7" s="16" t="inlineStr">
        <is>
          <t>Core 2 · Future-ready 2 · Functional 2 · Leadership —</t>
        </is>
      </c>
      <c r="N7" s="16" t="inlineStr">
        <is>
          <t>MOS Excel · optional; Lean / Six Sigma · optional</t>
        </is>
      </c>
      <c r="O7" s="16" t="inlineStr">
        <is>
          <t>None — only this department</t>
        </is>
      </c>
      <c r="P7" s="139" t="inlineStr">
        <is>
          <t>CARBON 3
Same title</t>
        </is>
      </c>
    </row>
    <row r="8" ht="55" customHeight="1">
      <c r="A8" s="16" t="inlineStr">
        <is>
          <t>Digitizing</t>
        </is>
      </c>
      <c r="B8" s="139" t="inlineStr">
        <is>
          <t>A · Practitioner</t>
        </is>
      </c>
      <c r="C8" s="139" t="inlineStr">
        <is>
          <t>A3</t>
        </is>
      </c>
      <c r="D8" s="16" t="inlineStr">
        <is>
          <t>Senior Associate</t>
        </is>
      </c>
      <c r="E8" s="16" t="inlineStr">
        <is>
          <t>Data Operations &amp; Digitization</t>
        </is>
      </c>
      <c r="F8" s="16" t="inlineStr">
        <is>
          <t>Document Conversion, Formatting &amp; Web Publishing</t>
        </is>
      </c>
      <c r="G8" s="16" t="inlineStr">
        <is>
          <t>Senior Digitization Associate</t>
        </is>
      </c>
      <c r="H8" s="16" t="inlineStr">
        <is>
          <t>IC</t>
        </is>
      </c>
      <c r="I8" s="16" t="n">
        <v>6</v>
      </c>
      <c r="J8" s="16" t="inlineStr">
        <is>
          <r>
            <rPr>
              <rFont val="Calibri"/>
              <b val="1"/>
              <sz val="10"/>
            </rPr>
            <t>A2:</t>
          </r>
          <r>
            <rPr>
              <rFont val="Calibri"/>
              <sz val="10"/>
            </rPr>
            <t xml:space="preserve"> Digitization Associate → A3: Senior Digitization Associate → B1: Digitization Specialist → B2: Digitization Manager</t>
          </r>
        </is>
      </c>
      <c r="K8" s="16" t="inlineStr">
        <is>
          <t>Advanced Excel &amp; Productivity Tools · Process Improvement &amp; Quality Mindset</t>
        </is>
      </c>
      <c r="L8" s="16" t="inlineStr">
        <is>
          <t>Regulatory &amp; BFSI Domain · XBRL, iXBRL &amp; Taxonomy · AI, GenAI &amp; Prompt Engineering · Time, Priority &amp; Self-Management</t>
        </is>
      </c>
      <c r="M8" s="16" t="inlineStr">
        <is>
          <t>Core 2 · Future-ready 2 · Functional 3 · Leadership —</t>
        </is>
      </c>
      <c r="N8" s="16" t="inlineStr">
        <is>
          <t>MOS Excel · optional; Lean / Six Sigma · optional</t>
        </is>
      </c>
      <c r="O8" s="16" t="inlineStr">
        <is>
          <t>None — only this department</t>
        </is>
      </c>
      <c r="P8" s="139" t="inlineStr">
        <is>
          <t>CARBON 14
Same title</t>
        </is>
      </c>
    </row>
    <row r="9" ht="55" customHeight="1">
      <c r="A9" s="16" t="inlineStr">
        <is>
          <t>Digitizing</t>
        </is>
      </c>
      <c r="B9" s="21" t="inlineStr">
        <is>
          <t>B · Specialist / Manager</t>
        </is>
      </c>
      <c r="C9" s="21" t="inlineStr">
        <is>
          <t>B1</t>
        </is>
      </c>
      <c r="D9" s="16" t="inlineStr">
        <is>
          <t>Specialist</t>
        </is>
      </c>
      <c r="E9" s="16" t="inlineStr">
        <is>
          <t>Data Operations &amp; Digitization</t>
        </is>
      </c>
      <c r="F9" s="16" t="inlineStr">
        <is>
          <t>Document Conversion, Formatting &amp; Web Publishing</t>
        </is>
      </c>
      <c r="G9" s="16" t="inlineStr">
        <is>
          <t>Digitization Specialist</t>
        </is>
      </c>
      <c r="H9" s="16" t="inlineStr">
        <is>
          <t>IC</t>
        </is>
      </c>
      <c r="I9" s="16" t="n">
        <v>1</v>
      </c>
      <c r="J9" s="16" t="inlineStr">
        <is>
          <r>
            <rPr>
              <rFont val="Calibri"/>
              <b val="1"/>
              <sz val="10"/>
            </rPr>
            <t>A2:</t>
          </r>
          <r>
            <rPr>
              <rFont val="Calibri"/>
              <sz val="10"/>
            </rPr>
            <t xml:space="preserve"> Digitization Associate → A3: Senior Digitization Associate → B1: Digitization Specialist → B2: Digitization Manager</t>
          </r>
        </is>
      </c>
      <c r="K9" s="16" t="inlineStr">
        <is>
          <t>Advanced Excel &amp; Productivity Tools · Process Improvement &amp; Quality Mindset</t>
        </is>
      </c>
      <c r="L9" s="16" t="inlineStr">
        <is>
          <t>Regulatory &amp; BFSI Domain · XBRL, iXBRL &amp; Taxonomy · AI, GenAI &amp; Prompt Engineering · Time, Priority &amp; Self-Management</t>
        </is>
      </c>
      <c r="M9" s="16" t="inlineStr">
        <is>
          <t>Core 3 · Future-ready 3 · Functional 3 · Leadership 1</t>
        </is>
      </c>
      <c r="N9" s="16" t="inlineStr">
        <is>
          <t>MOS Excel · optional; Lean / Six Sigma · optional</t>
        </is>
      </c>
      <c r="O9" s="16" t="inlineStr">
        <is>
          <t>None — only this department</t>
        </is>
      </c>
      <c r="P9" s="139" t="inlineStr">
        <is>
          <r>
            <rPr>
              <rFont val="Calibri"/>
              <sz val="10"/>
            </rPr>
            <t xml:space="preserve">CARBON 4
</t>
          </r>
          <r>
            <rPr>
              <rFont val="Calibri"/>
              <b val="1"/>
              <sz val="10"/>
            </rPr>
            <t>Titled there:</t>
          </r>
          <r>
            <rPr>
              <rFont val="Calibri"/>
              <sz val="10"/>
            </rPr>
            <t xml:space="preserve"> Digitization Specialist – POD Lead / Team Lead – Digitization</t>
          </r>
        </is>
      </c>
    </row>
    <row r="10" ht="55" customHeight="1">
      <c r="A10" s="16" t="inlineStr">
        <is>
          <t>Digitizing</t>
        </is>
      </c>
      <c r="B10" s="21" t="inlineStr">
        <is>
          <t>B · Specialist / Manager</t>
        </is>
      </c>
      <c r="C10" s="21" t="inlineStr">
        <is>
          <t>B2</t>
        </is>
      </c>
      <c r="D10" s="16" t="inlineStr">
        <is>
          <t>Manager</t>
        </is>
      </c>
      <c r="E10" s="16" t="inlineStr">
        <is>
          <t>Data Operations &amp; Digitization</t>
        </is>
      </c>
      <c r="F10" s="16" t="inlineStr">
        <is>
          <t>Document Conversion, Formatting &amp; Web Publishing</t>
        </is>
      </c>
      <c r="G10" s="16" t="inlineStr">
        <is>
          <t>Digitization Manager</t>
        </is>
      </c>
      <c r="H10" s="16" t="inlineStr">
        <is>
          <t>People Manager</t>
        </is>
      </c>
      <c r="I10" s="16" t="n">
        <v>1</v>
      </c>
      <c r="J10" s="16" t="inlineStr">
        <is>
          <r>
            <rPr>
              <rFont val="Calibri"/>
              <b val="1"/>
              <sz val="10"/>
            </rPr>
            <t>A2:</t>
          </r>
          <r>
            <rPr>
              <rFont val="Calibri"/>
              <sz val="10"/>
            </rPr>
            <t xml:space="preserve"> Digitization Associate → A3: Senior Digitization Associate → B1: Digitization Specialist → B2: Digitization Manager</t>
          </r>
        </is>
      </c>
      <c r="K10" s="16" t="inlineStr">
        <is>
          <t>Advanced Excel &amp; Productivity Tools · Process Improvement &amp; Quality Mindset</t>
        </is>
      </c>
      <c r="L10" s="16" t="inlineStr">
        <is>
          <t>Regulatory &amp; BFSI Domain · XBRL, iXBRL &amp; Taxonomy · AI, GenAI &amp; Prompt Engineering · Time, Priority &amp; Self-Management</t>
        </is>
      </c>
      <c r="M10" s="16" t="inlineStr">
        <is>
          <t>Core 3 · Future-ready 3 · Functional 4 · Leadership 3</t>
        </is>
      </c>
      <c r="N10" s="16" t="inlineStr">
        <is>
          <t>MOS Excel · optional; Lean / Six Sigma · optional</t>
        </is>
      </c>
      <c r="O10" s="16" t="inlineStr">
        <is>
          <t>None — only this department</t>
        </is>
      </c>
      <c r="P10" s="139" t="inlineStr">
        <is>
          <t>CARBON 1
Same title</t>
        </is>
      </c>
    </row>
    <row r="11" ht="68" customHeight="1">
      <c r="A11" s="16" t="inlineStr">
        <is>
          <t>India Content</t>
        </is>
      </c>
      <c r="B11" s="139" t="inlineStr">
        <is>
          <t>A · Practitioner</t>
        </is>
      </c>
      <c r="C11" s="139" t="inlineStr">
        <is>
          <t>A3</t>
        </is>
      </c>
      <c r="D11" s="16" t="inlineStr">
        <is>
          <t>Senior Associate</t>
        </is>
      </c>
      <c r="E11" s="16" t="inlineStr">
        <is>
          <t>Data &amp; Analytics</t>
        </is>
      </c>
      <c r="F11" s="16" t="inlineStr">
        <is>
          <t>Financial Data Processing</t>
        </is>
      </c>
      <c r="G11" s="16" t="inlineStr">
        <is>
          <t>Senior Data Analyst</t>
        </is>
      </c>
      <c r="H11" s="16" t="inlineStr">
        <is>
          <t>IC</t>
        </is>
      </c>
      <c r="I11" s="16" t="n">
        <v>7</v>
      </c>
      <c r="J11" s="16" t="inlineStr">
        <is>
          <r>
            <rPr>
              <rFont val="Calibri"/>
              <b val="1"/>
              <sz val="10"/>
            </rPr>
            <t>A3:</t>
          </r>
          <r>
            <rPr>
              <rFont val="Calibri"/>
              <sz val="10"/>
            </rPr>
            <t xml:space="preserve"> Senior Data Analyst → B1: Data Specialist → B2: Data Operations Manager</t>
          </r>
        </is>
      </c>
      <c r="K11" s="16" t="inlineStr">
        <is>
          <t>Data Analytics, BI &amp; Visualisation · Database, SQL &amp; Data Engineering</t>
        </is>
      </c>
      <c r="L11" s="16" t="inlineStr">
        <is>
          <t>Advanced Excel &amp; Productivity Tools · Regulatory &amp; BFSI Domain · Process Improvement &amp; Quality Mindset · Accounting &amp; Reporting Standards · IFRS/US GAAP</t>
        </is>
      </c>
      <c r="M11" s="16" t="inlineStr">
        <is>
          <t>Core 2 · Future-ready 2 · Functional 3 · Leadership —</t>
        </is>
      </c>
      <c r="N11" s="16" t="inlineStr">
        <is>
          <t>Power BI / Tableau · optional; Database certifications · optional</t>
        </is>
      </c>
      <c r="O11" s="16" t="inlineStr">
        <is>
          <t>None — only this department</t>
        </is>
      </c>
      <c r="P11" s="16" t="inlineStr">
        <is>
          <t>None — only Consume</t>
        </is>
      </c>
    </row>
    <row r="12" ht="68" customHeight="1">
      <c r="A12" s="16" t="inlineStr">
        <is>
          <t>India Content</t>
        </is>
      </c>
      <c r="B12" s="21" t="inlineStr">
        <is>
          <t>B · Specialist / Manager</t>
        </is>
      </c>
      <c r="C12" s="21" t="inlineStr">
        <is>
          <t>B1</t>
        </is>
      </c>
      <c r="D12" s="16" t="inlineStr">
        <is>
          <t>Specialist</t>
        </is>
      </c>
      <c r="E12" s="16" t="inlineStr">
        <is>
          <t>Data &amp; Analytics</t>
        </is>
      </c>
      <c r="F12" s="16" t="inlineStr">
        <is>
          <t>Financial Data Processing</t>
        </is>
      </c>
      <c r="G12" s="16" t="inlineStr">
        <is>
          <t>Data Specialist</t>
        </is>
      </c>
      <c r="H12" s="16" t="inlineStr">
        <is>
          <t>IC</t>
        </is>
      </c>
      <c r="I12" s="16" t="n">
        <v>1</v>
      </c>
      <c r="J12" s="16" t="inlineStr">
        <is>
          <r>
            <rPr>
              <rFont val="Calibri"/>
              <b val="1"/>
              <sz val="10"/>
            </rPr>
            <t>A3:</t>
          </r>
          <r>
            <rPr>
              <rFont val="Calibri"/>
              <sz val="10"/>
            </rPr>
            <t xml:space="preserve"> Senior Data Analyst → B1: Data Specialist → B2: Data Operations Manager</t>
          </r>
        </is>
      </c>
      <c r="K12" s="16" t="inlineStr">
        <is>
          <t>Data Analytics, BI &amp; Visualisation · Database, SQL &amp; Data Engineering</t>
        </is>
      </c>
      <c r="L12" s="16" t="inlineStr">
        <is>
          <t>Advanced Excel &amp; Productivity Tools · Regulatory &amp; BFSI Domain · Process Improvement &amp; Quality Mindset · Accounting &amp; Reporting Standards · IFRS/US GAAP</t>
        </is>
      </c>
      <c r="M12" s="16" t="inlineStr">
        <is>
          <t>Core 3 · Future-ready 3 · Functional 3 · Leadership 1</t>
        </is>
      </c>
      <c r="N12" s="16" t="inlineStr">
        <is>
          <t>Power BI / Tableau · optional; Database certifications · optional</t>
        </is>
      </c>
      <c r="O12" s="16" t="inlineStr">
        <is>
          <t>None — only this department</t>
        </is>
      </c>
      <c r="P12" s="16" t="inlineStr">
        <is>
          <t>None — only Consume</t>
        </is>
      </c>
    </row>
    <row r="13" ht="68" customHeight="1">
      <c r="A13" s="16" t="inlineStr">
        <is>
          <t>India Content</t>
        </is>
      </c>
      <c r="B13" s="21" t="inlineStr">
        <is>
          <t>B · Specialist / Manager</t>
        </is>
      </c>
      <c r="C13" s="21" t="inlineStr">
        <is>
          <t>B2</t>
        </is>
      </c>
      <c r="D13" s="16" t="inlineStr">
        <is>
          <t>Manager</t>
        </is>
      </c>
      <c r="E13" s="16" t="inlineStr">
        <is>
          <t>Data &amp; Analytics</t>
        </is>
      </c>
      <c r="F13" s="16" t="inlineStr">
        <is>
          <t>Financial Data Processing</t>
        </is>
      </c>
      <c r="G13" s="16" t="inlineStr">
        <is>
          <t>Data Operations Manager</t>
        </is>
      </c>
      <c r="H13" s="16" t="inlineStr">
        <is>
          <t>People Manager</t>
        </is>
      </c>
      <c r="I13" s="16" t="n">
        <v>1</v>
      </c>
      <c r="J13" s="16" t="inlineStr">
        <is>
          <r>
            <rPr>
              <rFont val="Calibri"/>
              <b val="1"/>
              <sz val="10"/>
            </rPr>
            <t>A3:</t>
          </r>
          <r>
            <rPr>
              <rFont val="Calibri"/>
              <sz val="10"/>
            </rPr>
            <t xml:space="preserve"> Senior Data Analyst → B1: Data Specialist → B2: Data Operations Manager</t>
          </r>
        </is>
      </c>
      <c r="K13" s="16" t="inlineStr">
        <is>
          <t>Data Analytics, BI &amp; Visualisation · Database, SQL &amp; Data Engineering</t>
        </is>
      </c>
      <c r="L13" s="16" t="inlineStr">
        <is>
          <t>Advanced Excel &amp; Productivity Tools · Regulatory &amp; BFSI Domain · Process Improvement &amp; Quality Mindset · Accounting &amp; Reporting Standards · IFRS/US GAAP</t>
        </is>
      </c>
      <c r="M13" s="16" t="inlineStr">
        <is>
          <t>Core 3 · Future-ready 3 · Functional 4 · Leadership 3</t>
        </is>
      </c>
      <c r="N13" s="16" t="inlineStr">
        <is>
          <t>Power BI / Tableau · optional; Database certifications · optional</t>
        </is>
      </c>
      <c r="O13" s="16" t="inlineStr">
        <is>
          <t>None — only this department</t>
        </is>
      </c>
      <c r="P13" s="16" t="inlineStr">
        <is>
          <t>None — only Consume</t>
        </is>
      </c>
    </row>
    <row r="14" ht="55" customHeight="1">
      <c r="A14" s="16" t="inlineStr">
        <is>
          <t>Technology</t>
        </is>
      </c>
      <c r="B14" s="139" t="inlineStr">
        <is>
          <t>A · Practitioner</t>
        </is>
      </c>
      <c r="C14" s="139" t="inlineStr">
        <is>
          <t>A3</t>
        </is>
      </c>
      <c r="D14" s="16" t="inlineStr">
        <is>
          <t>Senior Associate</t>
        </is>
      </c>
      <c r="E14" s="16" t="inlineStr">
        <is>
          <t>Engineering &amp; Development</t>
        </is>
      </c>
      <c r="F14" s="16" t="inlineStr">
        <is>
          <t>Application Maintenance &amp; Production Support</t>
        </is>
      </c>
      <c r="G14" s="16" t="inlineStr">
        <is>
          <t>Senior Software Engineer</t>
        </is>
      </c>
      <c r="H14" s="16" t="inlineStr">
        <is>
          <t>IC</t>
        </is>
      </c>
      <c r="I14" s="16" t="n">
        <v>1</v>
      </c>
      <c r="J14" s="16" t="inlineStr">
        <is>
          <r>
            <rPr>
              <rFont val="Calibri"/>
              <b val="1"/>
              <sz val="10"/>
            </rPr>
            <t>A3:</t>
          </r>
          <r>
            <rPr>
              <rFont val="Calibri"/>
              <sz val="10"/>
            </rPr>
            <t xml:space="preserve"> Senior Software Engineer / Technical Specialist → B1: Technical Specialist → B3: Lead Software Engineer</t>
          </r>
        </is>
      </c>
      <c r="K14" s="16" t="inlineStr">
        <is>
          <t>Programming &amp; Tech-Stack Depth · System Design &amp; Architecture</t>
        </is>
      </c>
      <c r="L14" s="16" t="inlineStr">
        <is>
          <t>Database, SQL &amp; Data Engineering · Cloud, DevOps &amp; CI/CD · AI, GenAI &amp; Prompt Engineering · Product, Platform &amp; Domain Knowledge</t>
        </is>
      </c>
      <c r="M14" s="16" t="inlineStr">
        <is>
          <t>Core 2 · Future-ready 2 · Functional 3 · Leadership —</t>
        </is>
      </c>
      <c r="N14" s="16" t="inlineStr">
        <is>
          <t>Cloud / language certifications · optional; AWS / Azure architect · optional</t>
        </is>
      </c>
      <c r="O14" s="16" t="inlineStr">
        <is>
          <t>None — only this department</t>
        </is>
      </c>
      <c r="P14" s="139" t="inlineStr">
        <is>
          <t>CARBON 2
Same title</t>
        </is>
      </c>
    </row>
    <row r="15" ht="55" customHeight="1">
      <c r="A15" s="16" t="inlineStr">
        <is>
          <t>Technology</t>
        </is>
      </c>
      <c r="B15" s="139" t="inlineStr">
        <is>
          <t>A · Practitioner</t>
        </is>
      </c>
      <c r="C15" s="139" t="inlineStr">
        <is>
          <t>A3</t>
        </is>
      </c>
      <c r="D15" s="16" t="inlineStr">
        <is>
          <t>Senior Associate</t>
        </is>
      </c>
      <c r="E15" s="16" t="inlineStr">
        <is>
          <t>Engineering &amp; Development</t>
        </is>
      </c>
      <c r="F15" s="16" t="inlineStr">
        <is>
          <t>Application Maintenance &amp; Production Support</t>
        </is>
      </c>
      <c r="G15" s="16" t="inlineStr">
        <is>
          <t>Technical Specialist</t>
        </is>
      </c>
      <c r="H15" s="16" t="inlineStr">
        <is>
          <t>IC</t>
        </is>
      </c>
      <c r="I15" s="16" t="n">
        <v>1</v>
      </c>
      <c r="J15" s="16" t="inlineStr">
        <is>
          <r>
            <rPr>
              <rFont val="Calibri"/>
              <b val="1"/>
              <sz val="10"/>
            </rPr>
            <t>A3:</t>
          </r>
          <r>
            <rPr>
              <rFont val="Calibri"/>
              <sz val="10"/>
            </rPr>
            <t xml:space="preserve"> Senior Software Engineer / Technical Specialist → B1: Technical Specialist → B3: Lead Software Engineer</t>
          </r>
        </is>
      </c>
      <c r="K15" s="16" t="inlineStr">
        <is>
          <t>Programming &amp; Tech-Stack Depth · System Design &amp; Architecture</t>
        </is>
      </c>
      <c r="L15" s="16" t="inlineStr">
        <is>
          <t>Database, SQL &amp; Data Engineering · Cloud, DevOps &amp; CI/CD · AI, GenAI &amp; Prompt Engineering · Product, Platform &amp; Domain Knowledge</t>
        </is>
      </c>
      <c r="M15" s="16" t="inlineStr">
        <is>
          <t>Core 2 · Future-ready 2 · Functional 3 · Leadership —</t>
        </is>
      </c>
      <c r="N15" s="16" t="inlineStr">
        <is>
          <t>Cloud / language certifications · optional; AWS / Azure architect · optional</t>
        </is>
      </c>
      <c r="O15" s="16" t="inlineStr">
        <is>
          <t>None — only this department</t>
        </is>
      </c>
      <c r="P15" s="139" t="inlineStr">
        <is>
          <r>
            <rPr>
              <rFont val="Calibri"/>
              <sz val="10"/>
            </rPr>
            <t xml:space="preserve">CARBON 2
</t>
          </r>
          <r>
            <rPr>
              <rFont val="Calibri"/>
              <b val="1"/>
              <sz val="10"/>
            </rPr>
            <t>Titled there:</t>
          </r>
          <r>
            <rPr>
              <rFont val="Calibri"/>
              <sz val="10"/>
            </rPr>
            <t xml:space="preserve"> Senior Software Engineer</t>
          </r>
        </is>
      </c>
    </row>
    <row r="16" ht="55" customHeight="1">
      <c r="A16" s="16" t="inlineStr">
        <is>
          <t>Technology</t>
        </is>
      </c>
      <c r="B16" s="21" t="inlineStr">
        <is>
          <t>B · Specialist / Manager</t>
        </is>
      </c>
      <c r="C16" s="21" t="inlineStr">
        <is>
          <t>B1</t>
        </is>
      </c>
      <c r="D16" s="16" t="inlineStr">
        <is>
          <t>Specialist</t>
        </is>
      </c>
      <c r="E16" s="16" t="inlineStr">
        <is>
          <t>Engineering &amp; Development</t>
        </is>
      </c>
      <c r="F16" s="16" t="inlineStr">
        <is>
          <t>Application Maintenance &amp; Production Support</t>
        </is>
      </c>
      <c r="G16" s="16" t="inlineStr">
        <is>
          <t>Technical Specialist</t>
        </is>
      </c>
      <c r="H16" s="16" t="inlineStr">
        <is>
          <t>IC</t>
        </is>
      </c>
      <c r="I16" s="16" t="n">
        <v>1</v>
      </c>
      <c r="J16" s="16" t="inlineStr">
        <is>
          <r>
            <rPr>
              <rFont val="Calibri"/>
              <b val="1"/>
              <sz val="10"/>
            </rPr>
            <t>A3:</t>
          </r>
          <r>
            <rPr>
              <rFont val="Calibri"/>
              <sz val="10"/>
            </rPr>
            <t xml:space="preserve"> Senior Software Engineer / Technical Specialist → B1: Technical Specialist → B3: Lead Software Engineer</t>
          </r>
        </is>
      </c>
      <c r="K16" s="16" t="inlineStr">
        <is>
          <t>Programming &amp; Tech-Stack Depth · System Design &amp; Architecture</t>
        </is>
      </c>
      <c r="L16" s="16" t="inlineStr">
        <is>
          <t>Database, SQL &amp; Data Engineering · Cloud, DevOps &amp; CI/CD · AI, GenAI &amp; Prompt Engineering · Product, Platform &amp; Domain Knowledge</t>
        </is>
      </c>
      <c r="M16" s="16" t="inlineStr">
        <is>
          <t>Core 3 · Future-ready 3 · Functional 3 · Leadership 1</t>
        </is>
      </c>
      <c r="N16" s="16" t="inlineStr">
        <is>
          <t>Cloud / language certifications · optional; AWS / Azure architect · optional</t>
        </is>
      </c>
      <c r="O16" s="16" t="inlineStr">
        <is>
          <t>None — only this department</t>
        </is>
      </c>
      <c r="P16" s="16" t="inlineStr">
        <is>
          <t>None — only Consume</t>
        </is>
      </c>
    </row>
    <row r="17" ht="68" customHeight="1">
      <c r="A17" s="16" t="inlineStr">
        <is>
          <t>Technology</t>
        </is>
      </c>
      <c r="B17" s="21" t="inlineStr">
        <is>
          <t>B · Specialist / Manager</t>
        </is>
      </c>
      <c r="C17" s="21" t="inlineStr">
        <is>
          <t>B2</t>
        </is>
      </c>
      <c r="D17" s="16" t="inlineStr">
        <is>
          <t>Manager</t>
        </is>
      </c>
      <c r="E17" s="16" t="inlineStr">
        <is>
          <t>Project &amp; Program Management</t>
        </is>
      </c>
      <c r="F17" s="16" t="inlineStr">
        <is>
          <t>Project &amp; Program Delivery</t>
        </is>
      </c>
      <c r="G17" s="16" t="inlineStr">
        <is>
          <t>Project Manager</t>
        </is>
      </c>
      <c r="H17" s="16" t="inlineStr">
        <is>
          <t>People Manager</t>
        </is>
      </c>
      <c r="I17" s="16" t="n">
        <v>1</v>
      </c>
      <c r="J17" s="16" t="inlineStr">
        <is>
          <r>
            <rPr>
              <rFont val="Calibri"/>
              <b val="1"/>
              <sz val="10"/>
            </rPr>
            <t>B2:</t>
          </r>
          <r>
            <rPr>
              <rFont val="Calibri"/>
              <sz val="10"/>
            </rPr>
            <t xml:space="preserve"> Project Manager</t>
          </r>
        </is>
      </c>
      <c r="K17" s="16" t="inlineStr">
        <is>
          <t>Project, Program &amp; Agile Management · Stakeholder &amp; Client Management</t>
        </is>
      </c>
      <c r="L17" s="16" t="inlineStr">
        <is>
          <t>Communication &amp; Presentation · Process Improvement &amp; Quality Mindset · Strategic Thinking &amp; Business Acumen · Product, Platform &amp; Domain Knowledge</t>
        </is>
      </c>
      <c r="M17" s="16" t="inlineStr">
        <is>
          <t>Core 3 · Future-ready 3 · Functional 4 · Leadership 3</t>
        </is>
      </c>
      <c r="N17" s="16" t="inlineStr">
        <is>
          <t>PMP / PRINCE2 / CSM / SAFe</t>
        </is>
      </c>
      <c r="O17" s="16" t="inlineStr">
        <is>
          <t>None — only this department</t>
        </is>
      </c>
      <c r="P17" s="139" t="inlineStr">
        <is>
          <r>
            <rPr>
              <rFont val="Calibri"/>
              <sz val="10"/>
            </rPr>
            <t xml:space="preserve">iFile 7 · CARBON 1
</t>
          </r>
          <r>
            <rPr>
              <rFont val="Calibri"/>
              <b val="1"/>
              <sz val="10"/>
            </rPr>
            <t>Titled there:</t>
          </r>
          <r>
            <rPr>
              <rFont val="Calibri"/>
              <sz val="10"/>
            </rPr>
            <t xml:space="preserve"> Delivery Manager / Project Manager</t>
          </r>
        </is>
      </c>
    </row>
    <row r="18" ht="55" customHeight="1">
      <c r="A18" s="16" t="inlineStr">
        <is>
          <t>Technology</t>
        </is>
      </c>
      <c r="B18" s="21" t="inlineStr">
        <is>
          <t>B · Specialist / Manager</t>
        </is>
      </c>
      <c r="C18" s="21" t="inlineStr">
        <is>
          <t>B3</t>
        </is>
      </c>
      <c r="D18" s="16" t="inlineStr">
        <is>
          <t>Lead Specialist</t>
        </is>
      </c>
      <c r="E18" s="16" t="inlineStr">
        <is>
          <t>Engineering &amp; Development</t>
        </is>
      </c>
      <c r="F18" s="16" t="inlineStr">
        <is>
          <t>Application Maintenance &amp; Production Support</t>
        </is>
      </c>
      <c r="G18" s="16" t="inlineStr">
        <is>
          <t>Lead Software Engineer</t>
        </is>
      </c>
      <c r="H18" s="16" t="inlineStr">
        <is>
          <t>IC</t>
        </is>
      </c>
      <c r="I18" s="16" t="n">
        <v>1</v>
      </c>
      <c r="J18" s="16" t="inlineStr">
        <is>
          <r>
            <rPr>
              <rFont val="Calibri"/>
              <b val="1"/>
              <sz val="10"/>
            </rPr>
            <t>A3:</t>
          </r>
          <r>
            <rPr>
              <rFont val="Calibri"/>
              <sz val="10"/>
            </rPr>
            <t xml:space="preserve"> Senior Software Engineer / Technical Specialist → B1: Technical Specialist → B3: Lead Software Engineer</t>
          </r>
        </is>
      </c>
      <c r="K18" s="16" t="inlineStr">
        <is>
          <t>Programming &amp; Tech-Stack Depth · System Design &amp; Architecture</t>
        </is>
      </c>
      <c r="L18" s="16" t="inlineStr">
        <is>
          <t>Database, SQL &amp; Data Engineering · Cloud, DevOps &amp; CI/CD · AI, GenAI &amp; Prompt Engineering · Product, Platform &amp; Domain Knowledge</t>
        </is>
      </c>
      <c r="M18" s="16" t="inlineStr">
        <is>
          <t>Core 4 · Future-ready 3 · Functional 4 · Leadership 3</t>
        </is>
      </c>
      <c r="N18" s="16" t="inlineStr">
        <is>
          <t>Cloud / language certifications · optional; AWS / Azure architect · optional</t>
        </is>
      </c>
      <c r="O18" s="16" t="inlineStr">
        <is>
          <t>None — only this department</t>
        </is>
      </c>
      <c r="P18" s="16" t="inlineStr">
        <is>
          <t>None — only Consume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Consume</t>
        </is>
      </c>
      <c r="B1" t="inlineStr">
        <is>
          <t>Digitizing</t>
        </is>
      </c>
      <c r="D1" t="inlineStr">
        <is>
          <t>Aniket Manval</t>
        </is>
      </c>
      <c r="E1" t="inlineStr">
        <is>
          <t>IRIS0110</t>
        </is>
      </c>
      <c r="F1" t="inlineStr">
        <is>
          <t>Consume|Digitizing</t>
        </is>
      </c>
      <c r="H1" t="inlineStr">
        <is>
          <t>Consume|Digitizing|Aniket Manval</t>
        </is>
      </c>
      <c r="I1" t="inlineStr">
        <is>
          <t>IRIS0110</t>
        </is>
      </c>
      <c r="J1" t="n">
        <v>3</v>
      </c>
      <c r="L1">
        <f>IF(TRUE,1,0)</f>
        <v>1</v>
      </c>
      <c r="M1" t="str">
        <f>IFERROR(INDEX($A$1:$A$1,MATCH(1,$L$1:$L$1,0)),"")</f>
        <v>Consume</v>
      </c>
      <c r="N1">
        <f>IF(AND(LEFT($F1,LEN('1b. Person Card'!$J$5)+1)='1b. Person Card'!$J$5&amp;"|",OR('1b. Person Card'!$F$5="",ISNUMBER(SEARCH('1b. Person Card'!$F$5,MID($F1,LEN('1b. Person Card'!$J$5)+2,250))))),1,0)</f>
        <v>1</v>
      </c>
      <c r="O1" t="str">
        <f>IFERROR(MID(INDEX($F$1:$F$3,MATCH(1,$N$1:$N$3,0)),LEN('1b. Person Card'!$J$5)+2,250),"")</f>
        <v>Digitizing</v>
      </c>
      <c r="P1">
        <f>IF(AND(LEFT($H1,LEN('1b. Person Card'!$J$5)+LEN('1b. Person Card'!$B$5)+2)='1b. Person Card'!$J$5&amp;"|"&amp;'1b. Person Card'!$B$5&amp;"|",OR('1b. Person Card'!$F$6="",ISNUMBER(SEARCH('1b. Person Card'!$F$6,$D1)))),1,0)</f>
        <v>1</v>
      </c>
      <c r="Q1" t="str">
        <f>IFERROR(INDEX($D$1:$D$23,MATCH(1,$P$1:$P$23,0)),"")</f>
        <v>Aniket Manval</v>
      </c>
    </row>
    <row r="2">
      <c r="B2" t="inlineStr">
        <is>
          <t>India Content</t>
        </is>
      </c>
      <c r="D2" t="inlineStr">
        <is>
          <t>Manish Paithankar</t>
        </is>
      </c>
      <c r="E2" t="inlineStr">
        <is>
          <t>IRIS0170</t>
        </is>
      </c>
      <c r="F2" t="inlineStr">
        <is>
          <t>Consume|India Content</t>
        </is>
      </c>
      <c r="H2" t="inlineStr">
        <is>
          <t>Consume|Digitizing|Manish Paithankar</t>
        </is>
      </c>
      <c r="I2" t="inlineStr">
        <is>
          <t>IRIS0170</t>
        </is>
      </c>
      <c r="J2" t="n">
        <v>4</v>
      </c>
      <c r="N2">
        <f>IF(AND(LEFT($F2,LEN('1b. Person Card'!$J$5)+1)='1b. Person Card'!$J$5&amp;"|",OR('1b. Person Card'!$F$5="",ISNUMBER(SEARCH('1b. Person Card'!$F$5,MID($F2,LEN('1b. Person Card'!$J$5)+2,250))))),1,0)+N1</f>
        <v>2</v>
      </c>
      <c r="O2" t="str">
        <f>IFERROR(MID(INDEX($F$1:$F$3,MATCH(2,$N$1:$N$3,0)),LEN('1b. Person Card'!$J$5)+2,250),"")</f>
        <v>India Content</v>
      </c>
      <c r="P2">
        <f>IF(AND(LEFT($H2,LEN('1b. Person Card'!$J$5)+LEN('1b. Person Card'!$B$5)+2)='1b. Person Card'!$J$5&amp;"|"&amp;'1b. Person Card'!$B$5&amp;"|",OR('1b. Person Card'!$F$6="",ISNUMBER(SEARCH('1b. Person Card'!$F$6,$D2)))),1,0)+P1</f>
        <v>2</v>
      </c>
      <c r="Q2" t="str">
        <f>IFERROR(INDEX($D$1:$D$23,MATCH(2,$P$1:$P$23,0)),"")</f>
        <v>Manish Paithankar</v>
      </c>
    </row>
    <row r="3">
      <c r="B3" t="inlineStr">
        <is>
          <t>Technology</t>
        </is>
      </c>
      <c r="D3" t="inlineStr">
        <is>
          <t>Manoj Ravidas</t>
        </is>
      </c>
      <c r="E3" t="inlineStr">
        <is>
          <t>IRIS1211</t>
        </is>
      </c>
      <c r="F3" t="inlineStr">
        <is>
          <t>Consume|Technology</t>
        </is>
      </c>
      <c r="H3" t="inlineStr">
        <is>
          <t>Consume|Digitizing|Manoj Ravidas</t>
        </is>
      </c>
      <c r="I3" t="inlineStr">
        <is>
          <t>IRIS1211</t>
        </is>
      </c>
      <c r="J3" t="n">
        <v>5</v>
      </c>
      <c r="N3">
        <f>IF(AND(LEFT($F3,LEN('1b. Person Card'!$J$5)+1)='1b. Person Card'!$J$5&amp;"|",OR('1b. Person Card'!$F$5="",ISNUMBER(SEARCH('1b. Person Card'!$F$5,MID($F3,LEN('1b. Person Card'!$J$5)+2,250))))),1,0)+N2</f>
        <v>3</v>
      </c>
      <c r="O3" t="str">
        <f>IFERROR(MID(INDEX($F$1:$F$3,MATCH(3,$N$1:$N$3,0)),LEN('1b. Person Card'!$J$5)+2,250),"")</f>
        <v>Technology</v>
      </c>
      <c r="P3">
        <f>IF(AND(LEFT($H3,LEN('1b. Person Card'!$J$5)+LEN('1b. Person Card'!$B$5)+2)='1b. Person Card'!$J$5&amp;"|"&amp;'1b. Person Card'!$B$5&amp;"|",OR('1b. Person Card'!$F$6="",ISNUMBER(SEARCH('1b. Person Card'!$F$6,$D3)))),1,0)+P2</f>
        <v>3</v>
      </c>
      <c r="Q3" t="str">
        <f>IFERROR(INDEX($D$1:$D$23,MATCH(3,$P$1:$P$23,0)),"")</f>
        <v>Manoj Ravidas</v>
      </c>
    </row>
    <row r="4">
      <c r="D4" t="inlineStr">
        <is>
          <t>Manoj Tiwari</t>
        </is>
      </c>
      <c r="E4" t="inlineStr">
        <is>
          <t>IRIS1213</t>
        </is>
      </c>
      <c r="H4" t="inlineStr">
        <is>
          <t>Consume|Digitizing|Manoj Tiwari</t>
        </is>
      </c>
      <c r="I4" t="inlineStr">
        <is>
          <t>IRIS1213</t>
        </is>
      </c>
      <c r="J4" t="n">
        <v>6</v>
      </c>
      <c r="P4">
        <f>IF(AND(LEFT($H4,LEN('1b. Person Card'!$J$5)+LEN('1b. Person Card'!$B$5)+2)='1b. Person Card'!$J$5&amp;"|"&amp;'1b. Person Card'!$B$5&amp;"|",OR('1b. Person Card'!$F$6="",ISNUMBER(SEARCH('1b. Person Card'!$F$6,$D4)))),1,0)+P3</f>
        <v>4</v>
      </c>
      <c r="Q4" t="str">
        <f>IFERROR(INDEX($D$1:$D$23,MATCH(4,$P$1:$P$23,0)),"")</f>
        <v>Manoj Tiwari</v>
      </c>
    </row>
    <row r="5">
      <c r="D5" t="inlineStr">
        <is>
          <t>Nitin Bhoir</t>
        </is>
      </c>
      <c r="E5" t="inlineStr">
        <is>
          <t>IRIS0167</t>
        </is>
      </c>
      <c r="H5" t="inlineStr">
        <is>
          <t>Consume|Digitizing|Nitin Bhoir</t>
        </is>
      </c>
      <c r="I5" t="inlineStr">
        <is>
          <t>IRIS0167</t>
        </is>
      </c>
      <c r="J5" t="n">
        <v>2</v>
      </c>
      <c r="P5">
        <f>IF(AND(LEFT($H5,LEN('1b. Person Card'!$J$5)+LEN('1b. Person Card'!$B$5)+2)='1b. Person Card'!$J$5&amp;"|"&amp;'1b. Person Card'!$B$5&amp;"|",OR('1b. Person Card'!$F$6="",ISNUMBER(SEARCH('1b. Person Card'!$F$6,$D5)))),1,0)+P4</f>
        <v>5</v>
      </c>
      <c r="Q5" t="str">
        <f>IFERROR(INDEX($D$1:$D$23,MATCH(5,$P$1:$P$23,0)),"")</f>
        <v>Nitin Bhoir</v>
      </c>
    </row>
    <row r="6">
      <c r="D6" t="inlineStr">
        <is>
          <t>Saurav Kamtekar</t>
        </is>
      </c>
      <c r="E6" t="inlineStr">
        <is>
          <t>IRISC283</t>
        </is>
      </c>
      <c r="H6" t="inlineStr">
        <is>
          <t>Consume|Digitizing|Saurav Kamtekar</t>
        </is>
      </c>
      <c r="I6" t="inlineStr">
        <is>
          <t>IRISC283</t>
        </is>
      </c>
      <c r="J6" t="n">
        <v>7</v>
      </c>
      <c r="P6">
        <f>IF(AND(LEFT($H6,LEN('1b. Person Card'!$J$5)+LEN('1b. Person Card'!$B$5)+2)='1b. Person Card'!$J$5&amp;"|"&amp;'1b. Person Card'!$B$5&amp;"|",OR('1b. Person Card'!$F$6="",ISNUMBER(SEARCH('1b. Person Card'!$F$6,$D6)))),1,0)+P5</f>
        <v>6</v>
      </c>
      <c r="Q6" t="str">
        <f>IFERROR(INDEX($D$1:$D$23,MATCH(6,$P$1:$P$23,0)),"")</f>
        <v>Saurav Kamtekar</v>
      </c>
    </row>
    <row r="7">
      <c r="D7" t="inlineStr">
        <is>
          <t>Shraddha Patil</t>
        </is>
      </c>
      <c r="E7" t="inlineStr">
        <is>
          <t>IRIS0114</t>
        </is>
      </c>
      <c r="H7" t="inlineStr">
        <is>
          <t>Consume|Digitizing|Shraddha Patil</t>
        </is>
      </c>
      <c r="I7" t="inlineStr">
        <is>
          <t>IRIS0114</t>
        </is>
      </c>
      <c r="J7" t="n">
        <v>1</v>
      </c>
      <c r="P7">
        <f>IF(AND(LEFT($H7,LEN('1b. Person Card'!$J$5)+LEN('1b. Person Card'!$B$5)+2)='1b. Person Card'!$J$5&amp;"|"&amp;'1b. Person Card'!$B$5&amp;"|",OR('1b. Person Card'!$F$6="",ISNUMBER(SEARCH('1b. Person Card'!$F$6,$D7)))),1,0)+P6</f>
        <v>7</v>
      </c>
      <c r="Q7" t="str">
        <f>IFERROR(INDEX($D$1:$D$23,MATCH(7,$P$1:$P$23,0)),"")</f>
        <v>Shraddha Patil</v>
      </c>
    </row>
    <row r="8">
      <c r="D8" t="inlineStr">
        <is>
          <t>Siddhesh Harishchandra Mali</t>
        </is>
      </c>
      <c r="E8" t="inlineStr">
        <is>
          <t>IRISC337</t>
        </is>
      </c>
      <c r="H8" t="inlineStr">
        <is>
          <t>Consume|Digitizing|Siddhesh Harishchandra Mali</t>
        </is>
      </c>
      <c r="I8" t="inlineStr">
        <is>
          <t>IRISC337</t>
        </is>
      </c>
      <c r="J8" t="n">
        <v>9</v>
      </c>
      <c r="P8">
        <f>IF(AND(LEFT($H8,LEN('1b. Person Card'!$J$5)+LEN('1b. Person Card'!$B$5)+2)='1b. Person Card'!$J$5&amp;"|"&amp;'1b. Person Card'!$B$5&amp;"|",OR('1b. Person Card'!$F$6="",ISNUMBER(SEARCH('1b. Person Card'!$F$6,$D8)))),1,0)+P7</f>
        <v>8</v>
      </c>
      <c r="Q8" t="str">
        <f>IFERROR(INDEX($D$1:$D$23,MATCH(8,$P$1:$P$23,0)),"")</f>
        <v>Siddhesh Harishchandra Mali</v>
      </c>
    </row>
    <row r="9">
      <c r="D9" t="inlineStr">
        <is>
          <t>Snehal Bhavesh Farad</t>
        </is>
      </c>
      <c r="E9" t="inlineStr">
        <is>
          <t>IRISC338</t>
        </is>
      </c>
      <c r="H9" t="inlineStr">
        <is>
          <t>Consume|Digitizing|Snehal Bhavesh Farad</t>
        </is>
      </c>
      <c r="I9" t="inlineStr">
        <is>
          <t>IRISC338</t>
        </is>
      </c>
      <c r="J9" t="n">
        <v>8</v>
      </c>
      <c r="P9">
        <f>IF(AND(LEFT($H9,LEN('1b. Person Card'!$J$5)+LEN('1b. Person Card'!$B$5)+2)='1b. Person Card'!$J$5&amp;"|"&amp;'1b. Person Card'!$B$5&amp;"|",OR('1b. Person Card'!$F$6="",ISNUMBER(SEARCH('1b. Person Card'!$F$6,$D9)))),1,0)+P8</f>
        <v>9</v>
      </c>
      <c r="Q9" t="str">
        <f>IFERROR(INDEX($D$1:$D$23,MATCH(9,$P$1:$P$23,0)),"")</f>
        <v>Snehal Bhavesh Farad</v>
      </c>
    </row>
    <row r="10">
      <c r="D10" t="inlineStr">
        <is>
          <t>Akash Dubey</t>
        </is>
      </c>
      <c r="E10" t="inlineStr">
        <is>
          <t>IRIS1743</t>
        </is>
      </c>
      <c r="H10" t="inlineStr">
        <is>
          <t>Consume|India Content|Akash Dubey</t>
        </is>
      </c>
      <c r="I10" t="inlineStr">
        <is>
          <t>IRIS1743</t>
        </is>
      </c>
      <c r="J10" t="n">
        <v>12</v>
      </c>
      <c r="P10">
        <f>IF(AND(LEFT($H10,LEN('1b. Person Card'!$J$5)+LEN('1b. Person Card'!$B$5)+2)='1b. Person Card'!$J$5&amp;"|"&amp;'1b. Person Card'!$B$5&amp;"|",OR('1b. Person Card'!$F$6="",ISNUMBER(SEARCH('1b. Person Card'!$F$6,$D10)))),1,0)+P9</f>
        <v>9</v>
      </c>
      <c r="Q10">
        <f>IFERROR(INDEX($D$1:$D$23,MATCH(10,$P$1:$P$23,0)),"")</f>
      </c>
    </row>
    <row r="11">
      <c r="D11" t="inlineStr">
        <is>
          <t>Gopal Krishna Sahu</t>
        </is>
      </c>
      <c r="E11" t="inlineStr">
        <is>
          <t>IRIS0007</t>
        </is>
      </c>
      <c r="H11" t="inlineStr">
        <is>
          <t>Consume|India Content|Gopal Krishna Sahu</t>
        </is>
      </c>
      <c r="I11" t="inlineStr">
        <is>
          <t>IRIS0007</t>
        </is>
      </c>
      <c r="J11" t="n">
        <v>10</v>
      </c>
      <c r="P11">
        <f>IF(AND(LEFT($H11,LEN('1b. Person Card'!$J$5)+LEN('1b. Person Card'!$B$5)+2)='1b. Person Card'!$J$5&amp;"|"&amp;'1b. Person Card'!$B$5&amp;"|",OR('1b. Person Card'!$F$6="",ISNUMBER(SEARCH('1b. Person Card'!$F$6,$D11)))),1,0)+P10</f>
        <v>9</v>
      </c>
      <c r="Q11">
        <f>IFERROR(INDEX($D$1:$D$23,MATCH(11,$P$1:$P$23,0)),"")</f>
      </c>
    </row>
    <row r="12">
      <c r="D12" t="inlineStr">
        <is>
          <t>John Mariakulandai</t>
        </is>
      </c>
      <c r="E12" t="inlineStr">
        <is>
          <t>IRIS1710</t>
        </is>
      </c>
      <c r="H12" t="inlineStr">
        <is>
          <t>Consume|India Content|John Mariakulandai</t>
        </is>
      </c>
      <c r="I12" t="inlineStr">
        <is>
          <t>IRIS1710</t>
        </is>
      </c>
      <c r="J12" t="n">
        <v>13</v>
      </c>
      <c r="P12">
        <f>IF(AND(LEFT($H12,LEN('1b. Person Card'!$J$5)+LEN('1b. Person Card'!$B$5)+2)='1b. Person Card'!$J$5&amp;"|"&amp;'1b. Person Card'!$B$5&amp;"|",OR('1b. Person Card'!$F$6="",ISNUMBER(SEARCH('1b. Person Card'!$F$6,$D12)))),1,0)+P11</f>
        <v>9</v>
      </c>
      <c r="Q12">
        <f>IFERROR(INDEX($D$1:$D$23,MATCH(12,$P$1:$P$23,0)),"")</f>
      </c>
    </row>
    <row r="13">
      <c r="D13" t="inlineStr">
        <is>
          <t>Neelam Kadam</t>
        </is>
      </c>
      <c r="E13" t="inlineStr">
        <is>
          <t>IRIS0091</t>
        </is>
      </c>
      <c r="H13" t="inlineStr">
        <is>
          <t>Consume|India Content|Neelam Kadam</t>
        </is>
      </c>
      <c r="I13" t="inlineStr">
        <is>
          <t>IRIS0091</t>
        </is>
      </c>
      <c r="J13" t="n">
        <v>14</v>
      </c>
      <c r="P13">
        <f>IF(AND(LEFT($H13,LEN('1b. Person Card'!$J$5)+LEN('1b. Person Card'!$B$5)+2)='1b. Person Card'!$J$5&amp;"|"&amp;'1b. Person Card'!$B$5&amp;"|",OR('1b. Person Card'!$F$6="",ISNUMBER(SEARCH('1b. Person Card'!$F$6,$D13)))),1,0)+P12</f>
        <v>9</v>
      </c>
      <c r="Q13">
        <f>IFERROR(INDEX($D$1:$D$23,MATCH(13,$P$1:$P$23,0)),"")</f>
      </c>
    </row>
    <row r="14">
      <c r="D14" t="inlineStr">
        <is>
          <t>Nishikant Mhatre</t>
        </is>
      </c>
      <c r="E14" t="inlineStr">
        <is>
          <t>IRIS0065</t>
        </is>
      </c>
      <c r="H14" t="inlineStr">
        <is>
          <t>Consume|India Content|Nishikant Mhatre</t>
        </is>
      </c>
      <c r="I14" t="inlineStr">
        <is>
          <t>IRIS0065</t>
        </is>
      </c>
      <c r="J14" t="n">
        <v>15</v>
      </c>
      <c r="P14">
        <f>IF(AND(LEFT($H14,LEN('1b. Person Card'!$J$5)+LEN('1b. Person Card'!$B$5)+2)='1b. Person Card'!$J$5&amp;"|"&amp;'1b. Person Card'!$B$5&amp;"|",OR('1b. Person Card'!$F$6="",ISNUMBER(SEARCH('1b. Person Card'!$F$6,$D14)))),1,0)+P13</f>
        <v>9</v>
      </c>
      <c r="Q14">
        <f>IFERROR(INDEX($D$1:$D$23,MATCH(14,$P$1:$P$23,0)),"")</f>
      </c>
    </row>
    <row r="15">
      <c r="D15" t="inlineStr">
        <is>
          <t>Palanikumar Mooppanar</t>
        </is>
      </c>
      <c r="E15" t="inlineStr">
        <is>
          <t>IRIS0292</t>
        </is>
      </c>
      <c r="H15" t="inlineStr">
        <is>
          <t>Consume|India Content|Palanikumar Mooppanar</t>
        </is>
      </c>
      <c r="I15" t="inlineStr">
        <is>
          <t>IRIS0292</t>
        </is>
      </c>
      <c r="J15" t="n">
        <v>16</v>
      </c>
      <c r="P15">
        <f>IF(AND(LEFT($H15,LEN('1b. Person Card'!$J$5)+LEN('1b. Person Card'!$B$5)+2)='1b. Person Card'!$J$5&amp;"|"&amp;'1b. Person Card'!$B$5&amp;"|",OR('1b. Person Card'!$F$6="",ISNUMBER(SEARCH('1b. Person Card'!$F$6,$D15)))),1,0)+P14</f>
        <v>9</v>
      </c>
      <c r="Q15">
        <f>IFERROR(INDEX($D$1:$D$23,MATCH(15,$P$1:$P$23,0)),"")</f>
      </c>
    </row>
    <row r="16">
      <c r="D16" t="inlineStr">
        <is>
          <t>Prashant Shelar</t>
        </is>
      </c>
      <c r="E16" t="inlineStr">
        <is>
          <t>IRIS0009</t>
        </is>
      </c>
      <c r="H16" t="inlineStr">
        <is>
          <t>Consume|India Content|Prashant Shelar</t>
        </is>
      </c>
      <c r="I16" t="inlineStr">
        <is>
          <t>IRIS0009</t>
        </is>
      </c>
      <c r="J16" t="n">
        <v>17</v>
      </c>
      <c r="P16">
        <f>IF(AND(LEFT($H16,LEN('1b. Person Card'!$J$5)+LEN('1b. Person Card'!$B$5)+2)='1b. Person Card'!$J$5&amp;"|"&amp;'1b. Person Card'!$B$5&amp;"|",OR('1b. Person Card'!$F$6="",ISNUMBER(SEARCH('1b. Person Card'!$F$6,$D16)))),1,0)+P15</f>
        <v>9</v>
      </c>
      <c r="Q16">
        <f>IFERROR(INDEX($D$1:$D$23,MATCH(16,$P$1:$P$23,0)),"")</f>
      </c>
    </row>
    <row r="17">
      <c r="D17" t="inlineStr">
        <is>
          <t>Swapnil Katrat</t>
        </is>
      </c>
      <c r="E17" t="inlineStr">
        <is>
          <t>IRIS0030</t>
        </is>
      </c>
      <c r="H17" t="inlineStr">
        <is>
          <t>Consume|India Content|Swapnil Katrat</t>
        </is>
      </c>
      <c r="I17" t="inlineStr">
        <is>
          <t>IRIS0030</t>
        </is>
      </c>
      <c r="J17" t="n">
        <v>18</v>
      </c>
      <c r="P17">
        <f>IF(AND(LEFT($H17,LEN('1b. Person Card'!$J$5)+LEN('1b. Person Card'!$B$5)+2)='1b. Person Card'!$J$5&amp;"|"&amp;'1b. Person Card'!$B$5&amp;"|",OR('1b. Person Card'!$F$6="",ISNUMBER(SEARCH('1b. Person Card'!$F$6,$D17)))),1,0)+P16</f>
        <v>9</v>
      </c>
      <c r="Q17">
        <f>IFERROR(INDEX($D$1:$D$23,MATCH(17,$P$1:$P$23,0)),"")</f>
      </c>
    </row>
    <row r="18">
      <c r="D18" t="inlineStr">
        <is>
          <t>Virendra Borkar</t>
        </is>
      </c>
      <c r="E18" t="inlineStr">
        <is>
          <t>IRIS0015</t>
        </is>
      </c>
      <c r="H18" t="inlineStr">
        <is>
          <t>Consume|India Content|Virendra Borkar</t>
        </is>
      </c>
      <c r="I18" t="inlineStr">
        <is>
          <t>IRIS0015</t>
        </is>
      </c>
      <c r="J18" t="n">
        <v>11</v>
      </c>
      <c r="P18">
        <f>IF(AND(LEFT($H18,LEN('1b. Person Card'!$J$5)+LEN('1b. Person Card'!$B$5)+2)='1b. Person Card'!$J$5&amp;"|"&amp;'1b. Person Card'!$B$5&amp;"|",OR('1b. Person Card'!$F$6="",ISNUMBER(SEARCH('1b. Person Card'!$F$6,$D18)))),1,0)+P17</f>
        <v>9</v>
      </c>
      <c r="Q18">
        <f>IFERROR(INDEX($D$1:$D$23,MATCH(18,$P$1:$P$23,0)),"")</f>
      </c>
    </row>
    <row r="19">
      <c r="D19" t="inlineStr">
        <is>
          <t>Nishant Kohakade</t>
        </is>
      </c>
      <c r="E19" t="inlineStr">
        <is>
          <t>IRIS0724</t>
        </is>
      </c>
      <c r="H19" t="inlineStr">
        <is>
          <t>Consume|Technology|Nishant Kohakade</t>
        </is>
      </c>
      <c r="I19" t="inlineStr">
        <is>
          <t>IRIS0724</t>
        </is>
      </c>
      <c r="J19" t="n">
        <v>19</v>
      </c>
      <c r="P19">
        <f>IF(AND(LEFT($H19,LEN('1b. Person Card'!$J$5)+LEN('1b. Person Card'!$B$5)+2)='1b. Person Card'!$J$5&amp;"|"&amp;'1b. Person Card'!$B$5&amp;"|",OR('1b. Person Card'!$F$6="",ISNUMBER(SEARCH('1b. Person Card'!$F$6,$D19)))),1,0)+P18</f>
        <v>9</v>
      </c>
      <c r="Q19">
        <f>IFERROR(INDEX($D$1:$D$23,MATCH(19,$P$1:$P$23,0)),"")</f>
      </c>
    </row>
    <row r="20">
      <c r="D20" t="inlineStr">
        <is>
          <t>Safal Gupta</t>
        </is>
      </c>
      <c r="E20" t="inlineStr">
        <is>
          <t>IRIS2485</t>
        </is>
      </c>
      <c r="H20" t="inlineStr">
        <is>
          <t>Consume|Technology|Safal Gupta</t>
        </is>
      </c>
      <c r="I20" t="inlineStr">
        <is>
          <t>IRIS2485</t>
        </is>
      </c>
      <c r="J20" t="n">
        <v>22</v>
      </c>
      <c r="P20">
        <f>IF(AND(LEFT($H20,LEN('1b. Person Card'!$J$5)+LEN('1b. Person Card'!$B$5)+2)='1b. Person Card'!$J$5&amp;"|"&amp;'1b. Person Card'!$B$5&amp;"|",OR('1b. Person Card'!$F$6="",ISNUMBER(SEARCH('1b. Person Card'!$F$6,$D20)))),1,0)+P19</f>
        <v>9</v>
      </c>
      <c r="Q20">
        <f>IFERROR(INDEX($D$1:$D$23,MATCH(20,$P$1:$P$23,0)),"")</f>
      </c>
    </row>
    <row r="21">
      <c r="D21" t="inlineStr">
        <is>
          <t>Sharad Mane</t>
        </is>
      </c>
      <c r="E21" t="inlineStr">
        <is>
          <t>IRIS1901</t>
        </is>
      </c>
      <c r="H21" t="inlineStr">
        <is>
          <t>Consume|Technology|Sharad Mane</t>
        </is>
      </c>
      <c r="I21" t="inlineStr">
        <is>
          <t>IRIS1901</t>
        </is>
      </c>
      <c r="J21" t="n">
        <v>23</v>
      </c>
      <c r="P21">
        <f>IF(AND(LEFT($H21,LEN('1b. Person Card'!$J$5)+LEN('1b. Person Card'!$B$5)+2)='1b. Person Card'!$J$5&amp;"|"&amp;'1b. Person Card'!$B$5&amp;"|",OR('1b. Person Card'!$F$6="",ISNUMBER(SEARCH('1b. Person Card'!$F$6,$D21)))),1,0)+P20</f>
        <v>9</v>
      </c>
      <c r="Q21">
        <f>IFERROR(INDEX($D$1:$D$23,MATCH(21,$P$1:$P$23,0)),"")</f>
      </c>
    </row>
    <row r="22">
      <c r="D22" t="inlineStr">
        <is>
          <t>Waqar Tarique</t>
        </is>
      </c>
      <c r="E22" t="inlineStr">
        <is>
          <t>IRIS0538</t>
        </is>
      </c>
      <c r="H22" t="inlineStr">
        <is>
          <t>Consume|Technology|Waqar Tarique</t>
        </is>
      </c>
      <c r="I22" t="inlineStr">
        <is>
          <t>IRIS0538</t>
        </is>
      </c>
      <c r="J22" t="n">
        <v>21</v>
      </c>
      <c r="P22">
        <f>IF(AND(LEFT($H22,LEN('1b. Person Card'!$J$5)+LEN('1b. Person Card'!$B$5)+2)='1b. Person Card'!$J$5&amp;"|"&amp;'1b. Person Card'!$B$5&amp;"|",OR('1b. Person Card'!$F$6="",ISNUMBER(SEARCH('1b. Person Card'!$F$6,$D22)))),1,0)+P21</f>
        <v>9</v>
      </c>
      <c r="Q22">
        <f>IFERROR(INDEX($D$1:$D$23,MATCH(22,$P$1:$P$23,0)),"")</f>
      </c>
    </row>
    <row r="23">
      <c r="D23" t="inlineStr">
        <is>
          <t>Zakiruddin Shaikh</t>
        </is>
      </c>
      <c r="E23" t="inlineStr">
        <is>
          <t>IRIS1952</t>
        </is>
      </c>
      <c r="H23" t="inlineStr">
        <is>
          <t>Consume|Technology|Zakiruddin Shaikh</t>
        </is>
      </c>
      <c r="I23" t="inlineStr">
        <is>
          <t>IRIS1952</t>
        </is>
      </c>
      <c r="J23" t="n">
        <v>20</v>
      </c>
      <c r="P23">
        <f>IF(AND(LEFT($H23,LEN('1b. Person Card'!$J$5)+LEN('1b. Person Card'!$B$5)+2)='1b. Person Card'!$J$5&amp;"|"&amp;'1b. Person Card'!$B$5&amp;"|",OR('1b. Person Card'!$F$6="",ISNUMBER(SEARCH('1b. Person Card'!$F$6,$D23)))),1,0)+P22</f>
        <v>9</v>
      </c>
      <c r="Q23">
        <f>IFERROR(INDEX($D$1:$D$23,MATCH(23,$P$1:$P$23,0)),"")</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Consume Product Master</dc:title>
  <dcterms:created xmlns:dcterms="http://purl.org/dc/terms/" xmlns:xsi="http://www.w3.org/2001/XMLSchema-instance" xsi:type="dcterms:W3CDTF">2026-10-12T06:11:13Z</dcterms:created>
  <dcterms:modified xmlns:dcterms="http://purl.org/dc/terms/" xmlns:xsi="http://www.w3.org/2001/XMLSchema-instance" xsi:type="dcterms:W3CDTF">2026-10-12T06:13:34Z</dcterms:modified>
</cp:coreProperties>
</file>